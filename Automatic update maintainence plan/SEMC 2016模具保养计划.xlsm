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19320" windowHeight="7860"/>
  </bookViews>
  <sheets>
    <sheet name="2016年SEMC模具保养计划表" sheetId="26" r:id="rId1"/>
    <sheet name="模具 保养记录表" sheetId="27" r:id="rId2"/>
  </sheets>
  <externalReferences>
    <externalReference r:id="rId3"/>
  </externalReferences>
  <definedNames>
    <definedName name="_xlnm._FilterDatabase" localSheetId="0" hidden="1">'2016年SEMC模具保养计划表'!$A$4:$Z$626</definedName>
    <definedName name="Parts_code" localSheetId="0">[1]Parameter!#REF!</definedName>
    <definedName name="Parts_code">[1]Parameter!#REF!</definedName>
    <definedName name="_xlnm.Print_Area" localSheetId="0">'2016年SEMC模具保养计划表'!$A$1:$Y$382</definedName>
    <definedName name="_xlnm.Print_Titles" localSheetId="0">'2016年SEMC模具保养计划表'!$3:$4</definedName>
  </definedNames>
  <calcPr calcId="125725"/>
</workbook>
</file>

<file path=xl/calcChain.xml><?xml version="1.0" encoding="utf-8"?>
<calcChain xmlns="http://schemas.openxmlformats.org/spreadsheetml/2006/main">
  <c r="I6" i="2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5"/>
  <c r="V542" l="1"/>
  <c r="V586"/>
  <c r="V6" l="1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Y63" s="1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Y26" l="1"/>
  <c r="Y50"/>
  <c r="Y14"/>
  <c r="Y74"/>
  <c r="Y72"/>
  <c r="Y70"/>
  <c r="Y68"/>
  <c r="Y66"/>
  <c r="Y64"/>
  <c r="Y511"/>
  <c r="Y75"/>
  <c r="Y73"/>
  <c r="Y71"/>
  <c r="Y69"/>
  <c r="Y67"/>
  <c r="Y65"/>
  <c r="Y123"/>
  <c r="Y122"/>
  <c r="Y121"/>
  <c r="Y120"/>
  <c r="Y119"/>
  <c r="Y118"/>
  <c r="Y117"/>
  <c r="Y116"/>
  <c r="Y115"/>
  <c r="Y114"/>
  <c r="Y113"/>
  <c r="Y112"/>
  <c r="Y111"/>
  <c r="Y110"/>
  <c r="Y109"/>
  <c r="Y108"/>
  <c r="Y107"/>
  <c r="Y106"/>
  <c r="Y105"/>
  <c r="Y104"/>
  <c r="Y103"/>
  <c r="Y102"/>
  <c r="Y101"/>
  <c r="Y100"/>
  <c r="Y99"/>
  <c r="Y98"/>
  <c r="Y97"/>
  <c r="Y96"/>
  <c r="Y95"/>
  <c r="Y94"/>
  <c r="Y93"/>
  <c r="Y92"/>
  <c r="Y91"/>
  <c r="Y76"/>
  <c r="Y127"/>
  <c r="Y126"/>
  <c r="Y125"/>
  <c r="Y124"/>
  <c r="Y626"/>
  <c r="Y625"/>
  <c r="Y624"/>
  <c r="Y623"/>
  <c r="Y622"/>
  <c r="Y621"/>
  <c r="Y620"/>
  <c r="Y619"/>
  <c r="Y618"/>
  <c r="Y617"/>
  <c r="Y616"/>
  <c r="Y615"/>
  <c r="Y614"/>
  <c r="Y613"/>
  <c r="Y612"/>
  <c r="Y611"/>
  <c r="Y610"/>
  <c r="Y609"/>
  <c r="Y608"/>
  <c r="Y607"/>
  <c r="Y606"/>
  <c r="Y605"/>
  <c r="Y604"/>
  <c r="Y603"/>
  <c r="Y602"/>
  <c r="Y601"/>
  <c r="Y600"/>
  <c r="Y599"/>
  <c r="Y598"/>
  <c r="Y597"/>
  <c r="Y596"/>
  <c r="Y595"/>
  <c r="Y594"/>
  <c r="Y593"/>
  <c r="Y592"/>
  <c r="Y591"/>
  <c r="Y590"/>
  <c r="Y589"/>
  <c r="Y588"/>
  <c r="Y587"/>
  <c r="Y586"/>
  <c r="Y585"/>
  <c r="Y584"/>
  <c r="Y583"/>
  <c r="Y582"/>
  <c r="Y581"/>
  <c r="Y580"/>
  <c r="Y579"/>
  <c r="Y578"/>
  <c r="Y577"/>
  <c r="Y576"/>
  <c r="Y575"/>
  <c r="Y574"/>
  <c r="Y573"/>
  <c r="Y572"/>
  <c r="Y571"/>
  <c r="Y570"/>
  <c r="Y569"/>
  <c r="Y568"/>
  <c r="Y567"/>
  <c r="Y566"/>
  <c r="Y565"/>
  <c r="Y564"/>
  <c r="Y563"/>
  <c r="Y562"/>
  <c r="Y561"/>
  <c r="Y560"/>
  <c r="Y559"/>
  <c r="Y558"/>
  <c r="Y557"/>
  <c r="Y556"/>
  <c r="Y555"/>
  <c r="Y554"/>
  <c r="Y553"/>
  <c r="Y552"/>
  <c r="Y551"/>
  <c r="Y550"/>
  <c r="Y549"/>
  <c r="Y548"/>
  <c r="Y547"/>
  <c r="Y546"/>
  <c r="Y545"/>
  <c r="Y544"/>
  <c r="Y543"/>
  <c r="Y542"/>
  <c r="Y541"/>
  <c r="Y540"/>
  <c r="Y539"/>
  <c r="Y538"/>
  <c r="Y537"/>
  <c r="Y536"/>
  <c r="Y535"/>
  <c r="Y534"/>
  <c r="Y533"/>
  <c r="Y532"/>
  <c r="Y531"/>
  <c r="Y530"/>
  <c r="Y529"/>
  <c r="Y528"/>
  <c r="Y527"/>
  <c r="Y526"/>
  <c r="Y525"/>
  <c r="Y524"/>
  <c r="Y523"/>
  <c r="Y522"/>
  <c r="Y521"/>
  <c r="Y520"/>
  <c r="Y519"/>
  <c r="Y518"/>
  <c r="Y517"/>
  <c r="Y516"/>
  <c r="Y515"/>
  <c r="Y514"/>
  <c r="Y513"/>
  <c r="Y512"/>
  <c r="Y510"/>
  <c r="Y509"/>
  <c r="Y508"/>
  <c r="Y507"/>
  <c r="Y506"/>
  <c r="Y505"/>
  <c r="Y504"/>
  <c r="Y503"/>
  <c r="Y502"/>
  <c r="Y501"/>
  <c r="Y500"/>
  <c r="Y499"/>
  <c r="Y498"/>
  <c r="Y497"/>
  <c r="Y496"/>
  <c r="Y495"/>
  <c r="Y494"/>
  <c r="Y493"/>
  <c r="Y492"/>
  <c r="Y491"/>
  <c r="Y490"/>
  <c r="Y489"/>
  <c r="Y488"/>
  <c r="Y487"/>
  <c r="Y486"/>
  <c r="Y485"/>
  <c r="Y484"/>
  <c r="Y483"/>
  <c r="Y482"/>
  <c r="Y481"/>
  <c r="Y480"/>
  <c r="Y479"/>
  <c r="Y478"/>
  <c r="Y477"/>
  <c r="Y476"/>
  <c r="Y475"/>
  <c r="Y474"/>
  <c r="Y473"/>
  <c r="Y472"/>
  <c r="Y471"/>
  <c r="Y470"/>
  <c r="Y469"/>
  <c r="Y468"/>
  <c r="Y467"/>
  <c r="Y466"/>
  <c r="Y465"/>
  <c r="Y464"/>
  <c r="Y463"/>
  <c r="Y462"/>
  <c r="Y461"/>
  <c r="Y460"/>
  <c r="Y459"/>
  <c r="Y458"/>
  <c r="Y457"/>
  <c r="Y456"/>
  <c r="Y455"/>
  <c r="Y454"/>
  <c r="Y453"/>
  <c r="Y452"/>
  <c r="Y451"/>
  <c r="Y450"/>
  <c r="Y449"/>
  <c r="Y448"/>
  <c r="Y447"/>
  <c r="Y446"/>
  <c r="Y445"/>
  <c r="Y444"/>
  <c r="Y443"/>
  <c r="Y442"/>
  <c r="Y441"/>
  <c r="Y440"/>
  <c r="Y439"/>
  <c r="Y438"/>
  <c r="Y437"/>
  <c r="Y436"/>
  <c r="Y435"/>
  <c r="Y434"/>
  <c r="Y433"/>
  <c r="Y432"/>
  <c r="Y431"/>
  <c r="Y430"/>
  <c r="Y429"/>
  <c r="Y428"/>
  <c r="Y427"/>
  <c r="Y426"/>
  <c r="Y425"/>
  <c r="Y424"/>
  <c r="Y423"/>
  <c r="Y422"/>
  <c r="Y421"/>
  <c r="Y420"/>
  <c r="Y419"/>
  <c r="Y418"/>
  <c r="Y417"/>
  <c r="Y416"/>
  <c r="Y415"/>
  <c r="Y414"/>
  <c r="Y413"/>
  <c r="Y412"/>
  <c r="Y411"/>
  <c r="Y410"/>
  <c r="Y409"/>
  <c r="Y408"/>
  <c r="Y407"/>
  <c r="Y406"/>
  <c r="Y405"/>
  <c r="Y404"/>
  <c r="Y403"/>
  <c r="Y402"/>
  <c r="Y401"/>
  <c r="Y400"/>
  <c r="Y399"/>
  <c r="Y398"/>
  <c r="Y397"/>
  <c r="Y396"/>
  <c r="Y395"/>
  <c r="Y394"/>
  <c r="Y393"/>
  <c r="Y392"/>
  <c r="Y391"/>
  <c r="Y390"/>
  <c r="Y389"/>
  <c r="Y388"/>
  <c r="Y387"/>
  <c r="Y386"/>
  <c r="Y385"/>
  <c r="Y384"/>
  <c r="Y383"/>
  <c r="Y382"/>
  <c r="Y381"/>
  <c r="Y380"/>
  <c r="Y379"/>
  <c r="Y378"/>
  <c r="Y377"/>
  <c r="Y376"/>
  <c r="Y375"/>
  <c r="Y374"/>
  <c r="Y373"/>
  <c r="Y372"/>
  <c r="Y371"/>
  <c r="Y370"/>
  <c r="Y369"/>
  <c r="Y368"/>
  <c r="Y367"/>
  <c r="Y366"/>
  <c r="Y365"/>
  <c r="Y364"/>
  <c r="Y363"/>
  <c r="Y362"/>
  <c r="Y361"/>
  <c r="Y360"/>
  <c r="Y359"/>
  <c r="Y358"/>
  <c r="Y357"/>
  <c r="Y356"/>
  <c r="Y355"/>
  <c r="Y354"/>
  <c r="Y353"/>
  <c r="Y352"/>
  <c r="Y351"/>
  <c r="Y350"/>
  <c r="Y349"/>
  <c r="Y348"/>
  <c r="Y347"/>
  <c r="Y346"/>
  <c r="Y345"/>
  <c r="Y344"/>
  <c r="Y343"/>
  <c r="Y342"/>
  <c r="Y341"/>
  <c r="Y340"/>
  <c r="Y339"/>
  <c r="Y338"/>
  <c r="Y337"/>
  <c r="Y336"/>
  <c r="Y335"/>
  <c r="Y334"/>
  <c r="Y333"/>
  <c r="Y332"/>
  <c r="Y331"/>
  <c r="Y330"/>
  <c r="Y329"/>
  <c r="Y328"/>
  <c r="Y327"/>
  <c r="Y326"/>
  <c r="Y325"/>
  <c r="Y324"/>
  <c r="Y323"/>
  <c r="Y322"/>
  <c r="Y321"/>
  <c r="Y320"/>
  <c r="Y319"/>
  <c r="Y318"/>
  <c r="Y317"/>
  <c r="Y316"/>
  <c r="Y315"/>
  <c r="Y314"/>
  <c r="Y313"/>
  <c r="Y312"/>
  <c r="Y311"/>
  <c r="Y310"/>
  <c r="Y309"/>
  <c r="Y308"/>
  <c r="Y307"/>
  <c r="Y306"/>
  <c r="Y305"/>
  <c r="Y304"/>
  <c r="Y303"/>
  <c r="Y302"/>
  <c r="Y301"/>
  <c r="Y300"/>
  <c r="Y299"/>
  <c r="Y298"/>
  <c r="Y297"/>
  <c r="Y296"/>
  <c r="Y295"/>
  <c r="Y294"/>
  <c r="Y293"/>
  <c r="Y292"/>
  <c r="Y291"/>
  <c r="Y290"/>
  <c r="Y289"/>
  <c r="Y288"/>
  <c r="Y287"/>
  <c r="Y286"/>
  <c r="Y285"/>
  <c r="Y284"/>
  <c r="Y283"/>
  <c r="Y282"/>
  <c r="Y281"/>
  <c r="Y280"/>
  <c r="Y279"/>
  <c r="Y278"/>
  <c r="Y277"/>
  <c r="Y276"/>
  <c r="Y275"/>
  <c r="Y274"/>
  <c r="Y273"/>
  <c r="Y272"/>
  <c r="Y271"/>
  <c r="Y270"/>
  <c r="Y269"/>
  <c r="Y268"/>
  <c r="Y267"/>
  <c r="Y266"/>
  <c r="Y265"/>
  <c r="Y264"/>
  <c r="Y263"/>
  <c r="Y262"/>
  <c r="Y261"/>
  <c r="Y260"/>
  <c r="Y259"/>
  <c r="Y258"/>
  <c r="Y257"/>
  <c r="Y256"/>
  <c r="Y255"/>
  <c r="Y254"/>
  <c r="Y253"/>
  <c r="Y252"/>
  <c r="Y251"/>
  <c r="Y250"/>
  <c r="Y249"/>
  <c r="Y248"/>
  <c r="Y247"/>
  <c r="Y246"/>
  <c r="Y245"/>
  <c r="Y244"/>
  <c r="Y243"/>
  <c r="Y242"/>
  <c r="Y241"/>
  <c r="Y240"/>
  <c r="Y239"/>
  <c r="Y238"/>
  <c r="Y237"/>
  <c r="Y236"/>
  <c r="Y235"/>
  <c r="Y234"/>
  <c r="Y233"/>
  <c r="Y232"/>
  <c r="Y231"/>
  <c r="Y230"/>
  <c r="Y229"/>
  <c r="Y228"/>
  <c r="Y227"/>
  <c r="Y226"/>
  <c r="Y225"/>
  <c r="Y224"/>
  <c r="Y223"/>
  <c r="Y222"/>
  <c r="Y221"/>
  <c r="Y220"/>
  <c r="Y219"/>
  <c r="Y218"/>
  <c r="Y217"/>
  <c r="Y216"/>
  <c r="Y215"/>
  <c r="Y214"/>
  <c r="Y213"/>
  <c r="Y212"/>
  <c r="Y211"/>
  <c r="Y210"/>
  <c r="Y209"/>
  <c r="Y208"/>
  <c r="Y207"/>
  <c r="Y206"/>
  <c r="Y205"/>
  <c r="Y204"/>
  <c r="Y203"/>
  <c r="Y202"/>
  <c r="Y201"/>
  <c r="Y200"/>
  <c r="Y199"/>
  <c r="Y198"/>
  <c r="Y197"/>
  <c r="Y196"/>
  <c r="Y195"/>
  <c r="Y194"/>
  <c r="Y193"/>
  <c r="Y192"/>
  <c r="Y191"/>
  <c r="Y190"/>
  <c r="Y189"/>
  <c r="Y188"/>
  <c r="Y187"/>
  <c r="Y186"/>
  <c r="Y185"/>
  <c r="Y184"/>
  <c r="Y183"/>
  <c r="Y182"/>
  <c r="Y181"/>
  <c r="Y180"/>
  <c r="Y179"/>
  <c r="Y178"/>
  <c r="Y177"/>
  <c r="Y176"/>
  <c r="Y175"/>
  <c r="Y174"/>
  <c r="Y173"/>
  <c r="Y172"/>
  <c r="Y171"/>
  <c r="Y170"/>
  <c r="Y169"/>
  <c r="Y168"/>
  <c r="Y167"/>
  <c r="Y166"/>
  <c r="Y165"/>
  <c r="Y164"/>
  <c r="Y163"/>
  <c r="Y162"/>
  <c r="Y161"/>
  <c r="Y160"/>
  <c r="Y159"/>
  <c r="Y158"/>
  <c r="Y157"/>
  <c r="Y156"/>
  <c r="Y155"/>
  <c r="Y154"/>
  <c r="Y153"/>
  <c r="Y152"/>
  <c r="Y151"/>
  <c r="Y150"/>
  <c r="Y149"/>
  <c r="Y148"/>
  <c r="Y147"/>
  <c r="Y146"/>
  <c r="Y145"/>
  <c r="Y144"/>
  <c r="Y143"/>
  <c r="Y142"/>
  <c r="Y141"/>
  <c r="Y140"/>
  <c r="Y139"/>
  <c r="Y138"/>
  <c r="Y137"/>
  <c r="Y136"/>
  <c r="Y135"/>
  <c r="Y134"/>
  <c r="Y133"/>
  <c r="Y132"/>
  <c r="Y131"/>
  <c r="Y130"/>
  <c r="Y129"/>
  <c r="Y128"/>
  <c r="Y90"/>
  <c r="Y89"/>
  <c r="Y88"/>
  <c r="Y87"/>
  <c r="Y86"/>
  <c r="Y85"/>
  <c r="Y84"/>
  <c r="Y83"/>
  <c r="Y82"/>
  <c r="Y81"/>
  <c r="Y80"/>
  <c r="Y79"/>
  <c r="Y78"/>
  <c r="Y77"/>
  <c r="Y62"/>
  <c r="Y61"/>
  <c r="Y60"/>
  <c r="Y59"/>
  <c r="Y58"/>
  <c r="Y57"/>
  <c r="Y56"/>
  <c r="Y55"/>
  <c r="Y54"/>
  <c r="Y53"/>
  <c r="Y52"/>
  <c r="Y51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5"/>
  <c r="Y24"/>
  <c r="Y23"/>
  <c r="Y22"/>
  <c r="Y21"/>
  <c r="Y20"/>
  <c r="Y19"/>
  <c r="Y18"/>
  <c r="Y17"/>
  <c r="Y16"/>
  <c r="Y15"/>
  <c r="Y13"/>
  <c r="Y12"/>
  <c r="Y11"/>
  <c r="Y10"/>
  <c r="Y9"/>
  <c r="Y8"/>
  <c r="Y7"/>
  <c r="Y6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"/>
  <c r="V5" l="1"/>
  <c r="Y5" s="1"/>
</calcChain>
</file>

<file path=xl/comments1.xml><?xml version="1.0" encoding="utf-8"?>
<comments xmlns="http://schemas.openxmlformats.org/spreadsheetml/2006/main">
  <authors>
    <author>SESA271904</author>
    <author>SESA271910</author>
    <author>作者</author>
  </authors>
  <commentList>
    <comment ref="E305" authorId="0">
      <text>
        <r>
          <rPr>
            <b/>
            <sz val="9"/>
            <color indexed="81"/>
            <rFont val="Tahoma"/>
            <family val="2"/>
          </rPr>
          <t>SESA271904: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有两腔坏，堵死</t>
        </r>
      </text>
    </comment>
    <comment ref="F305" authorId="0">
      <text>
        <r>
          <rPr>
            <b/>
            <sz val="9"/>
            <color indexed="81"/>
            <rFont val="Tahoma"/>
            <family val="2"/>
          </rPr>
          <t>SESA271904: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有两腔坏，堵死</t>
        </r>
      </text>
    </comment>
    <comment ref="C363" authorId="1">
      <text>
        <r>
          <rPr>
            <b/>
            <sz val="9"/>
            <color indexed="81"/>
            <rFont val="宋体"/>
            <family val="3"/>
            <charset val="134"/>
          </rPr>
          <t>汤超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此零件转卖给</t>
        </r>
        <r>
          <rPr>
            <b/>
            <sz val="9"/>
            <color indexed="81"/>
            <rFont val="Tahoma"/>
            <family val="2"/>
          </rPr>
          <t>CMHL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88" authorId="2">
      <text>
        <r>
          <rPr>
            <b/>
            <sz val="9"/>
            <color indexed="81"/>
            <rFont val="Tahoma"/>
            <family val="2"/>
          </rPr>
          <t>新模转SEMC.旧模在CMHL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92" authorId="2">
      <text>
        <r>
          <rPr>
            <sz val="9"/>
            <color indexed="81"/>
            <rFont val="Tahoma"/>
            <family val="2"/>
          </rPr>
          <t xml:space="preserve">新模
</t>
        </r>
      </text>
    </comment>
    <comment ref="B496" authorId="2">
      <text>
        <r>
          <rPr>
            <b/>
            <sz val="9"/>
            <color indexed="81"/>
            <rFont val="Tahoma"/>
            <family val="2"/>
          </rPr>
          <t xml:space="preserve">旧模报废（1~4）
</t>
        </r>
        <r>
          <rPr>
            <sz val="9"/>
            <color indexed="81"/>
            <rFont val="Tahoma"/>
            <family val="2"/>
          </rPr>
          <t xml:space="preserve">
5~8外发合众</t>
        </r>
      </text>
    </comment>
    <comment ref="B499" authorId="2">
      <text>
        <r>
          <rPr>
            <b/>
            <sz val="9"/>
            <color indexed="81"/>
            <rFont val="Tahoma"/>
            <family val="2"/>
          </rPr>
          <t>新模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07" authorId="2">
      <text>
        <r>
          <rPr>
            <sz val="9"/>
            <color indexed="81"/>
            <rFont val="宋体"/>
            <family val="3"/>
            <charset val="134"/>
          </rPr>
          <t xml:space="preserve">新模
</t>
        </r>
      </text>
    </comment>
  </commentList>
</comments>
</file>

<file path=xl/sharedStrings.xml><?xml version="1.0" encoding="utf-8"?>
<sst xmlns="http://schemas.openxmlformats.org/spreadsheetml/2006/main" count="2314" uniqueCount="1501">
  <si>
    <t>模具编号</t>
  </si>
  <si>
    <t>模具描述</t>
  </si>
  <si>
    <t>保养周期啤数</t>
    <phoneticPr fontId="21" type="noConversion"/>
  </si>
  <si>
    <t>零件编号</t>
    <phoneticPr fontId="21" type="noConversion"/>
  </si>
  <si>
    <t>型腔数量</t>
    <phoneticPr fontId="21" type="noConversion"/>
  </si>
  <si>
    <t>序号</t>
    <phoneticPr fontId="21" type="noConversion"/>
  </si>
  <si>
    <t>系列</t>
    <phoneticPr fontId="21" type="noConversion"/>
  </si>
  <si>
    <t>保养预警</t>
  </si>
  <si>
    <t>模具套数</t>
  </si>
  <si>
    <t xml:space="preserve">模具定期保养记录表 </t>
  </si>
  <si>
    <t>保养日期：</t>
  </si>
  <si>
    <t>模具类别：</t>
  </si>
  <si>
    <t xml:space="preserve">保养单号：   </t>
  </si>
  <si>
    <t>项次</t>
  </si>
  <si>
    <t>保养项目</t>
  </si>
  <si>
    <t>模具保养范围</t>
  </si>
  <si>
    <t>合格</t>
  </si>
  <si>
    <t>不合格</t>
  </si>
  <si>
    <t>不合格处理方式记录</t>
  </si>
  <si>
    <t>清理模具表面和模具型腔内油污、赃物、异物、锈斑及灰尘</t>
  </si>
  <si>
    <t>所有模具</t>
  </si>
  <si>
    <t>检查分模面和模芯/镶件/镶针有否损坏</t>
  </si>
  <si>
    <t>清除流道口及浇口楚的异物</t>
  </si>
  <si>
    <t>检查导套/导柱/回针/顶针/弹簧/耐温胶圈是否良好和加上高温油</t>
  </si>
  <si>
    <t>清洁擦破、靠破锈斑，检查有无拉伤撞伤</t>
  </si>
  <si>
    <t>水路保养</t>
  </si>
  <si>
    <t>检查有无堵塞，漏水现象</t>
  </si>
  <si>
    <t>检查连接螺丝是否完好</t>
  </si>
  <si>
    <t>螺丝有损坏或滑丝要更换新的</t>
  </si>
  <si>
    <t>定位环、胶口杯检查有无损坏</t>
  </si>
  <si>
    <t>用万用表检查插头插座/发热圈/分流板/温控箱/电线是否良好</t>
  </si>
  <si>
    <t>热流道模具</t>
  </si>
  <si>
    <t>检查行位和气缸及滑动件/铲鸡/压块/斜顶等有否磨损</t>
  </si>
  <si>
    <t>重点检查，有无损坏现象</t>
  </si>
  <si>
    <t>带气缸模具</t>
  </si>
  <si>
    <t>检查螺牙/螺套有否损坏，检查拉杆和轴承/齿轮是否运转顺畅</t>
  </si>
  <si>
    <t>有咬伤、拉伤、变形的修护</t>
  </si>
  <si>
    <t>轴承类模具</t>
  </si>
  <si>
    <t xml:space="preserve"> 注：合格打 “√”，不合格打“X”</t>
  </si>
  <si>
    <t>保养人签名：</t>
  </si>
  <si>
    <t>监督人签名：</t>
  </si>
  <si>
    <t>善用其效  尽享其能</t>
  </si>
  <si>
    <r>
      <rPr>
        <sz val="12"/>
        <rFont val="宋体"/>
        <family val="3"/>
        <charset val="134"/>
      </rPr>
      <t>表格编号：</t>
    </r>
    <r>
      <rPr>
        <sz val="12"/>
        <rFont val="Arial"/>
        <family val="2"/>
      </rPr>
      <t>FM-TLG-014</t>
    </r>
    <phoneticPr fontId="35" type="noConversion"/>
  </si>
  <si>
    <t>2016年SEMC模具保养计划</t>
    <phoneticPr fontId="21" type="noConversion"/>
  </si>
  <si>
    <t>实际型腔数</t>
    <phoneticPr fontId="21" type="noConversion"/>
  </si>
  <si>
    <t>月份</t>
    <phoneticPr fontId="21" type="noConversion"/>
  </si>
  <si>
    <t>保养时间记录</t>
    <phoneticPr fontId="21" type="noConversion"/>
  </si>
  <si>
    <t>预留空格</t>
    <phoneticPr fontId="21" type="noConversion"/>
  </si>
  <si>
    <t>2016   保养次数</t>
    <phoneticPr fontId="21" type="noConversion"/>
  </si>
  <si>
    <t>保养周期已生产啤数</t>
    <phoneticPr fontId="21" type="noConversion"/>
  </si>
  <si>
    <t>AC-1201-029</t>
    <phoneticPr fontId="21" type="noConversion"/>
  </si>
  <si>
    <t>S1B64889</t>
    <phoneticPr fontId="21" type="noConversion"/>
  </si>
  <si>
    <t>10A三插固定架</t>
    <phoneticPr fontId="21" type="noConversion"/>
  </si>
  <si>
    <t>Arcato</t>
    <phoneticPr fontId="21" type="noConversion"/>
  </si>
  <si>
    <t>AC-1201-027</t>
    <phoneticPr fontId="21" type="noConversion"/>
  </si>
  <si>
    <t>S1B64890</t>
    <phoneticPr fontId="21" type="noConversion"/>
  </si>
  <si>
    <t>10A三插面盖</t>
    <phoneticPr fontId="21" type="noConversion"/>
  </si>
  <si>
    <t>AC-1201-018</t>
    <phoneticPr fontId="21" type="noConversion"/>
  </si>
  <si>
    <t>S1B65314</t>
    <phoneticPr fontId="21" type="noConversion"/>
  </si>
  <si>
    <t>10A带开关五孔面盖</t>
    <phoneticPr fontId="21" type="noConversion"/>
  </si>
  <si>
    <t>AC-1201-032</t>
    <phoneticPr fontId="21" type="noConversion"/>
  </si>
  <si>
    <t>S1B68271</t>
    <phoneticPr fontId="21" type="noConversion"/>
  </si>
  <si>
    <t>16A带开关三插固定架</t>
    <phoneticPr fontId="21" type="noConversion"/>
  </si>
  <si>
    <t>AC-1201-030</t>
    <phoneticPr fontId="21" type="noConversion"/>
  </si>
  <si>
    <t>S1B68272</t>
    <phoneticPr fontId="21" type="noConversion"/>
  </si>
  <si>
    <t>16A带开关三插面盖</t>
    <phoneticPr fontId="21" type="noConversion"/>
  </si>
  <si>
    <t>AC-1201-022</t>
    <phoneticPr fontId="21" type="noConversion"/>
  </si>
  <si>
    <t>S1B72906</t>
    <phoneticPr fontId="21" type="noConversion"/>
  </si>
  <si>
    <t>10A带开关三插固定架</t>
    <phoneticPr fontId="21" type="noConversion"/>
  </si>
  <si>
    <t>AC-1201-020</t>
    <phoneticPr fontId="21" type="noConversion"/>
  </si>
  <si>
    <t>S1B72907</t>
    <phoneticPr fontId="21" type="noConversion"/>
  </si>
  <si>
    <t>10A带开关三插面盖</t>
    <phoneticPr fontId="21" type="noConversion"/>
  </si>
  <si>
    <t>AC-1201-031</t>
    <phoneticPr fontId="21" type="noConversion"/>
  </si>
  <si>
    <t>S1B68276</t>
    <phoneticPr fontId="21" type="noConversion"/>
  </si>
  <si>
    <t>16A三插保护门</t>
    <phoneticPr fontId="21" type="noConversion"/>
  </si>
  <si>
    <t>Arcato</t>
    <phoneticPr fontId="21" type="noConversion"/>
  </si>
  <si>
    <t>AC-1201-028</t>
    <phoneticPr fontId="21" type="noConversion"/>
  </si>
  <si>
    <t>S1B70744</t>
    <phoneticPr fontId="21" type="noConversion"/>
  </si>
  <si>
    <t>10A三插旋转保护门</t>
    <phoneticPr fontId="21" type="noConversion"/>
  </si>
  <si>
    <t>AC-1201-043</t>
    <phoneticPr fontId="21" type="noConversion"/>
  </si>
  <si>
    <t>S1B79162</t>
    <phoneticPr fontId="21" type="noConversion"/>
  </si>
  <si>
    <t>16A三插固定架</t>
    <phoneticPr fontId="21" type="noConversion"/>
  </si>
  <si>
    <t>AC-1201-044</t>
    <phoneticPr fontId="21" type="noConversion"/>
  </si>
  <si>
    <t>S1B79163</t>
    <phoneticPr fontId="21" type="noConversion"/>
  </si>
  <si>
    <t>16A三插面盖</t>
    <phoneticPr fontId="21" type="noConversion"/>
  </si>
  <si>
    <t>AC-1201-045</t>
    <phoneticPr fontId="21" type="noConversion"/>
  </si>
  <si>
    <t>S1B65303</t>
    <phoneticPr fontId="21" type="noConversion"/>
  </si>
  <si>
    <t>3插保护门</t>
    <phoneticPr fontId="21" type="noConversion"/>
  </si>
  <si>
    <t>S1B65313</t>
    <phoneticPr fontId="21" type="noConversion"/>
  </si>
  <si>
    <t>10A带开关五孔固定架</t>
    <phoneticPr fontId="21" type="noConversion"/>
  </si>
  <si>
    <t>S1B65300</t>
    <phoneticPr fontId="21" type="noConversion"/>
  </si>
  <si>
    <t>五孔插固定架</t>
    <phoneticPr fontId="21" type="noConversion"/>
  </si>
  <si>
    <t>S1B65301</t>
    <phoneticPr fontId="21" type="noConversion"/>
  </si>
  <si>
    <t>五孔插面盖</t>
    <phoneticPr fontId="21" type="noConversion"/>
  </si>
  <si>
    <t>S1B64927</t>
    <phoneticPr fontId="21" type="noConversion"/>
  </si>
  <si>
    <t>10A一位二扁圆面盖</t>
    <phoneticPr fontId="21" type="noConversion"/>
  </si>
  <si>
    <t>S1B64926</t>
    <phoneticPr fontId="21" type="noConversion"/>
  </si>
  <si>
    <t>10A一位二扁圆固定架</t>
    <phoneticPr fontId="21" type="noConversion"/>
  </si>
  <si>
    <t>S1B64893</t>
    <phoneticPr fontId="21" type="noConversion"/>
  </si>
  <si>
    <t>10A二位二扁圆固定架</t>
    <phoneticPr fontId="21" type="noConversion"/>
  </si>
  <si>
    <t>S1B64894</t>
    <phoneticPr fontId="21" type="noConversion"/>
  </si>
  <si>
    <t>10A二位二扁圆面盖</t>
    <phoneticPr fontId="21" type="noConversion"/>
  </si>
  <si>
    <t>S1B72236</t>
    <phoneticPr fontId="21" type="noConversion"/>
  </si>
  <si>
    <t>10A带开关二扁圆面盖</t>
    <phoneticPr fontId="21" type="noConversion"/>
  </si>
  <si>
    <t>S1B72228</t>
    <phoneticPr fontId="21" type="noConversion"/>
  </si>
  <si>
    <t>10A带开关二扁圆固定架</t>
    <phoneticPr fontId="21" type="noConversion"/>
  </si>
  <si>
    <t>S1B65302</t>
    <phoneticPr fontId="21" type="noConversion"/>
  </si>
  <si>
    <t>2插保护门</t>
    <phoneticPr fontId="21" type="noConversion"/>
  </si>
  <si>
    <t>Arcato/E5/A5</t>
    <phoneticPr fontId="21" type="noConversion"/>
  </si>
  <si>
    <t>S1B60576</t>
    <phoneticPr fontId="21" type="noConversion"/>
  </si>
  <si>
    <t>两位空白面板</t>
    <phoneticPr fontId="21" type="noConversion"/>
  </si>
  <si>
    <t>S1B62789</t>
    <phoneticPr fontId="21" type="noConversion"/>
  </si>
  <si>
    <t>两位电视插固定架</t>
    <phoneticPr fontId="21" type="noConversion"/>
  </si>
  <si>
    <t>S1B70389-S</t>
    <phoneticPr fontId="21" type="noConversion"/>
  </si>
  <si>
    <t>电视，电脑插固定架</t>
    <phoneticPr fontId="21" type="noConversion"/>
  </si>
  <si>
    <t>S1B68275</t>
    <phoneticPr fontId="21" type="noConversion"/>
  </si>
  <si>
    <t>小按钮</t>
    <phoneticPr fontId="21" type="noConversion"/>
  </si>
  <si>
    <t>S1B65855</t>
    <phoneticPr fontId="21" type="noConversion"/>
  </si>
  <si>
    <t>四位双控开关后座</t>
    <phoneticPr fontId="21" type="noConversion"/>
  </si>
  <si>
    <t>S1B65514</t>
    <phoneticPr fontId="21" type="noConversion"/>
  </si>
  <si>
    <t>二位单极开关固定架</t>
    <phoneticPr fontId="21" type="noConversion"/>
  </si>
  <si>
    <t>S1B63122</t>
    <phoneticPr fontId="21" type="noConversion"/>
  </si>
  <si>
    <t>三位单极开关固定架</t>
    <phoneticPr fontId="21" type="noConversion"/>
  </si>
  <si>
    <t>S1B60572</t>
    <phoneticPr fontId="21" type="noConversion"/>
  </si>
  <si>
    <t>盖片</t>
    <phoneticPr fontId="21" type="noConversion"/>
  </si>
  <si>
    <t>S1B65844</t>
    <phoneticPr fontId="21" type="noConversion"/>
  </si>
  <si>
    <t>四位单极开关固定架</t>
    <phoneticPr fontId="21" type="noConversion"/>
  </si>
  <si>
    <t>S1B62769</t>
    <phoneticPr fontId="21" type="noConversion"/>
  </si>
  <si>
    <t>45A一位双极开关固定架</t>
    <phoneticPr fontId="21" type="noConversion"/>
  </si>
  <si>
    <t>S1B78803</t>
    <phoneticPr fontId="21" type="noConversion"/>
  </si>
  <si>
    <t>45A一位双极开关后座</t>
    <phoneticPr fontId="21" type="noConversion"/>
  </si>
  <si>
    <t>S1B62786</t>
    <phoneticPr fontId="21" type="noConversion"/>
  </si>
  <si>
    <t>一位电视插固定架</t>
    <phoneticPr fontId="21" type="noConversion"/>
  </si>
  <si>
    <t>S1B66737</t>
    <phoneticPr fontId="21" type="noConversion"/>
  </si>
  <si>
    <t>一位电话插座固定架</t>
    <phoneticPr fontId="21" type="noConversion"/>
  </si>
  <si>
    <t>S1B66749</t>
    <phoneticPr fontId="21" type="noConversion"/>
  </si>
  <si>
    <t>S1B66749-S</t>
    <phoneticPr fontId="21" type="noConversion"/>
  </si>
  <si>
    <t>两位电话插固定架</t>
    <phoneticPr fontId="21" type="noConversion"/>
  </si>
  <si>
    <t>S1B63113</t>
    <phoneticPr fontId="21" type="noConversion"/>
  </si>
  <si>
    <t>一位开关按钮</t>
    <phoneticPr fontId="21" type="noConversion"/>
  </si>
  <si>
    <t>S1B63121</t>
    <phoneticPr fontId="21" type="noConversion"/>
  </si>
  <si>
    <t>三位开关按钮</t>
    <phoneticPr fontId="21" type="noConversion"/>
  </si>
  <si>
    <t>S1B65846</t>
    <phoneticPr fontId="21" type="noConversion"/>
  </si>
  <si>
    <t>四位单极开关后座</t>
    <phoneticPr fontId="21" type="noConversion"/>
  </si>
  <si>
    <t>S1B62770</t>
    <phoneticPr fontId="21" type="noConversion"/>
  </si>
  <si>
    <t>45A一位双极开关按钮</t>
    <phoneticPr fontId="21" type="noConversion"/>
  </si>
  <si>
    <t>S1B63114</t>
    <phoneticPr fontId="21" type="noConversion"/>
  </si>
  <si>
    <t>一位单极开关固定架</t>
    <phoneticPr fontId="21" type="noConversion"/>
  </si>
  <si>
    <t>S1B60571</t>
    <phoneticPr fontId="21" type="noConversion"/>
  </si>
  <si>
    <t>一位空白面板</t>
    <phoneticPr fontId="21" type="noConversion"/>
  </si>
  <si>
    <t>S1B62764</t>
    <phoneticPr fontId="21" type="noConversion"/>
  </si>
  <si>
    <t>20A二位双极开关固定架</t>
    <phoneticPr fontId="21" type="noConversion"/>
  </si>
  <si>
    <t>S1B65511</t>
    <phoneticPr fontId="21" type="noConversion"/>
  </si>
  <si>
    <t>二位开关按钮</t>
    <phoneticPr fontId="21" type="noConversion"/>
  </si>
  <si>
    <t>S1B62765</t>
    <phoneticPr fontId="21" type="noConversion"/>
  </si>
  <si>
    <t>20A二位双极开关按钮</t>
    <phoneticPr fontId="21" type="noConversion"/>
  </si>
  <si>
    <t>AC-1301-009</t>
    <phoneticPr fontId="21" type="noConversion"/>
  </si>
  <si>
    <t>Gridplate for A5B14</t>
    <phoneticPr fontId="21" type="noConversion"/>
  </si>
  <si>
    <t>A5</t>
    <phoneticPr fontId="21" type="noConversion"/>
  </si>
  <si>
    <t>AC-1301-008</t>
    <phoneticPr fontId="21" type="noConversion"/>
  </si>
  <si>
    <t>Cover for A5B14</t>
    <phoneticPr fontId="21" type="noConversion"/>
  </si>
  <si>
    <t>AC-1301-006</t>
    <phoneticPr fontId="21" type="noConversion"/>
  </si>
  <si>
    <t>Cover for E5B14</t>
    <phoneticPr fontId="21" type="noConversion"/>
  </si>
  <si>
    <t>E5</t>
    <phoneticPr fontId="21" type="noConversion"/>
  </si>
  <si>
    <t>AC-1301-005</t>
    <phoneticPr fontId="21" type="noConversion"/>
  </si>
  <si>
    <t>3 Pin shutter</t>
    <phoneticPr fontId="21" type="noConversion"/>
  </si>
  <si>
    <t>E5/A5</t>
    <phoneticPr fontId="21" type="noConversion"/>
  </si>
  <si>
    <t>Gridplate for A5B14 （B模）</t>
    <phoneticPr fontId="21" type="noConversion"/>
  </si>
  <si>
    <t>AC-1301-058</t>
    <phoneticPr fontId="21" type="noConversion"/>
  </si>
  <si>
    <t>Gridplate for A5B14 （C模）</t>
    <phoneticPr fontId="21" type="noConversion"/>
  </si>
  <si>
    <t>AC-1301-057</t>
    <phoneticPr fontId="21" type="noConversion"/>
  </si>
  <si>
    <t>Gridplate for E5B14 （B模）</t>
    <phoneticPr fontId="21" type="noConversion"/>
  </si>
  <si>
    <t>LS-054</t>
    <phoneticPr fontId="21" type="noConversion"/>
  </si>
  <si>
    <t>A2/EP2/EP2G/EP6开关通用荧光粒 65</t>
    <phoneticPr fontId="21" type="noConversion"/>
  </si>
  <si>
    <t>A2</t>
    <phoneticPr fontId="21" type="noConversion"/>
  </si>
  <si>
    <t>NLINM1306</t>
    <phoneticPr fontId="21" type="noConversion"/>
  </si>
  <si>
    <t>（通用,V3除外）电话电脑插支架 05（备模B）</t>
    <phoneticPr fontId="21" type="noConversion"/>
  </si>
  <si>
    <t>NLINM1307</t>
    <phoneticPr fontId="21" type="noConversion"/>
  </si>
  <si>
    <t>（通用）电话电脑插保护门 05</t>
    <phoneticPr fontId="21" type="noConversion"/>
  </si>
  <si>
    <t>NLINM0466</t>
    <phoneticPr fontId="21" type="noConversion"/>
  </si>
  <si>
    <t>NLINM1334</t>
    <phoneticPr fontId="21" type="noConversion"/>
  </si>
  <si>
    <t>（通用）10A五孔二插保护门 04</t>
    <phoneticPr fontId="21" type="noConversion"/>
  </si>
  <si>
    <t>A2/A5/E5</t>
    <phoneticPr fontId="21" type="noConversion"/>
  </si>
  <si>
    <t>04-336</t>
    <phoneticPr fontId="21" type="noConversion"/>
  </si>
  <si>
    <t>（通用）调光调速开关旋钮 05</t>
    <phoneticPr fontId="21" type="noConversion"/>
  </si>
  <si>
    <t>插座防溅盒上盖 05(EP3/5根据喷码识别)</t>
    <phoneticPr fontId="21" type="noConversion"/>
  </si>
  <si>
    <t>防溅盒</t>
    <phoneticPr fontId="21" type="noConversion"/>
  </si>
  <si>
    <t>开关防溅盒上盖 05(EP3/5根据喷码识别)</t>
    <phoneticPr fontId="21" type="noConversion"/>
  </si>
  <si>
    <t>NLINM1020</t>
    <phoneticPr fontId="21" type="noConversion"/>
  </si>
  <si>
    <t>E5一位开关荧光条</t>
    <phoneticPr fontId="21" type="noConversion"/>
  </si>
  <si>
    <t>NLINM1021</t>
    <phoneticPr fontId="21" type="noConversion"/>
  </si>
  <si>
    <t>E5二位开关荧光条</t>
    <phoneticPr fontId="21" type="noConversion"/>
  </si>
  <si>
    <t>NLINM1022</t>
    <phoneticPr fontId="21" type="noConversion"/>
  </si>
  <si>
    <t>E5三位开关荧光条</t>
    <phoneticPr fontId="21" type="noConversion"/>
  </si>
  <si>
    <t>NLINM1023</t>
    <phoneticPr fontId="21" type="noConversion"/>
  </si>
  <si>
    <t>E5四位荧光条</t>
    <phoneticPr fontId="21" type="noConversion"/>
  </si>
  <si>
    <t>NLINM0790</t>
    <phoneticPr fontId="21" type="noConversion"/>
  </si>
  <si>
    <t>EP5/2多功能插转换片</t>
    <phoneticPr fontId="21" type="noConversion"/>
  </si>
  <si>
    <t>NLINM0554/0274</t>
    <phoneticPr fontId="21" type="noConversion"/>
  </si>
  <si>
    <t>EP2-10A多用插保护门 04</t>
    <phoneticPr fontId="21" type="noConversion"/>
  </si>
  <si>
    <t>NLINM1305</t>
    <phoneticPr fontId="21" type="noConversion"/>
  </si>
  <si>
    <t>（通用）V3系列10A三极插保护门(备模B)</t>
    <phoneticPr fontId="21" type="noConversion"/>
  </si>
  <si>
    <t>B1610</t>
    <phoneticPr fontId="21" type="noConversion"/>
  </si>
  <si>
    <t>（通用）V3系列10A三极插保护门（备模C）</t>
    <phoneticPr fontId="21" type="noConversion"/>
  </si>
  <si>
    <t>NLINM0634</t>
    <phoneticPr fontId="21" type="noConversion"/>
  </si>
  <si>
    <t>（通用）V3系列10A三极插保护门   04</t>
    <phoneticPr fontId="21" type="noConversion"/>
  </si>
  <si>
    <t>NLINM0635</t>
    <phoneticPr fontId="21" type="noConversion"/>
  </si>
  <si>
    <t>（通用）V3系列16A三极插座保护门   04</t>
    <phoneticPr fontId="21" type="noConversion"/>
  </si>
  <si>
    <t>NLINM0766</t>
    <phoneticPr fontId="21" type="noConversion"/>
  </si>
  <si>
    <t>（K系列通用）K3机械风量开关转轴  05</t>
    <phoneticPr fontId="21" type="noConversion"/>
  </si>
  <si>
    <t>NLINM0767</t>
    <phoneticPr fontId="21" type="noConversion"/>
  </si>
  <si>
    <t>K3机械风量开关定位环</t>
    <phoneticPr fontId="21" type="noConversion"/>
  </si>
  <si>
    <t>NLINM1297</t>
    <phoneticPr fontId="21" type="noConversion"/>
  </si>
  <si>
    <t>E5一位单极开关后座04(备模B）</t>
    <phoneticPr fontId="21" type="noConversion"/>
  </si>
  <si>
    <t>B1611</t>
    <phoneticPr fontId="21" type="noConversion"/>
  </si>
  <si>
    <t>E5一位开关压板(备模C）</t>
    <phoneticPr fontId="21" type="noConversion"/>
  </si>
  <si>
    <t>NLINM1296</t>
    <phoneticPr fontId="21" type="noConversion"/>
  </si>
  <si>
    <t>E5一位开关压板04(备模B）</t>
    <phoneticPr fontId="21" type="noConversion"/>
  </si>
  <si>
    <t>NLINM1298</t>
    <phoneticPr fontId="21" type="noConversion"/>
  </si>
  <si>
    <t>E5一位开关摆杆04(备模B）</t>
    <phoneticPr fontId="21" type="noConversion"/>
  </si>
  <si>
    <t>NLINM1802</t>
    <phoneticPr fontId="21" type="noConversion"/>
  </si>
  <si>
    <t>E5一位开关摆杆 04（C模）</t>
    <phoneticPr fontId="21" type="noConversion"/>
  </si>
  <si>
    <t>NLINM1592</t>
    <phoneticPr fontId="21" type="noConversion"/>
  </si>
  <si>
    <t>E5一位双控开关后座 04</t>
    <phoneticPr fontId="21" type="noConversion"/>
  </si>
  <si>
    <t>NLINM0847</t>
    <phoneticPr fontId="21" type="noConversion"/>
  </si>
  <si>
    <t>E5三位单极开关后座</t>
    <phoneticPr fontId="21" type="noConversion"/>
  </si>
  <si>
    <t xml:space="preserve">E5  </t>
    <phoneticPr fontId="21" type="noConversion"/>
  </si>
  <si>
    <t>NLINM0849</t>
    <phoneticPr fontId="21" type="noConversion"/>
  </si>
  <si>
    <t>E5三位开关压板</t>
    <phoneticPr fontId="21" type="noConversion"/>
  </si>
  <si>
    <t>NLINM0848</t>
    <phoneticPr fontId="21" type="noConversion"/>
  </si>
  <si>
    <t>E5三位双控开关后座</t>
    <phoneticPr fontId="21" type="noConversion"/>
  </si>
  <si>
    <t>NLINM0851</t>
    <phoneticPr fontId="21" type="noConversion"/>
  </si>
  <si>
    <t>E5四位单极开关后座</t>
    <phoneticPr fontId="21" type="noConversion"/>
  </si>
  <si>
    <t>NLINM0853</t>
    <phoneticPr fontId="21" type="noConversion"/>
  </si>
  <si>
    <t>E5四位开关压板</t>
    <phoneticPr fontId="21" type="noConversion"/>
  </si>
  <si>
    <t>NLINM0852</t>
    <phoneticPr fontId="21" type="noConversion"/>
  </si>
  <si>
    <t>E5四位双控开关后座</t>
    <phoneticPr fontId="21" type="noConversion"/>
  </si>
  <si>
    <t>NLINM1594</t>
    <phoneticPr fontId="21" type="noConversion"/>
  </si>
  <si>
    <t>E5一位开关固定架 04</t>
    <phoneticPr fontId="21" type="noConversion"/>
  </si>
  <si>
    <t>NLINM0839</t>
    <phoneticPr fontId="21" type="noConversion"/>
  </si>
  <si>
    <t>NLINM0840</t>
    <phoneticPr fontId="21" type="noConversion"/>
  </si>
  <si>
    <t>E5二位开关固定架</t>
    <phoneticPr fontId="21" type="noConversion"/>
  </si>
  <si>
    <t>NLINM1271</t>
    <phoneticPr fontId="21" type="noConversion"/>
  </si>
  <si>
    <t>E5开关边框（备模B）</t>
    <phoneticPr fontId="21" type="noConversion"/>
  </si>
  <si>
    <t>NLINM1295</t>
    <phoneticPr fontId="21" type="noConversion"/>
  </si>
  <si>
    <t>E5开关边框05(备模C）</t>
    <phoneticPr fontId="21" type="noConversion"/>
  </si>
  <si>
    <t>NLINM0841</t>
    <phoneticPr fontId="21" type="noConversion"/>
  </si>
  <si>
    <t>E5一位开关按板</t>
    <phoneticPr fontId="21" type="noConversion"/>
  </si>
  <si>
    <t>NLINM1595</t>
    <phoneticPr fontId="21" type="noConversion"/>
  </si>
  <si>
    <t>E5一位开关按板 05（B模）</t>
    <phoneticPr fontId="21" type="noConversion"/>
  </si>
  <si>
    <t>NLINM0846</t>
    <phoneticPr fontId="21" type="noConversion"/>
  </si>
  <si>
    <t>E5二位开关左按板(光面)</t>
    <phoneticPr fontId="21" type="noConversion"/>
  </si>
  <si>
    <t>NLINM1596</t>
    <phoneticPr fontId="21" type="noConversion"/>
  </si>
  <si>
    <t>E5二位开关左按板 05（B模）</t>
    <phoneticPr fontId="21" type="noConversion"/>
  </si>
  <si>
    <t>NLINM0850</t>
    <phoneticPr fontId="21" type="noConversion"/>
  </si>
  <si>
    <t>E5三位开关左按钮(光面)</t>
    <phoneticPr fontId="21" type="noConversion"/>
  </si>
  <si>
    <t>NLINM0854</t>
    <phoneticPr fontId="21" type="noConversion"/>
  </si>
  <si>
    <t>E5四位开关左按钮(光面)</t>
    <phoneticPr fontId="21" type="noConversion"/>
  </si>
  <si>
    <t>NLINM0855</t>
    <phoneticPr fontId="21" type="noConversion"/>
  </si>
  <si>
    <t>E5插座边框（光面）</t>
    <phoneticPr fontId="21" type="noConversion"/>
  </si>
  <si>
    <t>NLINM1299</t>
    <phoneticPr fontId="21" type="noConversion"/>
  </si>
  <si>
    <t>E5插座边框(备模C）</t>
    <phoneticPr fontId="21" type="noConversion"/>
  </si>
  <si>
    <t>防溅盒下盖  05  (新)</t>
    <phoneticPr fontId="21" type="noConversion"/>
  </si>
  <si>
    <t>NLINM0897</t>
    <phoneticPr fontId="21" type="noConversion"/>
  </si>
  <si>
    <t>E5二极扁圆、多用插座面板 05</t>
    <phoneticPr fontId="21" type="noConversion"/>
  </si>
  <si>
    <t>NLINM0898</t>
    <phoneticPr fontId="21" type="noConversion"/>
  </si>
  <si>
    <t>E5二极扁圆、多用插座固定架 04</t>
    <phoneticPr fontId="21" type="noConversion"/>
  </si>
  <si>
    <t>NLINM0891</t>
    <phoneticPr fontId="21" type="noConversion"/>
  </si>
  <si>
    <t>E510A插座小面板（纹面）</t>
    <phoneticPr fontId="21" type="noConversion"/>
  </si>
  <si>
    <t>NLINM0892</t>
    <phoneticPr fontId="21" type="noConversion"/>
  </si>
  <si>
    <t>E510A插座固定架（纹面）</t>
    <phoneticPr fontId="21" type="noConversion"/>
  </si>
  <si>
    <t>NLINM0893</t>
    <phoneticPr fontId="21" type="noConversion"/>
  </si>
  <si>
    <t>E516A插座小面板（纹面）</t>
    <phoneticPr fontId="21" type="noConversion"/>
  </si>
  <si>
    <t>NLINM0894</t>
    <phoneticPr fontId="21" type="noConversion"/>
  </si>
  <si>
    <t>E516A插座固定架（纹面）</t>
    <phoneticPr fontId="21" type="noConversion"/>
  </si>
  <si>
    <t>NLINM1044</t>
    <phoneticPr fontId="21" type="noConversion"/>
  </si>
  <si>
    <t>E5一位电视插座面盖</t>
    <phoneticPr fontId="21" type="noConversion"/>
  </si>
  <si>
    <t>NLINM1049</t>
    <phoneticPr fontId="21" type="noConversion"/>
  </si>
  <si>
    <t>E5信息类插座固定架</t>
    <phoneticPr fontId="21" type="noConversion"/>
  </si>
  <si>
    <t>NLINM1046</t>
    <phoneticPr fontId="21" type="noConversion"/>
  </si>
  <si>
    <t>E5二位电视插座面盖</t>
    <phoneticPr fontId="21" type="noConversion"/>
  </si>
  <si>
    <t>NLINM1045</t>
    <phoneticPr fontId="21" type="noConversion"/>
  </si>
  <si>
    <t>E5一位电话插座面盖</t>
    <phoneticPr fontId="21" type="noConversion"/>
  </si>
  <si>
    <t>NLINM1047</t>
    <phoneticPr fontId="21" type="noConversion"/>
  </si>
  <si>
    <t>E5二位电话插座面盖</t>
    <phoneticPr fontId="21" type="noConversion"/>
  </si>
  <si>
    <t>NLINM1048</t>
    <phoneticPr fontId="21" type="noConversion"/>
  </si>
  <si>
    <t>E5电视、电话插座面盖</t>
    <phoneticPr fontId="21" type="noConversion"/>
  </si>
  <si>
    <t>NLINM1060</t>
    <phoneticPr fontId="21" type="noConversion"/>
  </si>
  <si>
    <t>E5空白面板固定架</t>
    <phoneticPr fontId="21" type="noConversion"/>
  </si>
  <si>
    <t>NLINM1052</t>
    <phoneticPr fontId="21" type="noConversion"/>
  </si>
  <si>
    <t>E5声光控节能开关面盖</t>
    <phoneticPr fontId="21" type="noConversion"/>
  </si>
  <si>
    <t>NLINM1053</t>
    <phoneticPr fontId="21" type="noConversion"/>
  </si>
  <si>
    <t>E5声光控节能开关固定架</t>
    <phoneticPr fontId="21" type="noConversion"/>
  </si>
  <si>
    <t>NLINM1057</t>
    <phoneticPr fontId="21" type="noConversion"/>
  </si>
  <si>
    <t>E5插卡节能开关面盖</t>
    <phoneticPr fontId="21" type="noConversion"/>
  </si>
  <si>
    <t>NLINM1058</t>
    <phoneticPr fontId="21" type="noConversion"/>
  </si>
  <si>
    <t>E5插卡节能开关支架</t>
    <phoneticPr fontId="21" type="noConversion"/>
  </si>
  <si>
    <t>NLINM1059</t>
    <phoneticPr fontId="21" type="noConversion"/>
  </si>
  <si>
    <t>E5插卡节能开关固定架</t>
    <phoneticPr fontId="21" type="noConversion"/>
  </si>
  <si>
    <t>NLINM1050</t>
    <phoneticPr fontId="21" type="noConversion"/>
  </si>
  <si>
    <t>E5机械风量开关面盖</t>
    <phoneticPr fontId="21" type="noConversion"/>
  </si>
  <si>
    <t>NLINM1051</t>
    <phoneticPr fontId="21" type="noConversion"/>
  </si>
  <si>
    <t>E5机械风量开关固定架</t>
    <phoneticPr fontId="21" type="noConversion"/>
  </si>
  <si>
    <t>NLINM1054</t>
    <phoneticPr fontId="21" type="noConversion"/>
  </si>
  <si>
    <t>E5红外感应节能开关面盖</t>
    <phoneticPr fontId="21" type="noConversion"/>
  </si>
  <si>
    <t>NLINM1055</t>
    <phoneticPr fontId="21" type="noConversion"/>
  </si>
  <si>
    <t>E5红外感应节能开关固定架</t>
    <phoneticPr fontId="21" type="noConversion"/>
  </si>
  <si>
    <t>NLINM1056</t>
    <phoneticPr fontId="21" type="noConversion"/>
  </si>
  <si>
    <t>E5调光开关面盖</t>
    <phoneticPr fontId="21" type="noConversion"/>
  </si>
  <si>
    <t>NLINM1040</t>
    <phoneticPr fontId="21" type="noConversion"/>
  </si>
  <si>
    <t>A5/K5/E5“请勿打扰”门铃开关透明盖（乳白</t>
    <phoneticPr fontId="21" type="noConversion"/>
  </si>
  <si>
    <t>NLINM1039</t>
    <phoneticPr fontId="21" type="noConversion"/>
  </si>
  <si>
    <t>E5“请勿打扰”门铃开关按钮</t>
    <phoneticPr fontId="21" type="noConversion"/>
  </si>
  <si>
    <t>NLINM1041</t>
    <phoneticPr fontId="21" type="noConversion"/>
  </si>
  <si>
    <t>E5“请勿打扰”门铃开关复位杆</t>
    <phoneticPr fontId="21" type="noConversion"/>
  </si>
  <si>
    <t>NLINM1103</t>
    <phoneticPr fontId="21" type="noConversion"/>
  </si>
  <si>
    <t>A2系列10A三极插保护门</t>
    <phoneticPr fontId="21" type="noConversion"/>
  </si>
  <si>
    <t>NLINM1092</t>
    <phoneticPr fontId="21" type="noConversion"/>
  </si>
  <si>
    <t>A2系列16A三极插保护门</t>
    <phoneticPr fontId="21" type="noConversion"/>
  </si>
  <si>
    <t>NLINM1096</t>
    <phoneticPr fontId="21" type="noConversion"/>
  </si>
  <si>
    <t>K2系列10A多用插保护门 04</t>
    <phoneticPr fontId="21" type="noConversion"/>
  </si>
  <si>
    <t>LS-086</t>
    <phoneticPr fontId="21" type="noConversion"/>
  </si>
  <si>
    <t>（改）EP2-118一位边框 05</t>
    <phoneticPr fontId="21" type="noConversion"/>
  </si>
  <si>
    <t>LS-085</t>
    <phoneticPr fontId="21" type="noConversion"/>
  </si>
  <si>
    <t>（改）EP2-118一位固定架 04</t>
    <phoneticPr fontId="21" type="noConversion"/>
  </si>
  <si>
    <t>LS-078</t>
    <phoneticPr fontId="21" type="noConversion"/>
  </si>
  <si>
    <t>（改）EP2-118二位边框 05</t>
    <phoneticPr fontId="21" type="noConversion"/>
  </si>
  <si>
    <t>LS-077</t>
    <phoneticPr fontId="21" type="noConversion"/>
  </si>
  <si>
    <t>（改）EP2-118二位固定架 04</t>
    <phoneticPr fontId="21" type="noConversion"/>
  </si>
  <si>
    <t>LS-080</t>
    <phoneticPr fontId="21" type="noConversion"/>
  </si>
  <si>
    <t>(改）EP2-118三位边框</t>
    <phoneticPr fontId="21" type="noConversion"/>
  </si>
  <si>
    <t>LS-079</t>
    <phoneticPr fontId="21" type="noConversion"/>
  </si>
  <si>
    <t>(改）EP2-118三位固定架</t>
    <phoneticPr fontId="21" type="noConversion"/>
  </si>
  <si>
    <t>LS-082</t>
    <phoneticPr fontId="21" type="noConversion"/>
  </si>
  <si>
    <t>（改）EP2-118四位边框 05</t>
    <phoneticPr fontId="21" type="noConversion"/>
  </si>
  <si>
    <t>LS-081</t>
    <phoneticPr fontId="21" type="noConversion"/>
  </si>
  <si>
    <t>(改）EP2-118四位固定架</t>
    <phoneticPr fontId="21" type="noConversion"/>
  </si>
  <si>
    <t>SFJZ629</t>
    <phoneticPr fontId="21" type="noConversion"/>
  </si>
  <si>
    <t>（改）EP2/A2-空白小面盖　05</t>
    <phoneticPr fontId="21" type="noConversion"/>
  </si>
  <si>
    <t>SFJZ622</t>
    <phoneticPr fontId="21" type="noConversion"/>
  </si>
  <si>
    <t>(改）EP2/A2-C041电视插小面盖 05</t>
    <phoneticPr fontId="21" type="noConversion"/>
  </si>
  <si>
    <t>SFJZ623</t>
    <phoneticPr fontId="21" type="noConversion"/>
  </si>
  <si>
    <t>(改）EP2/A2-C041电视插后座 04</t>
    <phoneticPr fontId="21" type="noConversion"/>
  </si>
  <si>
    <t>SFJZ624</t>
    <phoneticPr fontId="21" type="noConversion"/>
  </si>
  <si>
    <t>(改）EP2/A2-电话电脑插小面盖 05</t>
    <phoneticPr fontId="21" type="noConversion"/>
  </si>
  <si>
    <t>SFJZ625</t>
    <phoneticPr fontId="21" type="noConversion"/>
  </si>
  <si>
    <t>(改）EP2/A2-电话电脑插固定支架 04</t>
    <phoneticPr fontId="21" type="noConversion"/>
  </si>
  <si>
    <t>SFJZ626</t>
    <phoneticPr fontId="21" type="noConversion"/>
  </si>
  <si>
    <t>(改）EP2/A2-电话插保护门 05</t>
    <phoneticPr fontId="21" type="noConversion"/>
  </si>
  <si>
    <t>SFJZ627</t>
    <phoneticPr fontId="21" type="noConversion"/>
  </si>
  <si>
    <t>(改）EP2/A2-调光调速小面盖 05</t>
    <phoneticPr fontId="21" type="noConversion"/>
  </si>
  <si>
    <t>SFJZ628</t>
    <phoneticPr fontId="21" type="noConversion"/>
  </si>
  <si>
    <t>(改）EP2/A2-调光调速后座 04</t>
    <phoneticPr fontId="21" type="noConversion"/>
  </si>
  <si>
    <t>NLINM1199</t>
    <phoneticPr fontId="21" type="noConversion"/>
  </si>
  <si>
    <t>A5一位单极开关后座 04</t>
    <phoneticPr fontId="21" type="noConversion"/>
  </si>
  <si>
    <t>B1612</t>
    <phoneticPr fontId="21" type="noConversion"/>
  </si>
  <si>
    <t>A5一位单极开关压板 04</t>
    <phoneticPr fontId="21" type="noConversion"/>
  </si>
  <si>
    <t>NLINM1201</t>
    <phoneticPr fontId="21" type="noConversion"/>
  </si>
  <si>
    <t>A5一位单极开关摆杆 04</t>
    <phoneticPr fontId="21" type="noConversion"/>
  </si>
  <si>
    <t>NLINM1353</t>
    <phoneticPr fontId="21" type="noConversion"/>
  </si>
  <si>
    <t>A5系列一位开关按钮 05(备模C）</t>
    <phoneticPr fontId="21" type="noConversion"/>
  </si>
  <si>
    <t>NLINM1198</t>
    <phoneticPr fontId="21" type="noConversion"/>
  </si>
  <si>
    <t>A5系列一位开关按钮 05</t>
    <phoneticPr fontId="21" type="noConversion"/>
  </si>
  <si>
    <t>NLINM1338</t>
    <phoneticPr fontId="21" type="noConversion"/>
  </si>
  <si>
    <t>A5一位开关荧光粒 65（备模B）</t>
    <phoneticPr fontId="21" type="noConversion"/>
  </si>
  <si>
    <t>NLINM1202</t>
    <phoneticPr fontId="21" type="noConversion"/>
  </si>
  <si>
    <t>A5一位开关荧光粒 65</t>
    <phoneticPr fontId="21" type="noConversion"/>
  </si>
  <si>
    <t>NLINM1203</t>
    <phoneticPr fontId="21" type="noConversion"/>
  </si>
  <si>
    <t>A5一位双控开关后座 04</t>
    <phoneticPr fontId="21" type="noConversion"/>
  </si>
  <si>
    <t>NLINM1193</t>
    <phoneticPr fontId="21" type="noConversion"/>
  </si>
  <si>
    <t>A5二位单极开关后座 04</t>
    <phoneticPr fontId="21" type="noConversion"/>
  </si>
  <si>
    <t>NLINM1194</t>
    <phoneticPr fontId="21" type="noConversion"/>
  </si>
  <si>
    <t>A5二位单极开关压板 04</t>
    <phoneticPr fontId="21" type="noConversion"/>
  </si>
  <si>
    <t>NLINM1336</t>
    <phoneticPr fontId="21" type="noConversion"/>
  </si>
  <si>
    <t>A5二位单极开关左按钮 05(备模B）</t>
    <phoneticPr fontId="21" type="noConversion"/>
  </si>
  <si>
    <t>NLINM1337</t>
    <phoneticPr fontId="21" type="noConversion"/>
  </si>
  <si>
    <t>A5二位单极开关右按钮 05(备模B）</t>
    <phoneticPr fontId="21" type="noConversion"/>
  </si>
  <si>
    <t>NLINM1196</t>
    <phoneticPr fontId="21" type="noConversion"/>
  </si>
  <si>
    <t>A5二位双控开关后座 04</t>
    <phoneticPr fontId="21" type="noConversion"/>
  </si>
  <si>
    <t>NLINM1182</t>
    <phoneticPr fontId="21" type="noConversion"/>
  </si>
  <si>
    <t>A5三位单极开关后座 04</t>
    <phoneticPr fontId="21" type="noConversion"/>
  </si>
  <si>
    <t>NLINM1183</t>
    <phoneticPr fontId="21" type="noConversion"/>
  </si>
  <si>
    <t>A5三位单极开关压板 04</t>
    <phoneticPr fontId="21" type="noConversion"/>
  </si>
  <si>
    <t>NLINM1185</t>
    <phoneticPr fontId="21" type="noConversion"/>
  </si>
  <si>
    <t>A5三位单极开关左按钮 05</t>
    <phoneticPr fontId="21" type="noConversion"/>
  </si>
  <si>
    <t>NLINM1184</t>
    <phoneticPr fontId="21" type="noConversion"/>
  </si>
  <si>
    <t>A5三位单极开关中位摆杆 05</t>
    <phoneticPr fontId="21" type="noConversion"/>
  </si>
  <si>
    <t>NLINM1186</t>
    <phoneticPr fontId="21" type="noConversion"/>
  </si>
  <si>
    <t>A5三位双控开关后座 04</t>
    <phoneticPr fontId="21" type="noConversion"/>
  </si>
  <si>
    <t>NLINM1187</t>
    <phoneticPr fontId="21" type="noConversion"/>
  </si>
  <si>
    <t>A5四位单极开关后座 04</t>
    <phoneticPr fontId="21" type="noConversion"/>
  </si>
  <si>
    <t>NLINM1191</t>
    <phoneticPr fontId="21" type="noConversion"/>
  </si>
  <si>
    <t>A5四位单极开关压板 04</t>
    <phoneticPr fontId="21" type="noConversion"/>
  </si>
  <si>
    <t>NLINM1189</t>
    <phoneticPr fontId="21" type="noConversion"/>
  </si>
  <si>
    <t>A5四位单极开关左按钮 05</t>
    <phoneticPr fontId="21" type="noConversion"/>
  </si>
  <si>
    <t>NLINM1190</t>
    <phoneticPr fontId="21" type="noConversion"/>
  </si>
  <si>
    <t>A5四位双控开关后座 04</t>
    <phoneticPr fontId="21" type="noConversion"/>
  </si>
  <si>
    <t>NLINM1354</t>
    <phoneticPr fontId="21" type="noConversion"/>
  </si>
  <si>
    <t>A5一位开关固定架 05(备模C）</t>
    <phoneticPr fontId="21" type="noConversion"/>
  </si>
  <si>
    <t>NLINM1355</t>
    <phoneticPr fontId="21" type="noConversion"/>
  </si>
  <si>
    <t>A5一位开关固定架 05(备模D）</t>
    <phoneticPr fontId="21" type="noConversion"/>
  </si>
  <si>
    <t>NLINM1192</t>
    <phoneticPr fontId="21" type="noConversion"/>
  </si>
  <si>
    <t>A5三位开关固定架 05</t>
    <phoneticPr fontId="21" type="noConversion"/>
  </si>
  <si>
    <t>NLINM1225</t>
    <phoneticPr fontId="21" type="noConversion"/>
  </si>
  <si>
    <t>A5 一位二极扁圆插座面板</t>
    <phoneticPr fontId="21" type="noConversion"/>
  </si>
  <si>
    <t>NLINM1277</t>
    <phoneticPr fontId="21" type="noConversion"/>
  </si>
  <si>
    <t>A5 插座盖片</t>
    <phoneticPr fontId="21" type="noConversion"/>
  </si>
  <si>
    <t>NLINM1329</t>
    <phoneticPr fontId="21" type="noConversion"/>
  </si>
  <si>
    <t>A5插座盖片（备模E）</t>
    <phoneticPr fontId="21" type="noConversion"/>
  </si>
  <si>
    <t>NLINM1330</t>
    <phoneticPr fontId="21" type="noConversion"/>
  </si>
  <si>
    <t>A5插座盖片（备模F）</t>
    <phoneticPr fontId="21" type="noConversion"/>
  </si>
  <si>
    <t>NLINM1331</t>
    <phoneticPr fontId="21" type="noConversion"/>
  </si>
  <si>
    <t>A5插座盖片（备模G）</t>
    <phoneticPr fontId="21" type="noConversion"/>
  </si>
  <si>
    <t>NLINM1227</t>
    <phoneticPr fontId="21" type="noConversion"/>
  </si>
  <si>
    <t>A5 一位二极扁圆插座后座 04</t>
    <phoneticPr fontId="21" type="noConversion"/>
  </si>
  <si>
    <t>NLINM1228</t>
    <phoneticPr fontId="21" type="noConversion"/>
  </si>
  <si>
    <t>A5 二位二极扁圆插座面板  05</t>
    <phoneticPr fontId="21" type="noConversion"/>
  </si>
  <si>
    <t>NLINM1229</t>
    <phoneticPr fontId="21" type="noConversion"/>
  </si>
  <si>
    <t>A5 二位二极扁圆插座后座  04</t>
    <phoneticPr fontId="21" type="noConversion"/>
  </si>
  <si>
    <t>NLINM1205</t>
    <phoneticPr fontId="21" type="noConversion"/>
  </si>
  <si>
    <t>A5 10A三极插座面板  05</t>
    <phoneticPr fontId="21" type="noConversion"/>
  </si>
  <si>
    <t>NLINM1206</t>
    <phoneticPr fontId="21" type="noConversion"/>
  </si>
  <si>
    <t>A5 10A三极插座后座  04</t>
    <phoneticPr fontId="21" type="noConversion"/>
  </si>
  <si>
    <t>B1613</t>
    <phoneticPr fontId="21" type="noConversion"/>
  </si>
  <si>
    <t>A5 10A三极插座保护门  04</t>
    <phoneticPr fontId="21" type="noConversion"/>
  </si>
  <si>
    <t>NLINM1207</t>
    <phoneticPr fontId="21" type="noConversion"/>
  </si>
  <si>
    <t>A5 10A三极插座保护门  04</t>
    <phoneticPr fontId="21" type="noConversion"/>
  </si>
  <si>
    <t>A5</t>
    <phoneticPr fontId="21" type="noConversion"/>
  </si>
  <si>
    <t>NLINM1332</t>
    <phoneticPr fontId="21" type="noConversion"/>
  </si>
  <si>
    <t>A5 10A三极插座保护门  04(备模B）</t>
    <phoneticPr fontId="21" type="noConversion"/>
  </si>
  <si>
    <t>NLINM1209</t>
    <phoneticPr fontId="21" type="noConversion"/>
  </si>
  <si>
    <t>A5 16A三极插座面板  05</t>
    <phoneticPr fontId="21" type="noConversion"/>
  </si>
  <si>
    <t>NLINM1339</t>
    <phoneticPr fontId="21" type="noConversion"/>
  </si>
  <si>
    <t>A5 16A三极插座面板  05(备模B）</t>
    <phoneticPr fontId="21" type="noConversion"/>
  </si>
  <si>
    <t>NLINM1210</t>
    <phoneticPr fontId="21" type="noConversion"/>
  </si>
  <si>
    <t>A5 16A三极插座后座  04</t>
    <phoneticPr fontId="21" type="noConversion"/>
  </si>
  <si>
    <t>NLINM1340</t>
    <phoneticPr fontId="21" type="noConversion"/>
  </si>
  <si>
    <t>A5 16A三极插座后座  04（备模B）</t>
    <phoneticPr fontId="21" type="noConversion"/>
  </si>
  <si>
    <t>NLINM1211</t>
    <phoneticPr fontId="21" type="noConversion"/>
  </si>
  <si>
    <t>A5 16A三极插座保护门  04</t>
    <phoneticPr fontId="21" type="noConversion"/>
  </si>
  <si>
    <t>NLINM1230</t>
    <phoneticPr fontId="21" type="noConversion"/>
  </si>
  <si>
    <t>A5空白固定架</t>
    <phoneticPr fontId="21" type="noConversion"/>
  </si>
  <si>
    <t>NLINM1231</t>
    <phoneticPr fontId="21" type="noConversion"/>
  </si>
  <si>
    <t>A5一位信息插座固定架</t>
    <phoneticPr fontId="21" type="noConversion"/>
  </si>
  <si>
    <t>NLINM1359</t>
    <phoneticPr fontId="21" type="noConversion"/>
  </si>
  <si>
    <t>A5一位信息插座固定架(细纹面 备模B）</t>
    <phoneticPr fontId="21" type="noConversion"/>
  </si>
  <si>
    <t>NLINM1232</t>
    <phoneticPr fontId="21" type="noConversion"/>
  </si>
  <si>
    <t>A5二位信息插座固定架</t>
    <phoneticPr fontId="21" type="noConversion"/>
  </si>
  <si>
    <t>NLINM1265</t>
    <phoneticPr fontId="21" type="noConversion"/>
  </si>
  <si>
    <t>A5一位音箱插座固定架</t>
    <phoneticPr fontId="21" type="noConversion"/>
  </si>
  <si>
    <t>NLINM1266</t>
    <phoneticPr fontId="21" type="noConversion"/>
  </si>
  <si>
    <t>A5二位音箱插座固定架</t>
    <phoneticPr fontId="21" type="noConversion"/>
  </si>
  <si>
    <t>NLINM1267</t>
    <phoneticPr fontId="21" type="noConversion"/>
  </si>
  <si>
    <t>A5一位话筒插座固定架</t>
    <phoneticPr fontId="21" type="noConversion"/>
  </si>
  <si>
    <t>NLINM1268</t>
    <phoneticPr fontId="21" type="noConversion"/>
  </si>
  <si>
    <t>A5二位话筒插座固定架</t>
    <phoneticPr fontId="21" type="noConversion"/>
  </si>
  <si>
    <t>NLINM1270</t>
    <phoneticPr fontId="21" type="noConversion"/>
  </si>
  <si>
    <t>A5档位式调音开关固定架</t>
    <phoneticPr fontId="21" type="noConversion"/>
  </si>
  <si>
    <t>NLINM1234</t>
    <phoneticPr fontId="21" type="noConversion"/>
  </si>
  <si>
    <t>E5一位话筒插座面板</t>
    <phoneticPr fontId="21" type="noConversion"/>
  </si>
  <si>
    <t>E5</t>
    <phoneticPr fontId="21" type="noConversion"/>
  </si>
  <si>
    <t>NLINM1237</t>
    <phoneticPr fontId="21" type="noConversion"/>
  </si>
  <si>
    <t>E5二位话筒插座面板</t>
    <phoneticPr fontId="21" type="noConversion"/>
  </si>
  <si>
    <t>NLINM1235</t>
    <phoneticPr fontId="21" type="noConversion"/>
  </si>
  <si>
    <t>E5一位音响插座面板</t>
    <phoneticPr fontId="21" type="noConversion"/>
  </si>
  <si>
    <t>NLINM1233</t>
    <phoneticPr fontId="21" type="noConversion"/>
  </si>
  <si>
    <t>E5二位音响插座面板</t>
    <phoneticPr fontId="21" type="noConversion"/>
  </si>
  <si>
    <t>NLINM1280</t>
    <phoneticPr fontId="21" type="noConversion"/>
  </si>
  <si>
    <t>A5声光控固定架</t>
    <phoneticPr fontId="21" type="noConversion"/>
  </si>
  <si>
    <t>NLINM1282</t>
    <phoneticPr fontId="21" type="noConversion"/>
  </si>
  <si>
    <t>A5声光控后座</t>
    <phoneticPr fontId="21" type="noConversion"/>
  </si>
  <si>
    <t>NLINM1281</t>
    <phoneticPr fontId="21" type="noConversion"/>
  </si>
  <si>
    <t>A5调光调速固定架</t>
    <phoneticPr fontId="21" type="noConversion"/>
  </si>
  <si>
    <t>NLINM1283</t>
    <phoneticPr fontId="21" type="noConversion"/>
  </si>
  <si>
    <t>A5红外感应固定架</t>
    <phoneticPr fontId="21" type="noConversion"/>
  </si>
  <si>
    <t>NLINM1284</t>
    <phoneticPr fontId="21" type="noConversion"/>
  </si>
  <si>
    <t>A5红外感应后座</t>
    <phoneticPr fontId="21" type="noConversion"/>
  </si>
  <si>
    <t>NLINM1287</t>
    <phoneticPr fontId="21" type="noConversion"/>
  </si>
  <si>
    <t>A5插卡取电固定架</t>
    <phoneticPr fontId="21" type="noConversion"/>
  </si>
  <si>
    <t>NLINM1289</t>
    <phoneticPr fontId="21" type="noConversion"/>
  </si>
  <si>
    <t>A5插卡取电面盖</t>
    <phoneticPr fontId="21" type="noConversion"/>
  </si>
  <si>
    <t>NLINM1288</t>
    <phoneticPr fontId="21" type="noConversion"/>
  </si>
  <si>
    <t>A5插卡取电压板</t>
    <phoneticPr fontId="21" type="noConversion"/>
  </si>
  <si>
    <t>NLINM1285</t>
    <phoneticPr fontId="21" type="noConversion"/>
  </si>
  <si>
    <t>A5系列机械风量开关固定架</t>
    <phoneticPr fontId="21" type="noConversion"/>
  </si>
  <si>
    <t>NLINM1286</t>
    <phoneticPr fontId="21" type="noConversion"/>
  </si>
  <si>
    <t>A5系列机械风量开关后座</t>
    <phoneticPr fontId="21" type="noConversion"/>
  </si>
  <si>
    <t>NLINM1290</t>
    <phoneticPr fontId="21" type="noConversion"/>
  </si>
  <si>
    <t>A5请勿打扰门铃固定架</t>
    <phoneticPr fontId="21" type="noConversion"/>
  </si>
  <si>
    <t>NLINM1291</t>
    <phoneticPr fontId="21" type="noConversion"/>
  </si>
  <si>
    <t>A5请勿打扰门铃按钮</t>
    <phoneticPr fontId="21" type="noConversion"/>
  </si>
  <si>
    <t>NLINM1322</t>
    <phoneticPr fontId="21" type="noConversion"/>
  </si>
  <si>
    <t>86型E5刮须插固定架</t>
    <phoneticPr fontId="21" type="noConversion"/>
  </si>
  <si>
    <t>NLINM1323</t>
    <phoneticPr fontId="21" type="noConversion"/>
  </si>
  <si>
    <t>86型E5刮须插后座</t>
    <phoneticPr fontId="21" type="noConversion"/>
  </si>
  <si>
    <t>E5/A5</t>
    <phoneticPr fontId="21" type="noConversion"/>
  </si>
  <si>
    <t>NLINM1324</t>
    <phoneticPr fontId="21" type="noConversion"/>
  </si>
  <si>
    <t>86型E5刮须插保护门</t>
    <phoneticPr fontId="21" type="noConversion"/>
  </si>
  <si>
    <t>NLINM1383</t>
    <phoneticPr fontId="21" type="noConversion"/>
  </si>
  <si>
    <t>E5一位中途挚开关按板  05</t>
    <phoneticPr fontId="21" type="noConversion"/>
  </si>
  <si>
    <t>NLINM1382</t>
    <phoneticPr fontId="21" type="noConversion"/>
  </si>
  <si>
    <t>A5一位中途挚开关按钮</t>
    <phoneticPr fontId="21" type="noConversion"/>
  </si>
  <si>
    <t>NLINM1438</t>
    <phoneticPr fontId="21" type="noConversion"/>
  </si>
  <si>
    <t>A2一位单极开关后座  04</t>
    <phoneticPr fontId="21" type="noConversion"/>
  </si>
  <si>
    <t>A2</t>
    <phoneticPr fontId="21" type="noConversion"/>
  </si>
  <si>
    <t>NLINM1439</t>
    <phoneticPr fontId="21" type="noConversion"/>
  </si>
  <si>
    <t>A2一位单极开关压板  04</t>
    <phoneticPr fontId="21" type="noConversion"/>
  </si>
  <si>
    <t>NLINM1440</t>
    <phoneticPr fontId="21" type="noConversion"/>
  </si>
  <si>
    <t>A2一位单极开关摆杆  04</t>
    <phoneticPr fontId="21" type="noConversion"/>
  </si>
  <si>
    <t>NLINM1443</t>
    <phoneticPr fontId="21" type="noConversion"/>
  </si>
  <si>
    <t>A2一位单极开关大按板  05</t>
    <phoneticPr fontId="21" type="noConversion"/>
  </si>
  <si>
    <t>NLINM1442</t>
    <phoneticPr fontId="21" type="noConversion"/>
  </si>
  <si>
    <t>A2一位双控开关后座  04</t>
    <phoneticPr fontId="21" type="noConversion"/>
  </si>
  <si>
    <t>NLINM1441</t>
    <phoneticPr fontId="21" type="noConversion"/>
  </si>
  <si>
    <t>A2一位单极开关中按板  05</t>
    <phoneticPr fontId="21" type="noConversion"/>
  </si>
  <si>
    <t>NLINM1444</t>
    <phoneticPr fontId="21" type="noConversion"/>
  </si>
  <si>
    <t>A2二位单极开关后座  04</t>
    <phoneticPr fontId="21" type="noConversion"/>
  </si>
  <si>
    <t>NLINM1445</t>
    <phoneticPr fontId="21" type="noConversion"/>
  </si>
  <si>
    <t>A2二位单极开关压板  04</t>
    <phoneticPr fontId="21" type="noConversion"/>
  </si>
  <si>
    <t>NLINM1446</t>
    <phoneticPr fontId="21" type="noConversion"/>
  </si>
  <si>
    <t>A2二位单极开关左按板  05</t>
    <phoneticPr fontId="21" type="noConversion"/>
  </si>
  <si>
    <t>NLINM1447</t>
    <phoneticPr fontId="21" type="noConversion"/>
  </si>
  <si>
    <t>A2二位双控开关后座  04</t>
    <phoneticPr fontId="21" type="noConversion"/>
  </si>
  <si>
    <t>NLINM1448</t>
    <phoneticPr fontId="21" type="noConversion"/>
  </si>
  <si>
    <t>A2三位单极开关后座  04</t>
    <phoneticPr fontId="21" type="noConversion"/>
  </si>
  <si>
    <t>NLINM1449</t>
    <phoneticPr fontId="21" type="noConversion"/>
  </si>
  <si>
    <t>A2三位单极开关压板  04</t>
    <phoneticPr fontId="21" type="noConversion"/>
  </si>
  <si>
    <t>NLINM1450</t>
    <phoneticPr fontId="21" type="noConversion"/>
  </si>
  <si>
    <t>A2三位单极开关左按板  05</t>
    <phoneticPr fontId="21" type="noConversion"/>
  </si>
  <si>
    <t>NLINM1451</t>
    <phoneticPr fontId="21" type="noConversion"/>
  </si>
  <si>
    <t>A2三位双控开关后座  04</t>
    <phoneticPr fontId="21" type="noConversion"/>
  </si>
  <si>
    <t>NLINM1452</t>
    <phoneticPr fontId="21" type="noConversion"/>
  </si>
  <si>
    <t>A2系列10A二极扁圆插面盖 05</t>
    <phoneticPr fontId="21" type="noConversion"/>
  </si>
  <si>
    <t>NLINM1453</t>
    <phoneticPr fontId="21" type="noConversion"/>
  </si>
  <si>
    <t>A2系列10A二极扁圆插后座 04</t>
    <phoneticPr fontId="21" type="noConversion"/>
  </si>
  <si>
    <t>NLINM1068</t>
    <phoneticPr fontId="21" type="noConversion"/>
  </si>
  <si>
    <t>A2系列10A二极扁圆插压板 04</t>
    <phoneticPr fontId="21" type="noConversion"/>
  </si>
  <si>
    <t>NLINM1454</t>
    <phoneticPr fontId="21" type="noConversion"/>
  </si>
  <si>
    <t>A2系列10A三极插面盖 05</t>
    <phoneticPr fontId="21" type="noConversion"/>
  </si>
  <si>
    <t>NLINM1455</t>
    <phoneticPr fontId="21" type="noConversion"/>
  </si>
  <si>
    <t>A2系列10A三极插后座 04</t>
    <phoneticPr fontId="21" type="noConversion"/>
  </si>
  <si>
    <t>NLINM1065</t>
    <phoneticPr fontId="21" type="noConversion"/>
  </si>
  <si>
    <t>A2系列10A三极插压板 04</t>
    <phoneticPr fontId="21" type="noConversion"/>
  </si>
  <si>
    <t>NLINM1456</t>
    <phoneticPr fontId="21" type="noConversion"/>
  </si>
  <si>
    <t>A2系列16A三极插面盖 05</t>
    <phoneticPr fontId="21" type="noConversion"/>
  </si>
  <si>
    <t>NLINM1457</t>
    <phoneticPr fontId="21" type="noConversion"/>
  </si>
  <si>
    <t>A2系列16A三极插后座 04</t>
    <phoneticPr fontId="21" type="noConversion"/>
  </si>
  <si>
    <t>NLINM1090</t>
    <phoneticPr fontId="21" type="noConversion"/>
  </si>
  <si>
    <t>A2系列16A三极插压板 04</t>
    <phoneticPr fontId="21" type="noConversion"/>
  </si>
  <si>
    <t>NLINM1458</t>
    <phoneticPr fontId="21" type="noConversion"/>
  </si>
  <si>
    <t>A2系列10A多用插面盖 05</t>
    <phoneticPr fontId="21" type="noConversion"/>
  </si>
  <si>
    <t>P680045021B</t>
    <phoneticPr fontId="21" type="noConversion"/>
  </si>
  <si>
    <t>A2系列10A多用插后座 04</t>
    <phoneticPr fontId="21" type="noConversion"/>
  </si>
  <si>
    <t>NLINM1094</t>
    <phoneticPr fontId="21" type="noConversion"/>
  </si>
  <si>
    <t>A2系列10A多用插压板 04</t>
    <phoneticPr fontId="21" type="noConversion"/>
  </si>
  <si>
    <t>NLINM1473</t>
    <phoneticPr fontId="21" type="noConversion"/>
  </si>
  <si>
    <t>A5 25A 三相四线插座面板</t>
    <phoneticPr fontId="21" type="noConversion"/>
  </si>
  <si>
    <t>NLINM1474</t>
    <phoneticPr fontId="21" type="noConversion"/>
  </si>
  <si>
    <t>A5 25A 三相四线插座后座</t>
    <phoneticPr fontId="21" type="noConversion"/>
  </si>
  <si>
    <t>NLINM1471</t>
    <phoneticPr fontId="21" type="noConversion"/>
  </si>
  <si>
    <t>E5 25A 三相四线插座面板</t>
    <phoneticPr fontId="21" type="noConversion"/>
  </si>
  <si>
    <t>NLINM1472</t>
    <phoneticPr fontId="21" type="noConversion"/>
  </si>
  <si>
    <t>E5 25A 三相四线插座后座</t>
    <phoneticPr fontId="21" type="noConversion"/>
  </si>
  <si>
    <t>NLINM1490</t>
    <phoneticPr fontId="21" type="noConversion"/>
  </si>
  <si>
    <t>E5带大板开关10A三极插座面盖 05</t>
    <phoneticPr fontId="21" type="noConversion"/>
  </si>
  <si>
    <t>NLINM1491</t>
    <phoneticPr fontId="21" type="noConversion"/>
  </si>
  <si>
    <t>E5带大板开关10A三极插座压板 05</t>
    <phoneticPr fontId="21" type="noConversion"/>
  </si>
  <si>
    <t>NLINM1492</t>
    <phoneticPr fontId="21" type="noConversion"/>
  </si>
  <si>
    <t>E5带大板开关10A三极插座固定架 04</t>
    <phoneticPr fontId="21" type="noConversion"/>
  </si>
  <si>
    <t>NLINM1514</t>
    <phoneticPr fontId="21" type="noConversion"/>
  </si>
  <si>
    <t>E5带大板开关10A三极插座开关按钮 05</t>
    <phoneticPr fontId="21" type="noConversion"/>
  </si>
  <si>
    <t>NLINM1505</t>
    <phoneticPr fontId="21" type="noConversion"/>
  </si>
  <si>
    <t>A5/E5带大板开关10A三极插座开关假端子 04</t>
    <phoneticPr fontId="21" type="noConversion"/>
  </si>
  <si>
    <t>NLINM1493</t>
    <phoneticPr fontId="21" type="noConversion"/>
  </si>
  <si>
    <t>E5带大板开关16A三极插座面盖 05</t>
    <phoneticPr fontId="21" type="noConversion"/>
  </si>
  <si>
    <t>NLINM1494</t>
    <phoneticPr fontId="21" type="noConversion"/>
  </si>
  <si>
    <t>E5带大板开关16A三极插座压板 05</t>
    <phoneticPr fontId="21" type="noConversion"/>
  </si>
  <si>
    <t>NLINM1495</t>
    <phoneticPr fontId="21" type="noConversion"/>
  </si>
  <si>
    <t>E5带大板开关16A三极插座固定架 04</t>
    <phoneticPr fontId="21" type="noConversion"/>
  </si>
  <si>
    <t>NLINM1499</t>
    <phoneticPr fontId="21" type="noConversion"/>
  </si>
  <si>
    <t>E5带大板开关10A二、三极插座面盖 05</t>
    <phoneticPr fontId="21" type="noConversion"/>
  </si>
  <si>
    <t>NLINM1500</t>
    <phoneticPr fontId="21" type="noConversion"/>
  </si>
  <si>
    <t>E5带大板开关10A二、三极插座压板 05</t>
    <phoneticPr fontId="21" type="noConversion"/>
  </si>
  <si>
    <t>NLINM1501</t>
    <phoneticPr fontId="21" type="noConversion"/>
  </si>
  <si>
    <t>E5带大板开关10A二、三极插座固定架 04</t>
    <phoneticPr fontId="21" type="noConversion"/>
  </si>
  <si>
    <t>NLINM1502</t>
    <phoneticPr fontId="21" type="noConversion"/>
  </si>
  <si>
    <t>A5 插座类一位开关功能件按钮  05</t>
    <phoneticPr fontId="21" type="noConversion"/>
  </si>
  <si>
    <t>NLINM1504</t>
    <phoneticPr fontId="21" type="noConversion"/>
  </si>
  <si>
    <t>A5 插座类一位单控开关功能件后座 04</t>
    <phoneticPr fontId="21" type="noConversion"/>
  </si>
  <si>
    <t>NLINM1503</t>
    <phoneticPr fontId="21" type="noConversion"/>
  </si>
  <si>
    <t>A5 插座类一位单控开关功能件压板 04</t>
    <phoneticPr fontId="21" type="noConversion"/>
  </si>
  <si>
    <t>NLINM1506</t>
    <phoneticPr fontId="21" type="noConversion"/>
  </si>
  <si>
    <t>A5 插座类一位单控开关功能件摆杆 04</t>
    <phoneticPr fontId="21" type="noConversion"/>
  </si>
  <si>
    <t>NLINM1809</t>
    <phoneticPr fontId="21" type="noConversion"/>
  </si>
  <si>
    <t>E5/A5 插座类一位单控开关铵钮荧光粒 65</t>
    <phoneticPr fontId="21" type="noConversion"/>
  </si>
  <si>
    <t>NLINM1507</t>
    <phoneticPr fontId="21" type="noConversion"/>
  </si>
  <si>
    <t>NLINM1515</t>
    <phoneticPr fontId="21" type="noConversion"/>
  </si>
  <si>
    <t>A5 插座类开关弹子 04</t>
    <phoneticPr fontId="21" type="noConversion"/>
  </si>
  <si>
    <t>A2/A5/E5</t>
    <phoneticPr fontId="21" type="noConversion"/>
  </si>
  <si>
    <t>NLINM1508</t>
    <phoneticPr fontId="21" type="noConversion"/>
  </si>
  <si>
    <t>A5 带大按钮开关10A三极插座面板  05</t>
    <phoneticPr fontId="21" type="noConversion"/>
  </si>
  <si>
    <t>NLINM1511</t>
    <phoneticPr fontId="21" type="noConversion"/>
  </si>
  <si>
    <t>A5 带大按钮开关16A三极插座面板  05</t>
    <phoneticPr fontId="21" type="noConversion"/>
  </si>
  <si>
    <t>NLINM1509</t>
    <phoneticPr fontId="21" type="noConversion"/>
  </si>
  <si>
    <t>A5 带大按钮开关10A二、三插座面板  05</t>
    <phoneticPr fontId="21" type="noConversion"/>
  </si>
  <si>
    <t>NLINM1510</t>
    <phoneticPr fontId="21" type="noConversion"/>
  </si>
  <si>
    <t>A5 带大按钮开关10A二、三插座后座 04</t>
    <phoneticPr fontId="21" type="noConversion"/>
  </si>
  <si>
    <t>NLINM1647</t>
    <phoneticPr fontId="21" type="noConversion"/>
  </si>
  <si>
    <t>A2一位(中板）中途挚开关按板 05</t>
    <phoneticPr fontId="21" type="noConversion"/>
  </si>
  <si>
    <t>NLINM1800</t>
    <phoneticPr fontId="21" type="noConversion"/>
  </si>
  <si>
    <t>A5 86型刮须插座固定架（细纹面）</t>
    <phoneticPr fontId="21" type="noConversion"/>
  </si>
  <si>
    <t>105-3N</t>
    <phoneticPr fontId="21" type="noConversion"/>
  </si>
  <si>
    <t>SHUTTER</t>
    <phoneticPr fontId="21" type="noConversion"/>
  </si>
  <si>
    <t>E30</t>
    <phoneticPr fontId="21" type="noConversion"/>
  </si>
  <si>
    <t>30/1N-3</t>
    <phoneticPr fontId="21" type="noConversion"/>
  </si>
  <si>
    <t>LIGHT DUCT</t>
    <phoneticPr fontId="21" type="noConversion"/>
  </si>
  <si>
    <t>EM4CL8A3-4</t>
    <phoneticPr fontId="21" type="noConversion"/>
  </si>
  <si>
    <t>900-82301A-3</t>
    <phoneticPr fontId="21" type="noConversion"/>
  </si>
  <si>
    <t>CABLE TIE HOLDER</t>
    <phoneticPr fontId="21" type="noConversion"/>
  </si>
  <si>
    <t>EHL-BKT</t>
    <phoneticPr fontId="21" type="noConversion"/>
  </si>
  <si>
    <t>LENS CLEAR FOR E31KT</t>
    <phoneticPr fontId="21" type="noConversion"/>
  </si>
  <si>
    <t>EH-KH01</t>
    <phoneticPr fontId="21" type="noConversion"/>
  </si>
  <si>
    <t>KEY HOUSING</t>
    <phoneticPr fontId="21" type="noConversion"/>
  </si>
  <si>
    <t>E30FSG-1</t>
    <phoneticPr fontId="21" type="noConversion"/>
  </si>
  <si>
    <t>FUSE BASE</t>
    <phoneticPr fontId="21" type="noConversion"/>
  </si>
  <si>
    <t>E30FSG-2</t>
    <phoneticPr fontId="21" type="noConversion"/>
  </si>
  <si>
    <t>FUSE HOLDER</t>
    <phoneticPr fontId="21" type="noConversion"/>
  </si>
  <si>
    <t>E30FSG-51</t>
    <phoneticPr fontId="21" type="noConversion"/>
  </si>
  <si>
    <t>GROMMET</t>
    <phoneticPr fontId="21" type="noConversion"/>
  </si>
  <si>
    <t>E31FSG-4</t>
    <phoneticPr fontId="21" type="noConversion"/>
  </si>
  <si>
    <t>CORD ENTRY COVER</t>
    <phoneticPr fontId="21" type="noConversion"/>
  </si>
  <si>
    <t>E426US2-20</t>
    <phoneticPr fontId="21" type="noConversion"/>
  </si>
  <si>
    <t>E426US2-20-</t>
    <phoneticPr fontId="21" type="noConversion"/>
  </si>
  <si>
    <t>BASE</t>
    <phoneticPr fontId="21" type="noConversion"/>
  </si>
  <si>
    <t>E554-1</t>
    <phoneticPr fontId="21" type="noConversion"/>
  </si>
  <si>
    <t>ESM15/15-5</t>
    <phoneticPr fontId="21" type="noConversion"/>
  </si>
  <si>
    <t>ESM15/15-5-</t>
    <phoneticPr fontId="21" type="noConversion"/>
  </si>
  <si>
    <t>ET02-1-9</t>
    <phoneticPr fontId="21" type="noConversion"/>
  </si>
  <si>
    <t>ETC02-FP</t>
    <phoneticPr fontId="21" type="noConversion"/>
  </si>
  <si>
    <t>FLUSH PLATE WITH CAPS</t>
    <phoneticPr fontId="21" type="noConversion"/>
  </si>
  <si>
    <t>E554-3</t>
    <phoneticPr fontId="21" type="noConversion"/>
  </si>
  <si>
    <t>U418/2-3-</t>
    <phoneticPr fontId="21" type="noConversion"/>
  </si>
  <si>
    <t>CORD CLIP</t>
    <phoneticPr fontId="21" type="noConversion"/>
  </si>
  <si>
    <t>E426UST-20</t>
    <phoneticPr fontId="21" type="noConversion"/>
  </si>
  <si>
    <t>E426UST-20C</t>
    <phoneticPr fontId="21" type="noConversion"/>
  </si>
  <si>
    <t>BASE, BLACK</t>
    <phoneticPr fontId="21" type="noConversion"/>
  </si>
  <si>
    <t>E426US2-1</t>
    <phoneticPr fontId="21" type="noConversion"/>
  </si>
  <si>
    <t>E426U-1</t>
    <phoneticPr fontId="21" type="noConversion"/>
  </si>
  <si>
    <t>PLATE,REFER TO E426US2-1</t>
    <phoneticPr fontId="21" type="noConversion"/>
  </si>
  <si>
    <t>E426U-100</t>
    <phoneticPr fontId="21" type="noConversion"/>
  </si>
  <si>
    <t>E426U-100-</t>
    <phoneticPr fontId="21" type="noConversion"/>
  </si>
  <si>
    <t>E426U FLUSH PLATE</t>
    <phoneticPr fontId="21" type="noConversion"/>
  </si>
  <si>
    <t>E1426/10-2</t>
    <phoneticPr fontId="21" type="noConversion"/>
  </si>
  <si>
    <t>E1426/10-2C</t>
    <phoneticPr fontId="21" type="noConversion"/>
  </si>
  <si>
    <t>E15/10N-FP</t>
    <phoneticPr fontId="21" type="noConversion"/>
  </si>
  <si>
    <t>PLATE,REFER TO</t>
    <phoneticPr fontId="21" type="noConversion"/>
  </si>
  <si>
    <t>E426/10S-FP</t>
    <phoneticPr fontId="21" type="noConversion"/>
  </si>
  <si>
    <t>FLUSH PLATE W/9 CAP</t>
    <phoneticPr fontId="21" type="noConversion"/>
  </si>
  <si>
    <t>ET36-1</t>
    <phoneticPr fontId="21" type="noConversion"/>
  </si>
  <si>
    <t>ET36-1-</t>
    <phoneticPr fontId="21" type="noConversion"/>
  </si>
  <si>
    <t>6 GANG FLUSH PLATE W/CAP</t>
    <phoneticPr fontId="21" type="noConversion"/>
  </si>
  <si>
    <t>BRWPNS1PCC-01</t>
    <phoneticPr fontId="21" type="noConversion"/>
  </si>
  <si>
    <t>BRWPNS1PCC-1</t>
    <phoneticPr fontId="21" type="noConversion"/>
  </si>
  <si>
    <t>Grid Plate, White</t>
    <phoneticPr fontId="21" type="noConversion"/>
  </si>
  <si>
    <t>BRWPNS2PCC-1</t>
    <phoneticPr fontId="21" type="noConversion"/>
  </si>
  <si>
    <t>BRWPNS4PCCV2-01</t>
    <phoneticPr fontId="21" type="noConversion"/>
  </si>
  <si>
    <t>4 Gang Wallplate</t>
    <phoneticPr fontId="21" type="noConversion"/>
  </si>
  <si>
    <t>BRWPS1PCC-00-01</t>
    <phoneticPr fontId="21" type="noConversion"/>
  </si>
  <si>
    <t>Grid Plate 1 Gang with  screw</t>
    <phoneticPr fontId="21" type="noConversion"/>
  </si>
  <si>
    <t>E426/16CS-1</t>
    <phoneticPr fontId="21" type="noConversion"/>
  </si>
  <si>
    <t>E426/16CS-FP</t>
    <phoneticPr fontId="21" type="noConversion"/>
  </si>
  <si>
    <t>PLATE,REFER</t>
    <phoneticPr fontId="21" type="noConversion"/>
  </si>
  <si>
    <t>E727-20-9</t>
    <phoneticPr fontId="21" type="noConversion"/>
  </si>
  <si>
    <t>E727-20-9-</t>
    <phoneticPr fontId="21" type="noConversion"/>
  </si>
  <si>
    <t>FLUSH PLATE W/ HOT STAMP</t>
    <phoneticPr fontId="21" type="noConversion"/>
  </si>
  <si>
    <t>EH-KRF01</t>
    <phoneticPr fontId="21" type="noConversion"/>
  </si>
  <si>
    <t>KEY TAG FEMALE</t>
    <phoneticPr fontId="21" type="noConversion"/>
  </si>
  <si>
    <t>U418/2-2</t>
    <phoneticPr fontId="21" type="noConversion"/>
  </si>
  <si>
    <t>U418/2-2-</t>
    <phoneticPr fontId="21" type="noConversion"/>
  </si>
  <si>
    <t>COVER</t>
    <phoneticPr fontId="21" type="noConversion"/>
  </si>
  <si>
    <t>U418T2-1</t>
    <phoneticPr fontId="21" type="noConversion"/>
  </si>
  <si>
    <t>U418T2-1-</t>
    <phoneticPr fontId="21" type="noConversion"/>
  </si>
  <si>
    <t>BASE 250V 10A</t>
    <phoneticPr fontId="21" type="noConversion"/>
  </si>
  <si>
    <t>102-4/8</t>
    <phoneticPr fontId="21" type="noConversion"/>
  </si>
  <si>
    <t>102-4/8(CM)</t>
    <phoneticPr fontId="21" type="noConversion"/>
  </si>
  <si>
    <t>WIRE BLOCK,CREAM</t>
    <phoneticPr fontId="21" type="noConversion"/>
  </si>
  <si>
    <t>105-2/8</t>
    <phoneticPr fontId="21" type="noConversion"/>
  </si>
  <si>
    <t>105-2/8(CM)</t>
    <phoneticPr fontId="21" type="noConversion"/>
  </si>
  <si>
    <t>SOCKET BASE,CREAM</t>
    <phoneticPr fontId="21" type="noConversion"/>
  </si>
  <si>
    <t>30/1N-1</t>
    <phoneticPr fontId="21" type="noConversion"/>
  </si>
  <si>
    <t>30/1N-10</t>
    <phoneticPr fontId="21" type="noConversion"/>
  </si>
  <si>
    <t>BASE</t>
    <phoneticPr fontId="21" type="noConversion"/>
  </si>
  <si>
    <t>E30</t>
    <phoneticPr fontId="21" type="noConversion"/>
  </si>
  <si>
    <t>E109-1/3-9</t>
    <phoneticPr fontId="21" type="noConversion"/>
  </si>
  <si>
    <t>E109-1/3-9-</t>
    <phoneticPr fontId="21" type="noConversion"/>
  </si>
  <si>
    <t>FLUSH PLATE W/CAP</t>
    <phoneticPr fontId="21" type="noConversion"/>
  </si>
  <si>
    <t>E15/10US-00</t>
    <phoneticPr fontId="21" type="noConversion"/>
  </si>
  <si>
    <t>GRIDPLATE</t>
    <phoneticPr fontId="21" type="noConversion"/>
  </si>
  <si>
    <t>E30T405M-11</t>
    <phoneticPr fontId="21" type="noConversion"/>
  </si>
  <si>
    <t>cap</t>
    <phoneticPr fontId="21" type="noConversion"/>
  </si>
  <si>
    <t>E30/405M-12</t>
    <phoneticPr fontId="21" type="noConversion"/>
  </si>
  <si>
    <t>body</t>
    <phoneticPr fontId="21" type="noConversion"/>
  </si>
  <si>
    <t>E31/2X-9</t>
    <phoneticPr fontId="21" type="noConversion"/>
  </si>
  <si>
    <t>E31/2X-9-</t>
    <phoneticPr fontId="21" type="noConversion"/>
  </si>
  <si>
    <t>FLUSH PLATE WHITE</t>
    <phoneticPr fontId="21" type="noConversion"/>
  </si>
  <si>
    <t>30MD20-77</t>
    <phoneticPr fontId="21" type="noConversion"/>
  </si>
  <si>
    <t>30N-1</t>
    <phoneticPr fontId="21" type="noConversion"/>
  </si>
  <si>
    <t>NEON INDICATOR WINDOW RD</t>
    <phoneticPr fontId="21" type="noConversion"/>
  </si>
  <si>
    <t>E31KT-20</t>
    <phoneticPr fontId="21" type="noConversion"/>
  </si>
  <si>
    <t>DOLLY</t>
    <phoneticPr fontId="21" type="noConversion"/>
  </si>
  <si>
    <t>E32N-1</t>
    <phoneticPr fontId="21" type="noConversion"/>
  </si>
  <si>
    <t>Base For E32N</t>
    <phoneticPr fontId="21" type="noConversion"/>
  </si>
  <si>
    <t>ET2025N-1</t>
    <phoneticPr fontId="21" type="noConversion"/>
  </si>
  <si>
    <t>LENS</t>
    <phoneticPr fontId="21" type="noConversion"/>
  </si>
  <si>
    <t>S1B54419</t>
    <phoneticPr fontId="21" type="noConversion"/>
  </si>
  <si>
    <t>30/1N-2</t>
    <phoneticPr fontId="21" type="noConversion"/>
  </si>
  <si>
    <t>30/1N16-1</t>
    <phoneticPr fontId="21" type="noConversion"/>
  </si>
  <si>
    <t>30MDP/4-1</t>
    <phoneticPr fontId="21" type="noConversion"/>
  </si>
  <si>
    <t>30MBP-1</t>
    <phoneticPr fontId="21" type="noConversion"/>
  </si>
  <si>
    <t>BASE W/4A MARKED</t>
    <phoneticPr fontId="21" type="noConversion"/>
  </si>
  <si>
    <t>30MBP2/3-3</t>
    <phoneticPr fontId="21" type="noConversion"/>
  </si>
  <si>
    <t>BUTTON</t>
    <phoneticPr fontId="21" type="noConversion"/>
  </si>
  <si>
    <t>E1426-3S</t>
    <phoneticPr fontId="21" type="noConversion"/>
  </si>
  <si>
    <t>SHUTTER</t>
    <phoneticPr fontId="21" type="noConversion"/>
  </si>
  <si>
    <t>E15/16CN-FP</t>
    <phoneticPr fontId="21" type="noConversion"/>
  </si>
  <si>
    <t>FLUSH PLATE</t>
    <phoneticPr fontId="21" type="noConversion"/>
  </si>
  <si>
    <t>E32G-9</t>
    <phoneticPr fontId="21" type="noConversion"/>
  </si>
  <si>
    <t>E32G-9-</t>
    <phoneticPr fontId="21" type="noConversion"/>
  </si>
  <si>
    <t>FLUSH PLATE W/CAPS</t>
    <phoneticPr fontId="21" type="noConversion"/>
  </si>
  <si>
    <t>E426/15-1-9</t>
    <phoneticPr fontId="21" type="noConversion"/>
  </si>
  <si>
    <t>E426/15-1-9-</t>
    <phoneticPr fontId="21" type="noConversion"/>
  </si>
  <si>
    <t>E426/5-2</t>
    <phoneticPr fontId="21" type="noConversion"/>
  </si>
  <si>
    <t>E426/15-2</t>
    <phoneticPr fontId="21" type="noConversion"/>
  </si>
  <si>
    <t>EP16CS-2</t>
    <phoneticPr fontId="21" type="noConversion"/>
  </si>
  <si>
    <t>COVER</t>
    <phoneticPr fontId="21" type="noConversion"/>
  </si>
  <si>
    <t>ET426/CS-1</t>
    <phoneticPr fontId="21" type="noConversion"/>
  </si>
  <si>
    <t>E426/10US-1N</t>
    <phoneticPr fontId="21" type="noConversion"/>
  </si>
  <si>
    <t>E727-109</t>
    <phoneticPr fontId="21" type="noConversion"/>
  </si>
  <si>
    <t>WITCH ACTUATOR</t>
    <phoneticPr fontId="21" type="noConversion"/>
  </si>
  <si>
    <t>30/1/2M-1</t>
    <phoneticPr fontId="21" type="noConversion"/>
  </si>
  <si>
    <t>30/1/2M-1-</t>
    <phoneticPr fontId="21" type="noConversion"/>
  </si>
  <si>
    <t>1 WAY BASE</t>
    <phoneticPr fontId="21" type="noConversion"/>
  </si>
  <si>
    <t>30/1N-1</t>
    <phoneticPr fontId="21" type="noConversion"/>
  </si>
  <si>
    <t>E3015/10US-10</t>
    <phoneticPr fontId="21" type="noConversion"/>
  </si>
  <si>
    <t>E34-9</t>
    <phoneticPr fontId="21" type="noConversion"/>
  </si>
  <si>
    <t>E34-9-</t>
    <phoneticPr fontId="21" type="noConversion"/>
  </si>
  <si>
    <t>PLATE , REFER TO E34-1</t>
    <phoneticPr fontId="21" type="noConversion"/>
  </si>
  <si>
    <t>E35-9</t>
    <phoneticPr fontId="21" type="noConversion"/>
  </si>
  <si>
    <t>E35-9-</t>
    <phoneticPr fontId="21" type="noConversion"/>
  </si>
  <si>
    <t>PLATE , REFER TO GBE35-9</t>
    <phoneticPr fontId="21" type="noConversion"/>
  </si>
  <si>
    <t>E727-100</t>
    <phoneticPr fontId="21" type="noConversion"/>
  </si>
  <si>
    <t>30-12</t>
    <phoneticPr fontId="21" type="noConversion"/>
  </si>
  <si>
    <t>BRWPS2PCC-00-01</t>
    <phoneticPr fontId="21" type="noConversion"/>
  </si>
  <si>
    <t>Grid Plate 2 Gang with cap and screw</t>
    <phoneticPr fontId="21" type="noConversion"/>
  </si>
  <si>
    <t>E15/10US-3S</t>
    <phoneticPr fontId="21" type="noConversion"/>
  </si>
  <si>
    <t>3PIN SHUTTER</t>
    <phoneticPr fontId="21" type="noConversion"/>
  </si>
  <si>
    <t>E30/1M-BA (B模）</t>
    <phoneticPr fontId="21" type="noConversion"/>
  </si>
  <si>
    <t>E30/1M-BA</t>
    <phoneticPr fontId="21" type="noConversion"/>
  </si>
  <si>
    <t>1-WAY BASE</t>
    <phoneticPr fontId="21" type="noConversion"/>
  </si>
  <si>
    <t>E30/1M-BA (A模）</t>
    <phoneticPr fontId="21" type="noConversion"/>
  </si>
  <si>
    <t>E30/1M-DO</t>
    <phoneticPr fontId="21" type="noConversion"/>
  </si>
  <si>
    <t>E30FSG-3-9</t>
    <phoneticPr fontId="21" type="noConversion"/>
  </si>
  <si>
    <t>E30FSG-3-9-</t>
    <phoneticPr fontId="21" type="noConversion"/>
  </si>
  <si>
    <t>E31-9 (C模）</t>
    <phoneticPr fontId="21" type="noConversion"/>
  </si>
  <si>
    <t>E31-9-</t>
    <phoneticPr fontId="21" type="noConversion"/>
  </si>
  <si>
    <t>PLATE, REFER TO E31-9</t>
    <phoneticPr fontId="21" type="noConversion"/>
  </si>
  <si>
    <t>E31-9 (A模）</t>
    <phoneticPr fontId="21" type="noConversion"/>
  </si>
  <si>
    <t>E32-9-</t>
    <phoneticPr fontId="21" type="noConversion"/>
  </si>
  <si>
    <t>E31X-9</t>
    <phoneticPr fontId="21" type="noConversion"/>
  </si>
  <si>
    <t>EP10-20</t>
    <phoneticPr fontId="21" type="noConversion"/>
  </si>
  <si>
    <t>COVER FOR EP10</t>
    <phoneticPr fontId="21" type="noConversion"/>
  </si>
  <si>
    <t>E1426/16CS-2</t>
    <phoneticPr fontId="21" type="noConversion"/>
  </si>
  <si>
    <t>E1426/16CS-2-</t>
    <phoneticPr fontId="21" type="noConversion"/>
  </si>
  <si>
    <t>E31WP-2</t>
    <phoneticPr fontId="21" type="noConversion"/>
  </si>
  <si>
    <t>CLAMPRING</t>
    <phoneticPr fontId="21" type="noConversion"/>
  </si>
  <si>
    <t>30MD20-75R</t>
    <phoneticPr fontId="21" type="noConversion"/>
  </si>
  <si>
    <t>30MD20-75R-S</t>
    <phoneticPr fontId="21" type="noConversion"/>
  </si>
  <si>
    <t>DOLLY FOR 30MD20 REDESIGNING</t>
    <phoneticPr fontId="21" type="noConversion"/>
  </si>
  <si>
    <t>E426/10US-2N</t>
    <phoneticPr fontId="21" type="noConversion"/>
  </si>
  <si>
    <t>465-4</t>
    <phoneticPr fontId="21" type="noConversion"/>
  </si>
  <si>
    <t>465/4</t>
    <phoneticPr fontId="21" type="noConversion"/>
  </si>
  <si>
    <t>CLAMP</t>
    <phoneticPr fontId="21" type="noConversion"/>
  </si>
  <si>
    <t>KB-01</t>
    <phoneticPr fontId="21" type="noConversion"/>
  </si>
  <si>
    <t>KB</t>
    <phoneticPr fontId="21" type="noConversion"/>
  </si>
  <si>
    <t>KB-03</t>
    <phoneticPr fontId="21" type="noConversion"/>
  </si>
  <si>
    <t>2G SMALL SURROUND FOR CLIPSAL</t>
    <phoneticPr fontId="21" type="noConversion"/>
  </si>
  <si>
    <t>223V-1&gt;CL-</t>
    <phoneticPr fontId="21" type="noConversion"/>
  </si>
  <si>
    <t>COVER CLEAR（透明上盖）</t>
    <phoneticPr fontId="21" type="noConversion"/>
  </si>
  <si>
    <t>Box</t>
    <phoneticPr fontId="21" type="noConversion"/>
  </si>
  <si>
    <t>223V-2-</t>
    <phoneticPr fontId="21" type="noConversion"/>
  </si>
  <si>
    <t>BASE（白色底壳）</t>
    <phoneticPr fontId="21" type="noConversion"/>
  </si>
  <si>
    <t>E223-1&gt;CL-</t>
    <phoneticPr fontId="21" type="noConversion"/>
  </si>
  <si>
    <t>COVER（透明上盖）</t>
    <phoneticPr fontId="21" type="noConversion"/>
  </si>
  <si>
    <t>ET223-1&gt;CL-</t>
    <phoneticPr fontId="21" type="noConversion"/>
  </si>
  <si>
    <t>S1A59707</t>
    <phoneticPr fontId="21" type="noConversion"/>
  </si>
  <si>
    <t xml:space="preserve"> TR Button for E223M（透明按钮）</t>
    <phoneticPr fontId="21" type="noConversion"/>
  </si>
  <si>
    <t>S1A59721</t>
    <phoneticPr fontId="21" type="noConversion"/>
  </si>
  <si>
    <t>TR COVER（透明上盖）</t>
    <phoneticPr fontId="21" type="noConversion"/>
  </si>
  <si>
    <t>S1A59722</t>
    <phoneticPr fontId="21" type="noConversion"/>
  </si>
  <si>
    <t>TR BASE（透明底壳）</t>
    <phoneticPr fontId="21" type="noConversion"/>
  </si>
  <si>
    <t>E157C20-</t>
    <phoneticPr fontId="21" type="noConversion"/>
  </si>
  <si>
    <t>E157C20</t>
    <phoneticPr fontId="21" type="noConversion"/>
  </si>
  <si>
    <t>20mm WALLBOX COUPLER（20mm连接器）</t>
    <phoneticPr fontId="21" type="noConversion"/>
  </si>
  <si>
    <t>S1A59717</t>
    <phoneticPr fontId="21" type="noConversion"/>
  </si>
  <si>
    <t>S1A59718</t>
    <phoneticPr fontId="21" type="noConversion"/>
  </si>
  <si>
    <t>ET238-1-</t>
    <phoneticPr fontId="21" type="noConversion"/>
  </si>
  <si>
    <t>BOX（防水盒主体）</t>
    <phoneticPr fontId="21" type="noConversion"/>
  </si>
  <si>
    <t>ET238D-1-</t>
    <phoneticPr fontId="21" type="noConversion"/>
  </si>
  <si>
    <t>2-GAN DP MOUNT'G BOX墙盒主体外销</t>
    <phoneticPr fontId="21" type="noConversion"/>
  </si>
  <si>
    <t>E238/2-1</t>
    <phoneticPr fontId="21" type="noConversion"/>
  </si>
  <si>
    <t>E238/2-1-</t>
    <phoneticPr fontId="21" type="noConversion"/>
  </si>
  <si>
    <t>WALL BOX（墙盒主体外销）</t>
    <phoneticPr fontId="21" type="noConversion"/>
  </si>
  <si>
    <t>E238/2-2</t>
    <phoneticPr fontId="21" type="noConversion"/>
  </si>
  <si>
    <t>DIVIDER（隔片）</t>
    <phoneticPr fontId="21" type="noConversion"/>
  </si>
  <si>
    <t>E238-1-（T1）</t>
    <phoneticPr fontId="21" type="noConversion"/>
  </si>
  <si>
    <t>E238-1-</t>
    <phoneticPr fontId="21" type="noConversion"/>
  </si>
  <si>
    <t>E238-1-（T2）</t>
    <phoneticPr fontId="21" type="noConversion"/>
  </si>
  <si>
    <t>PHRB818501A</t>
    <phoneticPr fontId="21" type="noConversion"/>
  </si>
  <si>
    <t>HRB81850</t>
    <phoneticPr fontId="21" type="noConversion"/>
  </si>
  <si>
    <t>6G-S Surround</t>
    <phoneticPr fontId="21" type="noConversion"/>
  </si>
  <si>
    <t>Adora</t>
    <phoneticPr fontId="21" type="noConversion"/>
  </si>
  <si>
    <t>PHRB818481A</t>
    <phoneticPr fontId="21" type="noConversion"/>
  </si>
  <si>
    <t>HRB81848</t>
    <phoneticPr fontId="21" type="noConversion"/>
  </si>
  <si>
    <t>8G-S  Surround</t>
    <phoneticPr fontId="21" type="noConversion"/>
  </si>
  <si>
    <t>PHRB818451A</t>
    <phoneticPr fontId="21" type="noConversion"/>
  </si>
  <si>
    <t>HRB81845</t>
    <phoneticPr fontId="21" type="noConversion"/>
  </si>
  <si>
    <t>DU-GP Gridplate</t>
    <phoneticPr fontId="21" type="noConversion"/>
  </si>
  <si>
    <t>PHRB818351A</t>
    <phoneticPr fontId="21" type="noConversion"/>
  </si>
  <si>
    <t>HRB81835</t>
    <phoneticPr fontId="21" type="noConversion"/>
  </si>
  <si>
    <t>DU-S Surround</t>
    <phoneticPr fontId="21" type="noConversion"/>
  </si>
  <si>
    <t>PHRB818131A</t>
    <phoneticPr fontId="21" type="noConversion"/>
  </si>
  <si>
    <t>HRB81813</t>
    <phoneticPr fontId="21" type="noConversion"/>
  </si>
  <si>
    <t>L-S Surround</t>
    <phoneticPr fontId="21" type="noConversion"/>
  </si>
  <si>
    <t>PHRB818101A</t>
    <phoneticPr fontId="21" type="noConversion"/>
  </si>
  <si>
    <t>HRB81810</t>
    <phoneticPr fontId="21" type="noConversion"/>
  </si>
  <si>
    <t>M-S Surround</t>
    <phoneticPr fontId="21" type="noConversion"/>
  </si>
  <si>
    <t>PHRB818621A</t>
    <phoneticPr fontId="21" type="noConversion"/>
  </si>
  <si>
    <t>HRB81862</t>
    <phoneticPr fontId="21" type="noConversion"/>
  </si>
  <si>
    <t>IA-20 Dolly</t>
    <phoneticPr fontId="21" type="noConversion"/>
  </si>
  <si>
    <t>PHRB818611A</t>
    <phoneticPr fontId="21" type="noConversion"/>
  </si>
  <si>
    <t>HRB81861</t>
    <phoneticPr fontId="21" type="noConversion"/>
  </si>
  <si>
    <t>4G-20 Dolly</t>
    <phoneticPr fontId="21" type="noConversion"/>
  </si>
  <si>
    <t>PHRB818561A</t>
    <phoneticPr fontId="21" type="noConversion"/>
  </si>
  <si>
    <t>HRB81856</t>
    <phoneticPr fontId="21" type="noConversion"/>
  </si>
  <si>
    <t>3G-L Dolly</t>
    <phoneticPr fontId="21" type="noConversion"/>
  </si>
  <si>
    <t>PHRB818541A</t>
    <phoneticPr fontId="21" type="noConversion"/>
  </si>
  <si>
    <t>HRB81854</t>
    <phoneticPr fontId="21" type="noConversion"/>
  </si>
  <si>
    <t>M-20 Dolly</t>
    <phoneticPr fontId="21" type="noConversion"/>
  </si>
  <si>
    <t>PHRB818531A</t>
    <phoneticPr fontId="21" type="noConversion"/>
  </si>
  <si>
    <t>HRB81853</t>
    <phoneticPr fontId="21" type="noConversion"/>
  </si>
  <si>
    <t>L-20 Dolly</t>
    <phoneticPr fontId="21" type="noConversion"/>
  </si>
  <si>
    <t>PHRB829021A</t>
    <phoneticPr fontId="21" type="noConversion"/>
  </si>
  <si>
    <t>HRB82902</t>
    <phoneticPr fontId="21" type="noConversion"/>
  </si>
  <si>
    <t>COVER（横装10A三插面盖）</t>
    <phoneticPr fontId="21" type="noConversion"/>
  </si>
  <si>
    <t>Dance IV</t>
    <phoneticPr fontId="21" type="noConversion"/>
  </si>
  <si>
    <t>PHRB829061A</t>
    <phoneticPr fontId="21" type="noConversion"/>
  </si>
  <si>
    <t>HRB82906</t>
    <phoneticPr fontId="21" type="noConversion"/>
  </si>
  <si>
    <t>BASE（横装10A三插后座）</t>
    <phoneticPr fontId="21" type="noConversion"/>
  </si>
  <si>
    <t>PHRB824141A</t>
    <phoneticPr fontId="21" type="noConversion"/>
  </si>
  <si>
    <t>HRB82414</t>
    <phoneticPr fontId="21" type="noConversion"/>
  </si>
  <si>
    <t>COVER(竖装10A三插面盖-快速接线)</t>
    <phoneticPr fontId="21" type="noConversion"/>
  </si>
  <si>
    <t>PHRB824161A</t>
    <phoneticPr fontId="21" type="noConversion"/>
  </si>
  <si>
    <t>HRB82416</t>
    <phoneticPr fontId="21" type="noConversion"/>
  </si>
  <si>
    <t>BASE(竖装10A三插后座-快速接线)</t>
    <phoneticPr fontId="21" type="noConversion"/>
  </si>
  <si>
    <t>PHRB824231A</t>
    <phoneticPr fontId="21" type="noConversion"/>
  </si>
  <si>
    <t>HRB82423</t>
    <phoneticPr fontId="21" type="noConversion"/>
  </si>
  <si>
    <t>COVER(竖装16A三插白色面盖-快速接线)</t>
    <phoneticPr fontId="21" type="noConversion"/>
  </si>
  <si>
    <t>PHRB824241A</t>
    <phoneticPr fontId="21" type="noConversion"/>
  </si>
  <si>
    <t>HRB82424</t>
    <phoneticPr fontId="21" type="noConversion"/>
  </si>
  <si>
    <t>BASE(竖装16A三插白色后座-快速接线)</t>
    <phoneticPr fontId="21" type="noConversion"/>
  </si>
  <si>
    <t>PHRB827631A</t>
    <phoneticPr fontId="21" type="noConversion"/>
  </si>
  <si>
    <t>HRB82763</t>
    <phoneticPr fontId="21" type="noConversion"/>
  </si>
  <si>
    <t>SUPPORT（10A三插压板）</t>
    <phoneticPr fontId="21" type="noConversion"/>
  </si>
  <si>
    <t>PHRB824081A</t>
    <phoneticPr fontId="21" type="noConversion"/>
  </si>
  <si>
    <t>HRB82408</t>
    <phoneticPr fontId="21" type="noConversion"/>
  </si>
  <si>
    <t>SHUTTER（保护门）</t>
    <phoneticPr fontId="21" type="noConversion"/>
  </si>
  <si>
    <t>PHRB824061A</t>
    <phoneticPr fontId="21" type="noConversion"/>
  </si>
  <si>
    <t>HRB82406</t>
    <phoneticPr fontId="21" type="noConversion"/>
  </si>
  <si>
    <t>SUPPORT（二扁圆压板）</t>
    <phoneticPr fontId="21" type="noConversion"/>
  </si>
  <si>
    <t>PHRB824021A</t>
    <phoneticPr fontId="21" type="noConversion"/>
  </si>
  <si>
    <t>HRB82402</t>
    <phoneticPr fontId="21" type="noConversion"/>
  </si>
  <si>
    <t>BASE(二扁圆后座-WE-快速接线)</t>
    <phoneticPr fontId="21" type="noConversion"/>
  </si>
  <si>
    <t>PHRB824011A</t>
    <phoneticPr fontId="21" type="noConversion"/>
  </si>
  <si>
    <t>HRB82401</t>
    <phoneticPr fontId="21" type="noConversion"/>
  </si>
  <si>
    <t>COVER（二扁圆面盖）</t>
    <phoneticPr fontId="21" type="noConversion"/>
  </si>
  <si>
    <t>PHRB828881A</t>
    <phoneticPr fontId="21" type="noConversion"/>
  </si>
  <si>
    <t>HRB82888</t>
    <phoneticPr fontId="21" type="noConversion"/>
  </si>
  <si>
    <t>COVER（横装16A三插面盖）</t>
    <phoneticPr fontId="21" type="noConversion"/>
  </si>
  <si>
    <t>PHRB828921A</t>
    <phoneticPr fontId="21" type="noConversion"/>
  </si>
  <si>
    <t>HRB82892</t>
    <phoneticPr fontId="21" type="noConversion"/>
  </si>
  <si>
    <t>BASE（横装16A三插后座）</t>
    <phoneticPr fontId="21" type="noConversion"/>
  </si>
  <si>
    <t>PHRB715601A</t>
    <phoneticPr fontId="21" type="noConversion"/>
  </si>
  <si>
    <t>HRB71560</t>
    <phoneticPr fontId="21" type="noConversion"/>
  </si>
  <si>
    <t>GRIDPLATE(刮须插面板-WE)</t>
    <phoneticPr fontId="21" type="noConversion"/>
  </si>
  <si>
    <t>PHRB711211A</t>
    <phoneticPr fontId="21" type="noConversion"/>
  </si>
  <si>
    <t>HRB71115</t>
    <phoneticPr fontId="21" type="noConversion"/>
  </si>
  <si>
    <t>2G SURROUND FOR HORIZANTAL（二位横装边框）</t>
    <phoneticPr fontId="21" type="noConversion"/>
  </si>
  <si>
    <t>PHRB711231A</t>
    <phoneticPr fontId="21" type="noConversion"/>
  </si>
  <si>
    <t>HRB71117</t>
    <phoneticPr fontId="21" type="noConversion"/>
  </si>
  <si>
    <t>3G SURROUND FOR HORIZANTAL（三位横装边框）</t>
    <phoneticPr fontId="21" type="noConversion"/>
  </si>
  <si>
    <t>PHRB734741A</t>
    <phoneticPr fontId="21" type="noConversion"/>
  </si>
  <si>
    <t>HRB73474</t>
    <phoneticPr fontId="21" type="noConversion"/>
  </si>
  <si>
    <t>1G BLANK PLATE（一位空白块-白色）</t>
    <phoneticPr fontId="21" type="noConversion"/>
  </si>
  <si>
    <t>PHRB734751A</t>
    <phoneticPr fontId="21" type="noConversion"/>
  </si>
  <si>
    <t>HRB73475</t>
    <phoneticPr fontId="21" type="noConversion"/>
  </si>
  <si>
    <t>3G BLANK PLATE（三位空白块-白色）</t>
    <phoneticPr fontId="21" type="noConversion"/>
  </si>
  <si>
    <t>PHRB724591A</t>
    <phoneticPr fontId="21" type="noConversion"/>
  </si>
  <si>
    <t>HRB72459</t>
    <phoneticPr fontId="21" type="noConversion"/>
  </si>
  <si>
    <t>RELEASE BUTTON_WHITE(白色释放按钮)</t>
    <phoneticPr fontId="21" type="noConversion"/>
  </si>
  <si>
    <t>PHRB724581A</t>
    <phoneticPr fontId="21" type="noConversion"/>
  </si>
  <si>
    <t>HRB72458</t>
    <phoneticPr fontId="21" type="noConversion"/>
  </si>
  <si>
    <t>DRIVER（驱动件）</t>
    <phoneticPr fontId="21" type="noConversion"/>
  </si>
  <si>
    <t>PHRB899671A</t>
    <phoneticPr fontId="21" type="noConversion"/>
  </si>
  <si>
    <t>HRB89967</t>
    <phoneticPr fontId="21" type="noConversion"/>
  </si>
  <si>
    <t>DRIVER（门铃开关驱动件）</t>
    <phoneticPr fontId="21" type="noConversion"/>
  </si>
  <si>
    <t>PHRB858211A</t>
    <phoneticPr fontId="21" type="noConversion"/>
  </si>
  <si>
    <t>HRB85821</t>
    <phoneticPr fontId="21" type="noConversion"/>
  </si>
  <si>
    <t>3M SIZED BASE COVER（3M后座盖板）</t>
    <phoneticPr fontId="21" type="noConversion"/>
  </si>
  <si>
    <t>PHRB801341A</t>
    <phoneticPr fontId="21" type="noConversion"/>
  </si>
  <si>
    <t>HRB80134</t>
    <phoneticPr fontId="21" type="noConversion"/>
  </si>
  <si>
    <t>COVER FOR CAT 6 MODULE（6类信息插面盖）</t>
    <phoneticPr fontId="21" type="noConversion"/>
  </si>
  <si>
    <t>PHRB801671A</t>
    <phoneticPr fontId="21" type="noConversion"/>
  </si>
  <si>
    <t>HRB80167</t>
    <phoneticPr fontId="21" type="noConversion"/>
  </si>
  <si>
    <t>COVER FOR TVF -CONNECTION MODULE（TVF电视插面盖）</t>
    <phoneticPr fontId="21" type="noConversion"/>
  </si>
  <si>
    <t>PHRB715331A</t>
    <phoneticPr fontId="21" type="noConversion"/>
  </si>
  <si>
    <t>HRB71533</t>
    <phoneticPr fontId="21" type="noConversion"/>
  </si>
  <si>
    <t>COVER(调光调速面盖)</t>
    <phoneticPr fontId="21" type="noConversion"/>
  </si>
  <si>
    <t>PHRB712391A</t>
    <phoneticPr fontId="21" type="noConversion"/>
  </si>
  <si>
    <t>HRB71239</t>
    <phoneticPr fontId="21" type="noConversion"/>
  </si>
  <si>
    <t>BASE（多控开关后座）</t>
    <phoneticPr fontId="21" type="noConversion"/>
  </si>
  <si>
    <t>PHRB711131A</t>
    <phoneticPr fontId="21" type="noConversion"/>
  </si>
  <si>
    <t>HRB71113</t>
    <phoneticPr fontId="21" type="noConversion"/>
  </si>
  <si>
    <t>1G SURROUND FOR HORIZONTAL（一位横装边框）</t>
    <phoneticPr fontId="21" type="noConversion"/>
  </si>
  <si>
    <t>PHRB711251A</t>
    <phoneticPr fontId="21" type="noConversion"/>
  </si>
  <si>
    <t>HRB71125</t>
    <phoneticPr fontId="21" type="noConversion"/>
  </si>
  <si>
    <t>DUPLEX SURROUND（双位边框）</t>
    <phoneticPr fontId="21" type="noConversion"/>
  </si>
  <si>
    <t>PHRB724641A</t>
    <phoneticPr fontId="21" type="noConversion"/>
  </si>
  <si>
    <t>HRB72464</t>
    <phoneticPr fontId="21" type="noConversion"/>
  </si>
  <si>
    <t>4G SURROUND FOR HORIZONTAL（四位横装边框）</t>
    <phoneticPr fontId="21" type="noConversion"/>
  </si>
  <si>
    <t>PHRB724661A</t>
    <phoneticPr fontId="21" type="noConversion"/>
  </si>
  <si>
    <t>HRB72466</t>
    <phoneticPr fontId="21" type="noConversion"/>
  </si>
  <si>
    <t>6G SURROUND FOR HORIZONTAL（6位横装边框）</t>
    <phoneticPr fontId="21" type="noConversion"/>
  </si>
  <si>
    <t>PHRB801461A</t>
    <phoneticPr fontId="21" type="noConversion"/>
  </si>
  <si>
    <t>HRB80146</t>
    <phoneticPr fontId="21" type="noConversion"/>
  </si>
  <si>
    <t>COVER FOR CAT 6 MODULE,HORIZONTAL（横装信息插面盖）</t>
    <phoneticPr fontId="21" type="noConversion"/>
  </si>
  <si>
    <t>PHRB712451A</t>
    <phoneticPr fontId="21" type="noConversion"/>
  </si>
  <si>
    <t>HRB71245</t>
    <phoneticPr fontId="21" type="noConversion"/>
  </si>
  <si>
    <t>ACTUATOR（多控开关摆杆）</t>
    <phoneticPr fontId="21" type="noConversion"/>
  </si>
  <si>
    <t>PHRB723891A</t>
    <phoneticPr fontId="21" type="noConversion"/>
  </si>
  <si>
    <t>HRB72389</t>
    <phoneticPr fontId="21" type="noConversion"/>
  </si>
  <si>
    <t>ACTUATOR(摆杆)</t>
    <phoneticPr fontId="21" type="noConversion"/>
  </si>
  <si>
    <t>PHRB723881A</t>
    <phoneticPr fontId="21" type="noConversion"/>
  </si>
  <si>
    <t>HRB72388</t>
    <phoneticPr fontId="21" type="noConversion"/>
  </si>
  <si>
    <t>BASE_COVER（1M后座盖板）</t>
    <phoneticPr fontId="21" type="noConversion"/>
  </si>
  <si>
    <t>PHRB723871A</t>
    <phoneticPr fontId="21" type="noConversion"/>
  </si>
  <si>
    <t>HRB72385</t>
    <phoneticPr fontId="21" type="noConversion"/>
  </si>
  <si>
    <t>1 WAY BASE（一位单控开关后座-快速接线）</t>
    <phoneticPr fontId="21" type="noConversion"/>
  </si>
  <si>
    <t>PHRB723841A</t>
    <phoneticPr fontId="21" type="noConversion"/>
  </si>
  <si>
    <t>HRB72384</t>
    <phoneticPr fontId="21" type="noConversion"/>
  </si>
  <si>
    <t>2M DOLLY,WE（1.5M白色按钮）</t>
    <phoneticPr fontId="21" type="noConversion"/>
  </si>
  <si>
    <t>PHRB723831A</t>
    <phoneticPr fontId="21" type="noConversion"/>
  </si>
  <si>
    <t>HRB72383</t>
    <phoneticPr fontId="21" type="noConversion"/>
  </si>
  <si>
    <t>1M DOLLY, WE（1M白色按钮）</t>
    <phoneticPr fontId="21" type="noConversion"/>
  </si>
  <si>
    <t>PHRB723861A</t>
    <phoneticPr fontId="21" type="noConversion"/>
  </si>
  <si>
    <t>HRB72386</t>
    <phoneticPr fontId="21" type="noConversion"/>
  </si>
  <si>
    <t>3M DOLLY,WE（3M白色按钮）</t>
    <phoneticPr fontId="21" type="noConversion"/>
  </si>
  <si>
    <t>PHRB801581A</t>
    <phoneticPr fontId="21" type="noConversion"/>
  </si>
  <si>
    <t>HRB80158</t>
    <phoneticPr fontId="21" type="noConversion"/>
  </si>
  <si>
    <t>COVER FOR TV MODULE（电视插面盖）</t>
    <phoneticPr fontId="21" type="noConversion"/>
  </si>
  <si>
    <t>PHRB712371A</t>
    <phoneticPr fontId="21" type="noConversion"/>
  </si>
  <si>
    <t>HRB71237</t>
    <phoneticPr fontId="21" type="noConversion"/>
  </si>
  <si>
    <t>BASE-COVER（多控开关后座盖板）</t>
    <phoneticPr fontId="21" type="noConversion"/>
  </si>
  <si>
    <t>PHRB723681A</t>
    <phoneticPr fontId="21" type="noConversion"/>
  </si>
  <si>
    <t>HRB72375</t>
    <phoneticPr fontId="21" type="noConversion"/>
  </si>
  <si>
    <t>1 WAY BASE（一位单控开关后座）</t>
    <phoneticPr fontId="21" type="noConversion"/>
  </si>
  <si>
    <t>E8431BP1-35</t>
    <phoneticPr fontId="21" type="noConversion"/>
  </si>
  <si>
    <t>E8431BP1-35_C2</t>
    <phoneticPr fontId="21" type="noConversion"/>
  </si>
  <si>
    <t>ACTUATOR</t>
    <phoneticPr fontId="21" type="noConversion"/>
  </si>
  <si>
    <t>ZENcelo</t>
    <phoneticPr fontId="21" type="noConversion"/>
  </si>
  <si>
    <t>E8431BPDM-15</t>
    <phoneticPr fontId="21" type="noConversion"/>
  </si>
  <si>
    <t>E8431BPDM-15_C2</t>
    <phoneticPr fontId="21" type="noConversion"/>
  </si>
  <si>
    <t>E3015US-1</t>
    <phoneticPr fontId="21" type="noConversion"/>
  </si>
  <si>
    <t>E3015US-1_C2</t>
    <phoneticPr fontId="21" type="noConversion"/>
  </si>
  <si>
    <t>FLUSH PLATE with  Schneider</t>
    <phoneticPr fontId="21" type="noConversion"/>
  </si>
  <si>
    <t>E3000</t>
    <phoneticPr fontId="21" type="noConversion"/>
  </si>
  <si>
    <t>E3426/10IS-1</t>
    <phoneticPr fontId="21" type="noConversion"/>
  </si>
  <si>
    <t>E3426_10IS-1_GY_C2</t>
    <phoneticPr fontId="21" type="noConversion"/>
  </si>
  <si>
    <t xml:space="preserve">GRID PLATE GREY                         </t>
    <phoneticPr fontId="21" type="noConversion"/>
  </si>
  <si>
    <t>E8415/10S-15</t>
    <phoneticPr fontId="21" type="noConversion"/>
  </si>
  <si>
    <t>E8415_10S-15_C2</t>
    <phoneticPr fontId="21" type="noConversion"/>
  </si>
  <si>
    <t>E84426/10IS-15</t>
    <phoneticPr fontId="21" type="noConversion"/>
  </si>
  <si>
    <t>E84426_10IS-15_C2</t>
    <phoneticPr fontId="21" type="noConversion"/>
  </si>
  <si>
    <t>MODULE COVER</t>
    <phoneticPr fontId="21" type="noConversion"/>
  </si>
  <si>
    <t>E8431KPB-20</t>
    <phoneticPr fontId="21" type="noConversion"/>
  </si>
  <si>
    <t>E8431KPB-20_C2</t>
    <phoneticPr fontId="21" type="noConversion"/>
  </si>
  <si>
    <t>PIENO</t>
    <phoneticPr fontId="21" type="noConversion"/>
  </si>
  <si>
    <t>E8431KPB-35</t>
    <phoneticPr fontId="21" type="noConversion"/>
  </si>
  <si>
    <t>E8431KPB-35_C2</t>
    <phoneticPr fontId="21" type="noConversion"/>
  </si>
  <si>
    <t>KEY</t>
    <phoneticPr fontId="21" type="noConversion"/>
  </si>
  <si>
    <t>E8432TVRJ-15</t>
    <phoneticPr fontId="21" type="noConversion"/>
  </si>
  <si>
    <t>E8432TVRJ-15_BZ_C2</t>
    <phoneticPr fontId="21" type="noConversion"/>
  </si>
  <si>
    <t>COVER, BRONZE</t>
    <phoneticPr fontId="21" type="noConversion"/>
  </si>
  <si>
    <t>S1A11529</t>
    <phoneticPr fontId="21" type="noConversion"/>
  </si>
  <si>
    <t>S1A11529_C2</t>
    <phoneticPr fontId="21" type="noConversion"/>
  </si>
  <si>
    <t>GRIDPLATE FOR E82426_10S</t>
    <phoneticPr fontId="21" type="noConversion"/>
  </si>
  <si>
    <t>E3031HDNLV-4</t>
    <phoneticPr fontId="21" type="noConversion"/>
  </si>
  <si>
    <t>E3031HDNLV-4-1_C2</t>
    <phoneticPr fontId="21" type="noConversion"/>
  </si>
  <si>
    <t>E3000W DIMMER DIFFUSER CAP</t>
    <phoneticPr fontId="21" type="noConversion"/>
  </si>
  <si>
    <t>E2000 Electronic</t>
    <phoneticPr fontId="21" type="noConversion"/>
  </si>
  <si>
    <t>S1A11531</t>
    <phoneticPr fontId="21" type="noConversion"/>
  </si>
  <si>
    <t>S1A11531_C2</t>
    <phoneticPr fontId="21" type="noConversion"/>
  </si>
  <si>
    <t>SOCKET COVER OF NEMESIS 10A CHINA SOCKET</t>
    <phoneticPr fontId="21" type="noConversion"/>
  </si>
  <si>
    <t>S1A11872</t>
    <phoneticPr fontId="21" type="noConversion"/>
  </si>
  <si>
    <t>S1A11872_C2</t>
    <phoneticPr fontId="21" type="noConversion"/>
  </si>
  <si>
    <t>E8231DMW GRIDPLATE</t>
    <phoneticPr fontId="21" type="noConversion"/>
  </si>
  <si>
    <t>E8432RJS-15</t>
    <phoneticPr fontId="21" type="noConversion"/>
  </si>
  <si>
    <t>E8432RJS-15_C2</t>
    <phoneticPr fontId="21" type="noConversion"/>
  </si>
  <si>
    <t>E3015CS-1</t>
    <phoneticPr fontId="21" type="noConversion"/>
  </si>
  <si>
    <t>E3015CS-1_C2</t>
    <phoneticPr fontId="21" type="noConversion"/>
  </si>
  <si>
    <t>FLUSH PLATE,GY with  Schneider</t>
    <phoneticPr fontId="21" type="noConversion"/>
  </si>
  <si>
    <t>E3031HD-6</t>
    <phoneticPr fontId="21" type="noConversion"/>
  </si>
  <si>
    <t>E3031HD-6_GY-S_C2</t>
    <phoneticPr fontId="21" type="noConversion"/>
  </si>
  <si>
    <t>PRESS DIMMER 1GANG DOLLY</t>
    <phoneticPr fontId="21" type="noConversion"/>
  </si>
  <si>
    <t>E3000 Electronic</t>
    <phoneticPr fontId="21" type="noConversion"/>
  </si>
  <si>
    <t>E3031HIA-3</t>
    <phoneticPr fontId="21" type="noConversion"/>
  </si>
  <si>
    <t>E3031HIA-3L_WE_C2</t>
    <phoneticPr fontId="21" type="noConversion"/>
  </si>
  <si>
    <t>DOLLY,L</t>
    <phoneticPr fontId="21" type="noConversion"/>
  </si>
  <si>
    <t>E3031RJ-1</t>
    <phoneticPr fontId="21" type="noConversion"/>
  </si>
  <si>
    <t>E3031RJ-1_GY_C2</t>
    <phoneticPr fontId="21" type="noConversion"/>
  </si>
  <si>
    <t>GRID PLATE, GY with  Schneider</t>
    <phoneticPr fontId="21" type="noConversion"/>
  </si>
  <si>
    <t>E3031V-11</t>
    <phoneticPr fontId="21" type="noConversion"/>
  </si>
  <si>
    <t>E3031V-11_C2</t>
    <phoneticPr fontId="21" type="noConversion"/>
  </si>
  <si>
    <t>1G 1W VERTICAL G/P W/Schneider</t>
    <phoneticPr fontId="21" type="noConversion"/>
  </si>
  <si>
    <t>E3031VBP-4F</t>
    <phoneticPr fontId="21" type="noConversion"/>
  </si>
  <si>
    <t>E3031VBP-4F_C2</t>
    <phoneticPr fontId="21" type="noConversion"/>
  </si>
  <si>
    <t>ROUND WHITE FLUORESCENT LENS</t>
    <phoneticPr fontId="21" type="noConversion"/>
  </si>
  <si>
    <t>E3034H-31</t>
    <phoneticPr fontId="21" type="noConversion"/>
  </si>
  <si>
    <t>E3034H-31_GY_C2</t>
    <phoneticPr fontId="21" type="noConversion"/>
  </si>
  <si>
    <t>4GANG HORIZONTAL LEFT</t>
    <phoneticPr fontId="21" type="noConversion"/>
  </si>
  <si>
    <t>E8415/16CS-15</t>
    <phoneticPr fontId="21" type="noConversion"/>
  </si>
  <si>
    <t>E8415_16CS-15_C2</t>
    <phoneticPr fontId="21" type="noConversion"/>
  </si>
  <si>
    <t>E84-21</t>
    <phoneticPr fontId="21" type="noConversion"/>
  </si>
  <si>
    <t>E84-21_C2</t>
    <phoneticPr fontId="21" type="noConversion"/>
  </si>
  <si>
    <t>1.5G BLANK PLATE</t>
    <phoneticPr fontId="21" type="noConversion"/>
  </si>
  <si>
    <t>E8431/I-36</t>
    <phoneticPr fontId="21" type="noConversion"/>
  </si>
  <si>
    <t>E8431_I-36_C2</t>
    <phoneticPr fontId="21" type="noConversion"/>
  </si>
  <si>
    <t>INTERMEDIATE SWITCH ACTUATOR</t>
    <phoneticPr fontId="21" type="noConversion"/>
  </si>
  <si>
    <t>E8431BP1-15</t>
    <phoneticPr fontId="21" type="noConversion"/>
  </si>
  <si>
    <t>E8431BP1-15_C2</t>
    <phoneticPr fontId="21" type="noConversion"/>
  </si>
  <si>
    <t>BASE COVER</t>
    <phoneticPr fontId="21" type="noConversion"/>
  </si>
  <si>
    <t>E8431BP1-36</t>
    <phoneticPr fontId="21" type="noConversion"/>
  </si>
  <si>
    <t>E8431BP1-36_C2</t>
    <phoneticPr fontId="21" type="noConversion"/>
  </si>
  <si>
    <t xml:space="preserve"> LUNGER</t>
    <phoneticPr fontId="21" type="noConversion"/>
  </si>
  <si>
    <t>E8431D20/2-20(BZ)</t>
    <phoneticPr fontId="21" type="noConversion"/>
  </si>
  <si>
    <t>E8431D20_2-20BZ_C2</t>
    <phoneticPr fontId="21" type="noConversion"/>
  </si>
  <si>
    <t>E8431DS-15</t>
    <phoneticPr fontId="21" type="noConversion"/>
  </si>
  <si>
    <t>E8431DS-15_C2</t>
    <phoneticPr fontId="21" type="noConversion"/>
  </si>
  <si>
    <t>HOTEL SWITCH BASE_COVER</t>
    <phoneticPr fontId="21" type="noConversion"/>
  </si>
  <si>
    <t>ZENcelo Electronic</t>
    <phoneticPr fontId="21" type="noConversion"/>
  </si>
  <si>
    <t>E8431LV-15</t>
    <phoneticPr fontId="21" type="noConversion"/>
  </si>
  <si>
    <t>E8431LV-15_C2</t>
    <phoneticPr fontId="21" type="noConversion"/>
  </si>
  <si>
    <t>1.5G BASE FOR SWITCH</t>
    <phoneticPr fontId="21" type="noConversion"/>
  </si>
  <si>
    <t>E8433LV-15</t>
    <phoneticPr fontId="21" type="noConversion"/>
  </si>
  <si>
    <t>E8433LV-15_C2</t>
    <phoneticPr fontId="21" type="noConversion"/>
  </si>
  <si>
    <t>3G BASE FOR SWITCH</t>
    <phoneticPr fontId="21" type="noConversion"/>
  </si>
  <si>
    <t>E84T727V-00</t>
    <phoneticPr fontId="21" type="noConversion"/>
  </si>
  <si>
    <t>E84T727V-00_BZ_C2</t>
    <phoneticPr fontId="21" type="noConversion"/>
  </si>
  <si>
    <t>GRIDPLATE, BRONZE</t>
    <phoneticPr fontId="21" type="noConversion"/>
  </si>
  <si>
    <t>ZENcelo Shaver</t>
    <phoneticPr fontId="21" type="noConversion"/>
  </si>
  <si>
    <t>E84T727V-35</t>
    <phoneticPr fontId="21" type="noConversion"/>
  </si>
  <si>
    <t>E84T727V-35_GY_C2</t>
    <phoneticPr fontId="21" type="noConversion"/>
  </si>
  <si>
    <t>SURROUND, VERTICAL GREY</t>
    <phoneticPr fontId="21" type="noConversion"/>
  </si>
  <si>
    <t>ET3727V-2</t>
    <phoneticPr fontId="21" type="noConversion"/>
  </si>
  <si>
    <t>ET3727V-2_C2</t>
    <phoneticPr fontId="21" type="noConversion"/>
  </si>
  <si>
    <t>PIENO Shaver</t>
    <phoneticPr fontId="21" type="noConversion"/>
  </si>
  <si>
    <t>ET3727V-3</t>
    <phoneticPr fontId="21" type="noConversion"/>
  </si>
  <si>
    <t>ET3727V-3_C2</t>
    <phoneticPr fontId="21" type="noConversion"/>
  </si>
  <si>
    <t>BASE RETAINER</t>
    <phoneticPr fontId="21" type="noConversion"/>
  </si>
  <si>
    <t>S1B18623</t>
    <phoneticPr fontId="21" type="noConversion"/>
  </si>
  <si>
    <t>S1B18623_C2</t>
    <phoneticPr fontId="21" type="noConversion"/>
  </si>
  <si>
    <t>G05-20R E84T426_10US2,BZ</t>
    <phoneticPr fontId="21" type="noConversion"/>
  </si>
  <si>
    <t>S1A10222</t>
    <phoneticPr fontId="21" type="noConversion"/>
  </si>
  <si>
    <t>S1A10222_C2</t>
    <phoneticPr fontId="21" type="noConversion"/>
  </si>
  <si>
    <t>COVER FOR E82426U</t>
    <phoneticPr fontId="21" type="noConversion"/>
  </si>
  <si>
    <t>S1A10227</t>
    <phoneticPr fontId="21" type="noConversion"/>
  </si>
  <si>
    <t>S1A10227_C2</t>
    <phoneticPr fontId="21" type="noConversion"/>
  </si>
  <si>
    <t>COVER FOR E82426U2</t>
    <phoneticPr fontId="21" type="noConversion"/>
  </si>
  <si>
    <t>S1A11542</t>
    <phoneticPr fontId="21" type="noConversion"/>
  </si>
  <si>
    <t>S1A11542_C2</t>
    <phoneticPr fontId="21" type="noConversion"/>
  </si>
  <si>
    <t>GRIDPLATE FOR E8215_10S</t>
    <phoneticPr fontId="21" type="noConversion"/>
  </si>
  <si>
    <t>S1A11868</t>
    <phoneticPr fontId="21" type="noConversion"/>
  </si>
  <si>
    <t>S1A11868_C2</t>
    <phoneticPr fontId="21" type="noConversion"/>
  </si>
  <si>
    <t>E8231BPDMW GRIDPLATE</t>
    <phoneticPr fontId="21" type="noConversion"/>
  </si>
  <si>
    <t>S1A12162</t>
    <phoneticPr fontId="21" type="noConversion"/>
  </si>
  <si>
    <t>S1A12162_C2</t>
    <phoneticPr fontId="21" type="noConversion"/>
  </si>
  <si>
    <t>30M Adaptor for TVM/SF</t>
    <phoneticPr fontId="21" type="noConversion"/>
  </si>
  <si>
    <t>Arcato Series</t>
    <phoneticPr fontId="21" type="noConversion"/>
  </si>
  <si>
    <t>S1A13651</t>
    <phoneticPr fontId="21" type="noConversion"/>
  </si>
  <si>
    <t>S1A13651_C2</t>
    <phoneticPr fontId="21" type="noConversion"/>
  </si>
  <si>
    <t>GRIDPLATE FOR E8231KPB</t>
    <phoneticPr fontId="21" type="noConversion"/>
  </si>
  <si>
    <t>W3Z-35</t>
    <phoneticPr fontId="21" type="noConversion"/>
  </si>
  <si>
    <t>W3Z-35_C2</t>
    <phoneticPr fontId="21" type="noConversion"/>
  </si>
  <si>
    <t>BLANK PLATE</t>
    <phoneticPr fontId="21" type="noConversion"/>
  </si>
  <si>
    <t>Components--E84 ZENcelo</t>
    <phoneticPr fontId="21" type="noConversion"/>
  </si>
  <si>
    <t>E84426/16-15</t>
    <phoneticPr fontId="21" type="noConversion"/>
  </si>
  <si>
    <t>E84426_16-15_C2</t>
    <phoneticPr fontId="21" type="noConversion"/>
  </si>
  <si>
    <t>E84426/10US-15</t>
    <phoneticPr fontId="21" type="noConversion"/>
  </si>
  <si>
    <t>E84426_10US-15_C2</t>
    <phoneticPr fontId="21" type="noConversion"/>
  </si>
  <si>
    <t>E8431D20/2-35</t>
    <phoneticPr fontId="21" type="noConversion"/>
  </si>
  <si>
    <t>E8431D20_2-35_C2</t>
    <phoneticPr fontId="21" type="noConversion"/>
  </si>
  <si>
    <t>E8431D-15</t>
    <phoneticPr fontId="21" type="noConversion"/>
  </si>
  <si>
    <t>E8431D-15_C2</t>
    <phoneticPr fontId="21" type="noConversion"/>
  </si>
  <si>
    <t xml:space="preserve">E84426/16-35 </t>
    <phoneticPr fontId="21" type="noConversion"/>
  </si>
  <si>
    <t>E84426_16-35_C2</t>
    <phoneticPr fontId="21" type="noConversion"/>
  </si>
  <si>
    <t>SHUTTER BRACKET</t>
    <phoneticPr fontId="21" type="noConversion"/>
  </si>
  <si>
    <t>E84426/16-10</t>
    <phoneticPr fontId="21" type="noConversion"/>
  </si>
  <si>
    <t>E84426_16-10_C2</t>
    <phoneticPr fontId="21" type="noConversion"/>
  </si>
  <si>
    <t>E8431BTM-01</t>
    <phoneticPr fontId="21" type="noConversion"/>
  </si>
  <si>
    <t>E8431BTM-01_C2</t>
    <phoneticPr fontId="21" type="noConversion"/>
  </si>
  <si>
    <t>E84426/15-10</t>
    <phoneticPr fontId="21" type="noConversion"/>
  </si>
  <si>
    <t>E84426_15-10_C2</t>
    <phoneticPr fontId="21" type="noConversion"/>
  </si>
  <si>
    <t>E84426/5-10</t>
    <phoneticPr fontId="21" type="noConversion"/>
  </si>
  <si>
    <t>E84426_5-10_C2</t>
    <phoneticPr fontId="21" type="noConversion"/>
  </si>
  <si>
    <t>5A BASE</t>
    <phoneticPr fontId="21" type="noConversion"/>
  </si>
  <si>
    <t>ZENcelo</t>
    <phoneticPr fontId="21" type="noConversion"/>
  </si>
  <si>
    <t>E84554-35</t>
    <phoneticPr fontId="21" type="noConversion"/>
  </si>
  <si>
    <t>E84554-35_C2</t>
    <phoneticPr fontId="21" type="noConversion"/>
  </si>
  <si>
    <t>SURROUND</t>
    <phoneticPr fontId="21" type="noConversion"/>
  </si>
  <si>
    <t>BBV61299</t>
    <phoneticPr fontId="21" type="noConversion"/>
  </si>
  <si>
    <t>BBV61299_C2</t>
    <phoneticPr fontId="21" type="noConversion"/>
  </si>
  <si>
    <t>LENS OF NEMESIS SWITCHED SOCKET</t>
    <phoneticPr fontId="21" type="noConversion"/>
  </si>
  <si>
    <t>Arcato Series</t>
    <phoneticPr fontId="21" type="noConversion"/>
  </si>
  <si>
    <t>E3031H-4</t>
    <phoneticPr fontId="21" type="noConversion"/>
  </si>
  <si>
    <t>E3031H-4_C2</t>
    <phoneticPr fontId="21" type="noConversion"/>
  </si>
  <si>
    <t>CLEAR LENS</t>
    <phoneticPr fontId="21" type="noConversion"/>
  </si>
  <si>
    <t>E3000 Electronic</t>
    <phoneticPr fontId="21" type="noConversion"/>
  </si>
  <si>
    <t>E8434/1-20</t>
    <phoneticPr fontId="21" type="noConversion"/>
  </si>
  <si>
    <t>E8434_1-20_C2</t>
    <phoneticPr fontId="21" type="noConversion"/>
  </si>
  <si>
    <t>E8434/1 SWITCH DOLLY</t>
    <phoneticPr fontId="21" type="noConversion"/>
  </si>
  <si>
    <t>E3030X-1</t>
    <phoneticPr fontId="21" type="noConversion"/>
  </si>
  <si>
    <t>E3030X-1_C2</t>
    <phoneticPr fontId="21" type="noConversion"/>
  </si>
  <si>
    <t>BLANK F/P,GY WITH Schneider</t>
    <phoneticPr fontId="21" type="noConversion"/>
  </si>
  <si>
    <t>E3000</t>
    <phoneticPr fontId="21" type="noConversion"/>
  </si>
  <si>
    <t>E3033H-11</t>
    <phoneticPr fontId="21" type="noConversion"/>
  </si>
  <si>
    <t>E3033H-11_C2</t>
    <phoneticPr fontId="21" type="noConversion"/>
  </si>
  <si>
    <t xml:space="preserve">3 GANG 1 WAY HORIZONTAL                 </t>
    <phoneticPr fontId="21" type="noConversion"/>
  </si>
  <si>
    <t>E3426CS-1</t>
    <phoneticPr fontId="21" type="noConversion"/>
  </si>
  <si>
    <t>E3426CS-1_C2</t>
    <phoneticPr fontId="21" type="noConversion"/>
  </si>
  <si>
    <t>FLUSH PLATE with Schneider</t>
    <phoneticPr fontId="21" type="noConversion"/>
  </si>
  <si>
    <t>K31RJ5E-10</t>
    <phoneticPr fontId="21" type="noConversion"/>
  </si>
  <si>
    <t>K31RJ5E-10_C2</t>
    <phoneticPr fontId="21" type="noConversion"/>
  </si>
  <si>
    <t>MODULE HOLDER</t>
    <phoneticPr fontId="21" type="noConversion"/>
  </si>
  <si>
    <t>E30</t>
    <phoneticPr fontId="21" type="noConversion"/>
  </si>
  <si>
    <t>RJPZAHV-15_BZ-S</t>
    <phoneticPr fontId="21" type="noConversion"/>
  </si>
  <si>
    <t>RJPZAHV-15_BZ-S_C2</t>
    <phoneticPr fontId="21" type="noConversion"/>
  </si>
  <si>
    <t>RCA/UH/DB15/MINIAUDIO COVER, BRONZE</t>
    <phoneticPr fontId="21" type="noConversion"/>
  </si>
  <si>
    <t>Cando Product</t>
    <phoneticPr fontId="21" type="noConversion"/>
  </si>
  <si>
    <t>S1A11874</t>
    <phoneticPr fontId="21" type="noConversion"/>
  </si>
  <si>
    <t>S1A11874_C2</t>
    <phoneticPr fontId="21" type="noConversion"/>
  </si>
  <si>
    <t>E8231DMW MIRROR</t>
    <phoneticPr fontId="21" type="noConversion"/>
  </si>
  <si>
    <t>PIENO</t>
    <phoneticPr fontId="21" type="noConversion"/>
  </si>
  <si>
    <t>S1A12365</t>
    <phoneticPr fontId="21" type="noConversion"/>
  </si>
  <si>
    <t>S1A12365_C2</t>
    <phoneticPr fontId="21" type="noConversion"/>
  </si>
  <si>
    <t>Grid plate for E8232X</t>
    <phoneticPr fontId="21" type="noConversion"/>
  </si>
  <si>
    <t>PIENO Electronic</t>
    <phoneticPr fontId="21" type="noConversion"/>
  </si>
  <si>
    <t>S1A51417</t>
    <phoneticPr fontId="21" type="noConversion"/>
  </si>
  <si>
    <t>S1A51417-S_C2</t>
    <phoneticPr fontId="21" type="noConversion"/>
  </si>
  <si>
    <t>SLIDER DOLLY</t>
    <phoneticPr fontId="21" type="noConversion"/>
  </si>
  <si>
    <t>Components</t>
    <phoneticPr fontId="21" type="noConversion"/>
  </si>
  <si>
    <t>A3223HR-06</t>
    <phoneticPr fontId="21" type="noConversion"/>
  </si>
  <si>
    <t>FRONT COVER WP</t>
    <phoneticPr fontId="21" type="noConversion"/>
  </si>
  <si>
    <t>C-Concept</t>
    <phoneticPr fontId="21" type="noConversion"/>
  </si>
  <si>
    <t>E426/10US-4N旧模</t>
    <phoneticPr fontId="21" type="noConversion"/>
  </si>
  <si>
    <t>E426/10US-4N</t>
    <phoneticPr fontId="21" type="noConversion"/>
  </si>
  <si>
    <t>3 PIN SHUTTER</t>
    <phoneticPr fontId="21" type="noConversion"/>
  </si>
  <si>
    <t>share series</t>
    <phoneticPr fontId="21" type="noConversion"/>
  </si>
  <si>
    <t>E15/10US-2S</t>
    <phoneticPr fontId="21" type="noConversion"/>
  </si>
  <si>
    <t>E15_10US-2S_C2</t>
    <phoneticPr fontId="21" type="noConversion"/>
  </si>
  <si>
    <t>2PIN SHUTTER</t>
    <phoneticPr fontId="21" type="noConversion"/>
  </si>
  <si>
    <t>S1A10324</t>
    <phoneticPr fontId="21" type="noConversion"/>
  </si>
  <si>
    <t>S1A64122_C2</t>
    <phoneticPr fontId="21" type="noConversion"/>
  </si>
  <si>
    <t>FLUORESCENT LENS</t>
    <phoneticPr fontId="21" type="noConversion"/>
  </si>
  <si>
    <t>S1A10312</t>
    <phoneticPr fontId="21" type="noConversion"/>
  </si>
  <si>
    <t>S1A10312_C2</t>
    <phoneticPr fontId="21" type="noConversion"/>
  </si>
  <si>
    <t>16AX 1GANG DOLLY FOR E8231L1F</t>
    <phoneticPr fontId="21" type="noConversion"/>
  </si>
  <si>
    <t>S1A10327</t>
    <phoneticPr fontId="21" type="noConversion"/>
  </si>
  <si>
    <t>S1A10327_C2</t>
    <phoneticPr fontId="21" type="noConversion"/>
  </si>
  <si>
    <t>16AX 1 GANG 2 WAY BASE FOR E8231L2F</t>
    <phoneticPr fontId="21" type="noConversion"/>
  </si>
  <si>
    <t>E8431D20-20</t>
    <phoneticPr fontId="21" type="noConversion"/>
  </si>
  <si>
    <t>E8431D20-20_C2</t>
    <phoneticPr fontId="21" type="noConversion"/>
  </si>
  <si>
    <t>E8431D20 SWITCH DOLLY</t>
    <phoneticPr fontId="21" type="noConversion"/>
  </si>
  <si>
    <t>S1A10351</t>
    <phoneticPr fontId="21" type="noConversion"/>
  </si>
  <si>
    <t>S1A10351_C2</t>
    <phoneticPr fontId="21" type="noConversion"/>
  </si>
  <si>
    <t>3 GANG GRIDPLATE FOR E8233L1F</t>
    <phoneticPr fontId="21" type="noConversion"/>
  </si>
  <si>
    <t>E8431/2-20新模</t>
    <phoneticPr fontId="21" type="noConversion"/>
  </si>
  <si>
    <t>E8431_2-20_C2</t>
    <phoneticPr fontId="21" type="noConversion"/>
  </si>
  <si>
    <t>DANCE 1G DOLLY</t>
    <phoneticPr fontId="21" type="noConversion"/>
  </si>
  <si>
    <t>S1A10311</t>
    <phoneticPr fontId="21" type="noConversion"/>
  </si>
  <si>
    <t>S1A10311_C2</t>
    <phoneticPr fontId="21" type="noConversion"/>
  </si>
  <si>
    <t>16AX 1 WAY BASE FOR E8231L1F</t>
    <phoneticPr fontId="21" type="noConversion"/>
  </si>
  <si>
    <t>BBV60704</t>
    <phoneticPr fontId="21" type="noConversion"/>
  </si>
  <si>
    <t>BBV60704_C2</t>
    <phoneticPr fontId="21" type="noConversion"/>
  </si>
  <si>
    <t>1 GANG BLANK GRIDPLATE FOR E8230X</t>
    <phoneticPr fontId="21" type="noConversion"/>
  </si>
  <si>
    <t>S1A10350</t>
    <phoneticPr fontId="21" type="noConversion"/>
  </si>
  <si>
    <t>S1A10350-T</t>
    <phoneticPr fontId="21" type="noConversion"/>
  </si>
  <si>
    <t>3 GANG 1 WAY BASE FOR E8233L1N</t>
    <phoneticPr fontId="21" type="noConversion"/>
  </si>
  <si>
    <t>S1A10358</t>
    <phoneticPr fontId="21" type="noConversion"/>
  </si>
  <si>
    <t>S1A10358_C2</t>
    <phoneticPr fontId="21" type="noConversion"/>
  </si>
  <si>
    <t>3 GANG 2 WAY BASE FOR E8233L2F</t>
    <phoneticPr fontId="21" type="noConversion"/>
  </si>
  <si>
    <t>E3015CS-1</t>
    <phoneticPr fontId="21" type="noConversion"/>
  </si>
  <si>
    <t>E3015CS-1_C2</t>
    <phoneticPr fontId="21" type="noConversion"/>
  </si>
  <si>
    <t>FLUSH PLATE,GY with  Schneider</t>
    <phoneticPr fontId="21" type="noConversion"/>
  </si>
  <si>
    <t>E3031AS-02</t>
    <phoneticPr fontId="21" type="noConversion"/>
  </si>
  <si>
    <t>E3031AS-02_GY_C2</t>
    <phoneticPr fontId="21" type="noConversion"/>
  </si>
  <si>
    <t>GRID PLATE, GREY</t>
    <phoneticPr fontId="21" type="noConversion"/>
  </si>
  <si>
    <t>FB32TV-15</t>
    <phoneticPr fontId="21" type="noConversion"/>
  </si>
  <si>
    <t>FB32TV-15_C2</t>
    <phoneticPr fontId="21" type="noConversion"/>
  </si>
  <si>
    <t>COVER</t>
    <phoneticPr fontId="21" type="noConversion"/>
  </si>
  <si>
    <t>F86 produce in CMHL</t>
    <phoneticPr fontId="21" type="noConversion"/>
  </si>
  <si>
    <t>S1A14375</t>
    <phoneticPr fontId="21" type="noConversion"/>
  </si>
  <si>
    <t>S1A17972_C2</t>
    <phoneticPr fontId="21" type="noConversion"/>
  </si>
  <si>
    <t>4 GANG GRIDPLATE FOR E8234L1F</t>
    <phoneticPr fontId="21" type="noConversion"/>
  </si>
  <si>
    <t>S1A10795</t>
    <phoneticPr fontId="21" type="noConversion"/>
  </si>
  <si>
    <t>S1A10795_C2</t>
    <phoneticPr fontId="21" type="noConversion"/>
  </si>
  <si>
    <t>GRIDPLATE FOR E8215_16CSN</t>
    <phoneticPr fontId="21" type="noConversion"/>
  </si>
  <si>
    <t>BBV61259</t>
    <phoneticPr fontId="21" type="noConversion"/>
  </si>
  <si>
    <t>BBV61259_C2</t>
    <phoneticPr fontId="21" type="noConversion"/>
  </si>
  <si>
    <t>GRID PLATE FOR E8232TVRJS/6</t>
    <phoneticPr fontId="21" type="noConversion"/>
  </si>
  <si>
    <t>E8431TVS-15</t>
    <phoneticPr fontId="21" type="noConversion"/>
  </si>
  <si>
    <t>E8431TVS-15_C2</t>
    <phoneticPr fontId="21" type="noConversion"/>
  </si>
  <si>
    <t>1G TV COVER</t>
    <phoneticPr fontId="21" type="noConversion"/>
  </si>
  <si>
    <t>E3000/1M-20</t>
    <phoneticPr fontId="21" type="noConversion"/>
  </si>
  <si>
    <t>E3000_1M-20_GY_C2</t>
    <phoneticPr fontId="21" type="noConversion"/>
  </si>
  <si>
    <t>DOLLY, GREY</t>
    <phoneticPr fontId="21" type="noConversion"/>
  </si>
  <si>
    <t>E426/16CS-3S</t>
    <phoneticPr fontId="21" type="noConversion"/>
  </si>
  <si>
    <t>SHUTTER（保护门</t>
    <phoneticPr fontId="21" type="noConversion"/>
  </si>
  <si>
    <t>56 Series Weatherproof</t>
    <phoneticPr fontId="21" type="noConversion"/>
  </si>
  <si>
    <t>E8434/1-36</t>
    <phoneticPr fontId="21" type="noConversion"/>
  </si>
  <si>
    <t>E8434_1-36_C2</t>
    <phoneticPr fontId="21" type="noConversion"/>
  </si>
  <si>
    <t>E8434/1 SWITCH ACTUATOR</t>
    <phoneticPr fontId="21" type="noConversion"/>
  </si>
  <si>
    <t>Zencelo Dust</t>
    <phoneticPr fontId="21" type="noConversion"/>
  </si>
  <si>
    <t>E3032H-3L</t>
    <phoneticPr fontId="21" type="noConversion"/>
  </si>
  <si>
    <t>E3032H-3L_C2</t>
    <phoneticPr fontId="21" type="noConversion"/>
  </si>
  <si>
    <t>2-GANG HORIZONTAL LEFT</t>
    <phoneticPr fontId="21" type="noConversion"/>
  </si>
  <si>
    <t>Components--E3000</t>
    <phoneticPr fontId="21" type="noConversion"/>
  </si>
  <si>
    <t>E8431RJS-20</t>
    <phoneticPr fontId="21" type="noConversion"/>
  </si>
  <si>
    <t>E8431RJS-20_C2</t>
    <phoneticPr fontId="21" type="noConversion"/>
  </si>
  <si>
    <t>HOLDER</t>
    <phoneticPr fontId="21" type="noConversion"/>
  </si>
  <si>
    <t>E3031HD-1</t>
    <phoneticPr fontId="21" type="noConversion"/>
  </si>
  <si>
    <t>E3031HD-7-S_C2</t>
    <phoneticPr fontId="21" type="noConversion"/>
  </si>
  <si>
    <t>PRESS DIMMER 1GANG BASE</t>
    <phoneticPr fontId="21" type="noConversion"/>
  </si>
  <si>
    <t>RJPCR-10</t>
    <phoneticPr fontId="21" type="noConversion"/>
  </si>
  <si>
    <t>RJPCR-10-S_C2</t>
    <phoneticPr fontId="21" type="noConversion"/>
  </si>
  <si>
    <t>BASE</t>
    <phoneticPr fontId="21" type="noConversion"/>
  </si>
  <si>
    <t>BBV60314</t>
    <phoneticPr fontId="21" type="noConversion"/>
  </si>
  <si>
    <t>BBV60314_C2</t>
    <phoneticPr fontId="21" type="noConversion"/>
  </si>
  <si>
    <t>SHUTTER FOR E82426_16CS</t>
    <phoneticPr fontId="21" type="noConversion"/>
  </si>
  <si>
    <t>S1A10316</t>
    <phoneticPr fontId="21" type="noConversion"/>
  </si>
  <si>
    <t>S1A10316_C2</t>
    <phoneticPr fontId="21" type="noConversion"/>
  </si>
  <si>
    <t>ACTUATOR FOR E8231L1F</t>
    <phoneticPr fontId="21" type="noConversion"/>
  </si>
  <si>
    <t>E3030VDM-2</t>
    <phoneticPr fontId="21" type="noConversion"/>
  </si>
  <si>
    <t>E3030VDM-2CL-</t>
    <phoneticPr fontId="21" type="noConversion"/>
  </si>
  <si>
    <t>E3030VDM Product Dolly</t>
    <phoneticPr fontId="21" type="noConversion"/>
  </si>
  <si>
    <t>E3031HNLV-3_WES_C2</t>
    <phoneticPr fontId="21" type="noConversion"/>
  </si>
  <si>
    <t>E3031HNLV PATCH-A</t>
    <phoneticPr fontId="21" type="noConversion"/>
  </si>
  <si>
    <t>BBV61271</t>
    <phoneticPr fontId="21" type="noConversion"/>
  </si>
  <si>
    <t>BBV61271-S_C2</t>
    <phoneticPr fontId="21" type="noConversion"/>
  </si>
  <si>
    <t>Dolly for E8230_1M</t>
    <phoneticPr fontId="21" type="noConversion"/>
  </si>
  <si>
    <t>E25/10CU-DO</t>
    <phoneticPr fontId="21" type="noConversion"/>
  </si>
  <si>
    <t>E25_10CU-DO_C2</t>
    <phoneticPr fontId="21" type="noConversion"/>
  </si>
  <si>
    <t>DOLLY</t>
    <phoneticPr fontId="21" type="noConversion"/>
  </si>
  <si>
    <t>E30 series</t>
    <phoneticPr fontId="21" type="noConversion"/>
  </si>
  <si>
    <t>E3031VBP-5(新）</t>
    <phoneticPr fontId="21" type="noConversion"/>
  </si>
  <si>
    <t>E3031VBP-5-S_C2</t>
    <phoneticPr fontId="21" type="noConversion"/>
  </si>
  <si>
    <t>FLUORESCENT LENS RING</t>
    <phoneticPr fontId="21" type="noConversion"/>
  </si>
  <si>
    <t>HRB32172</t>
    <phoneticPr fontId="21" type="noConversion"/>
  </si>
  <si>
    <t>系统已作删除标志</t>
    <phoneticPr fontId="21" type="noConversion"/>
  </si>
  <si>
    <t>S1A14376</t>
    <phoneticPr fontId="21" type="noConversion"/>
  </si>
  <si>
    <t>S1A14376_C2</t>
    <phoneticPr fontId="21" type="noConversion"/>
  </si>
  <si>
    <t>4 GANG FRAME FOR E8234L2F</t>
    <phoneticPr fontId="21" type="noConversion"/>
  </si>
  <si>
    <t>S1A12061(T2)</t>
    <phoneticPr fontId="21" type="noConversion"/>
  </si>
  <si>
    <t>S1A12061_C2</t>
    <phoneticPr fontId="21" type="noConversion"/>
  </si>
  <si>
    <t>10A SW 2&amp;3 PIN COVER E8215_10US</t>
    <phoneticPr fontId="21" type="noConversion"/>
  </si>
  <si>
    <t>FB32TV+RH5E-15</t>
    <phoneticPr fontId="21" type="noConversion"/>
  </si>
  <si>
    <t>FB32TV+RJ5E-15_C2</t>
    <phoneticPr fontId="21" type="noConversion"/>
  </si>
  <si>
    <t>S1A12059(T1)</t>
    <phoneticPr fontId="21" type="noConversion"/>
  </si>
  <si>
    <t>S1A12059_C2</t>
    <phoneticPr fontId="21" type="noConversion"/>
  </si>
  <si>
    <t>10A SW 2&amp;3 PIN GRIDPLATE E8215_10US</t>
    <phoneticPr fontId="21" type="noConversion"/>
  </si>
  <si>
    <t>S1A10337</t>
    <phoneticPr fontId="21" type="noConversion"/>
  </si>
  <si>
    <t>S1A10337_C2</t>
    <phoneticPr fontId="21" type="noConversion"/>
  </si>
  <si>
    <t>16AX 2 GANG RIGHT DOLLY FOR E8232L1F</t>
    <phoneticPr fontId="21" type="noConversion"/>
  </si>
  <si>
    <t>S1A10354</t>
    <phoneticPr fontId="21" type="noConversion"/>
  </si>
  <si>
    <t>S1A10354_C2</t>
    <phoneticPr fontId="21" type="noConversion"/>
  </si>
  <si>
    <t>3 GANG RIGHT DOLLY FOR E8233L1F</t>
    <phoneticPr fontId="21" type="noConversion"/>
  </si>
  <si>
    <t>S1A10336</t>
    <phoneticPr fontId="21" type="noConversion"/>
  </si>
  <si>
    <t>S1A10336_C2</t>
    <phoneticPr fontId="21" type="noConversion"/>
  </si>
  <si>
    <t>16AX 2 GANG LEFT DOLLY FOR E8232L1F</t>
    <phoneticPr fontId="21" type="noConversion"/>
  </si>
  <si>
    <t>E3015/16CS-1</t>
    <phoneticPr fontId="21" type="noConversion"/>
  </si>
  <si>
    <t>E3015_16CS-1_C2</t>
    <phoneticPr fontId="21" type="noConversion"/>
  </si>
  <si>
    <t>FLUSH PLATE with  Schneider</t>
    <phoneticPr fontId="21" type="noConversion"/>
  </si>
  <si>
    <t>E426/10US-2N(T1)</t>
    <phoneticPr fontId="21" type="noConversion"/>
  </si>
  <si>
    <t>E426_10US-2N_C2</t>
    <phoneticPr fontId="21" type="noConversion"/>
  </si>
  <si>
    <t>Base</t>
    <phoneticPr fontId="21" type="noConversion"/>
  </si>
  <si>
    <t>30MD20-75R(T2)</t>
    <phoneticPr fontId="21" type="noConversion"/>
  </si>
  <si>
    <t>30MD20-75R_BK-S_C2</t>
    <phoneticPr fontId="21" type="noConversion"/>
  </si>
  <si>
    <t>DOLLY,BK</t>
    <phoneticPr fontId="21" type="noConversion"/>
  </si>
  <si>
    <t>2751-4</t>
    <phoneticPr fontId="21" type="noConversion"/>
  </si>
  <si>
    <t>30_1N-2_C2</t>
    <phoneticPr fontId="21" type="noConversion"/>
  </si>
  <si>
    <t>E2000 series</t>
    <phoneticPr fontId="21" type="noConversion"/>
  </si>
  <si>
    <t>PHRB902261A</t>
    <phoneticPr fontId="21" type="noConversion"/>
  </si>
  <si>
    <t>HRB90226</t>
    <phoneticPr fontId="21" type="noConversion"/>
  </si>
  <si>
    <t>3位连体边框（白色）</t>
    <phoneticPr fontId="21" type="noConversion"/>
  </si>
  <si>
    <t>Zencelo</t>
    <phoneticPr fontId="21" type="noConversion"/>
  </si>
  <si>
    <t>PHRB902291A</t>
    <phoneticPr fontId="21" type="noConversion"/>
  </si>
  <si>
    <t>HRB90229</t>
    <phoneticPr fontId="21" type="noConversion"/>
  </si>
  <si>
    <t>4位连体边框（白色）</t>
    <phoneticPr fontId="21" type="noConversion"/>
  </si>
  <si>
    <t>PHRB902321A</t>
    <phoneticPr fontId="21" type="noConversion"/>
  </si>
  <si>
    <t>HRB90232</t>
    <phoneticPr fontId="21" type="noConversion"/>
  </si>
  <si>
    <t>5位连体边框（白色）</t>
    <phoneticPr fontId="21" type="noConversion"/>
  </si>
  <si>
    <t>PHRB902231A</t>
    <phoneticPr fontId="21" type="noConversion"/>
  </si>
  <si>
    <t>HRB90223</t>
    <phoneticPr fontId="21" type="noConversion"/>
  </si>
  <si>
    <t>2位连体边框（白色）</t>
    <phoneticPr fontId="21" type="noConversion"/>
  </si>
  <si>
    <t>PHRB903601A</t>
    <phoneticPr fontId="21" type="noConversion"/>
  </si>
  <si>
    <t>HRB90360</t>
    <phoneticPr fontId="21" type="noConversion"/>
  </si>
  <si>
    <t>五孔插固定架(WE标志镶件)</t>
    <phoneticPr fontId="21" type="noConversion"/>
  </si>
  <si>
    <t>PHRB903601B</t>
    <phoneticPr fontId="21" type="noConversion"/>
  </si>
  <si>
    <t>PHRB902351A</t>
    <phoneticPr fontId="21" type="noConversion"/>
  </si>
  <si>
    <t>HRB90235</t>
    <phoneticPr fontId="21" type="noConversion"/>
  </si>
  <si>
    <t>一位音响插小面板(白色)刻字WE</t>
    <phoneticPr fontId="21" type="noConversion"/>
  </si>
  <si>
    <t>PHRB902381A</t>
    <phoneticPr fontId="21" type="noConversion"/>
  </si>
  <si>
    <t>HRB90238</t>
    <phoneticPr fontId="21" type="noConversion"/>
  </si>
  <si>
    <t>两位音响插面盖（白色）</t>
    <phoneticPr fontId="21" type="noConversion"/>
  </si>
  <si>
    <t>PHRB902411A</t>
    <phoneticPr fontId="21" type="noConversion"/>
  </si>
  <si>
    <t>HRB90241</t>
    <phoneticPr fontId="21" type="noConversion"/>
  </si>
  <si>
    <t>电视、信息插面盖(白色)</t>
    <phoneticPr fontId="21" type="noConversion"/>
  </si>
  <si>
    <t>PHRB903591A</t>
    <phoneticPr fontId="21" type="noConversion"/>
  </si>
  <si>
    <t>HRB90359</t>
    <phoneticPr fontId="21" type="noConversion"/>
  </si>
  <si>
    <t>P680085911D</t>
    <phoneticPr fontId="21" type="noConversion"/>
  </si>
  <si>
    <t>Gridplate for A5B14 （C模）</t>
    <phoneticPr fontId="21" type="noConversion"/>
  </si>
  <si>
    <t>A5</t>
    <phoneticPr fontId="21" type="noConversion"/>
  </si>
  <si>
    <t>P680085901B</t>
    <phoneticPr fontId="21" type="noConversion"/>
  </si>
  <si>
    <t>Cover for A5B14</t>
    <phoneticPr fontId="21" type="noConversion"/>
  </si>
  <si>
    <t>P680085901C</t>
    <phoneticPr fontId="21" type="noConversion"/>
  </si>
  <si>
    <t>P680037021E</t>
    <phoneticPr fontId="21" type="noConversion"/>
  </si>
  <si>
    <t>A5一位开关固定架 05(备模E）</t>
    <phoneticPr fontId="21" type="noConversion"/>
  </si>
  <si>
    <t>P680037211H</t>
    <phoneticPr fontId="21" type="noConversion"/>
  </si>
  <si>
    <t>A5插座盖片（备模H）</t>
    <phoneticPr fontId="21" type="noConversion"/>
  </si>
  <si>
    <t>NLINM1314</t>
    <phoneticPr fontId="21" type="noConversion"/>
  </si>
  <si>
    <t>A5插座盖片（备模C）</t>
    <phoneticPr fontId="21" type="noConversion"/>
  </si>
  <si>
    <t>NLINM1315</t>
    <phoneticPr fontId="21" type="noConversion"/>
  </si>
  <si>
    <t>A5插座盖片（备模D）</t>
    <phoneticPr fontId="21" type="noConversion"/>
  </si>
  <si>
    <t>P680036811B</t>
    <phoneticPr fontId="21" type="noConversion"/>
  </si>
  <si>
    <t>A5一位开关荧光粒</t>
    <phoneticPr fontId="21" type="noConversion"/>
  </si>
  <si>
    <t>P680050351B</t>
    <phoneticPr fontId="21" type="noConversion"/>
  </si>
  <si>
    <t>A5 插座类一位单控开关功能件摆杆</t>
    <phoneticPr fontId="21" type="noConversion"/>
  </si>
  <si>
    <t>P680036161B</t>
    <phoneticPr fontId="21" type="noConversion"/>
  </si>
  <si>
    <t>（改）EP2-118二位固定架 04</t>
    <phoneticPr fontId="21" type="noConversion"/>
  </si>
  <si>
    <t>A2</t>
    <phoneticPr fontId="21" type="noConversion"/>
  </si>
  <si>
    <t>P680036141B</t>
    <phoneticPr fontId="21" type="noConversion"/>
  </si>
  <si>
    <t>（改）EP2-118一位固定架 04</t>
    <phoneticPr fontId="21" type="noConversion"/>
  </si>
  <si>
    <t>P680045031B</t>
    <phoneticPr fontId="21" type="noConversion"/>
  </si>
  <si>
    <t>A2系列10A多用插压板 04</t>
    <phoneticPr fontId="21" type="noConversion"/>
  </si>
  <si>
    <t>P680045011B</t>
    <phoneticPr fontId="21" type="noConversion"/>
  </si>
  <si>
    <t>A2系列10A多用插面盖 05</t>
    <phoneticPr fontId="21" type="noConversion"/>
  </si>
  <si>
    <t>P680036791C</t>
    <phoneticPr fontId="21" type="noConversion"/>
  </si>
  <si>
    <t>A5一位单极开关摆杆（备模C）</t>
    <phoneticPr fontId="21" type="noConversion"/>
  </si>
  <si>
    <t>E84-02(T2)</t>
    <phoneticPr fontId="21" type="noConversion"/>
  </si>
  <si>
    <t>NHA75326</t>
    <phoneticPr fontId="21" type="noConversion"/>
  </si>
  <si>
    <t>E-GRIDE PLATE</t>
    <phoneticPr fontId="21" type="noConversion"/>
  </si>
  <si>
    <t>Components--E84 ZENcelo</t>
    <phoneticPr fontId="21" type="noConversion"/>
  </si>
  <si>
    <t>E84-02(T1)</t>
    <phoneticPr fontId="21" type="noConversion"/>
  </si>
  <si>
    <t>E84-02_C2</t>
    <phoneticPr fontId="21" type="noConversion"/>
  </si>
  <si>
    <t>E84-02(T0)</t>
    <phoneticPr fontId="21" type="noConversion"/>
  </si>
  <si>
    <t>E84-02(T3)</t>
    <phoneticPr fontId="21" type="noConversion"/>
  </si>
  <si>
    <t>E84-02(T4)</t>
    <phoneticPr fontId="21" type="noConversion"/>
  </si>
  <si>
    <t>E8431/2-35(T1)</t>
    <phoneticPr fontId="21" type="noConversion"/>
  </si>
  <si>
    <t>E8431_2-35_C2</t>
    <phoneticPr fontId="21" type="noConversion"/>
  </si>
  <si>
    <t>E8431 SWITCH BUTTON</t>
    <phoneticPr fontId="21" type="noConversion"/>
  </si>
  <si>
    <t>E8431/2-35(T2)</t>
    <phoneticPr fontId="21" type="noConversion"/>
  </si>
  <si>
    <t>E8431/2-35(T3)</t>
    <phoneticPr fontId="21" type="noConversion"/>
  </si>
  <si>
    <t>E15/10US-2S(T2)</t>
    <phoneticPr fontId="21" type="noConversion"/>
  </si>
  <si>
    <t>E15/10US-2S(T3)</t>
    <phoneticPr fontId="21" type="noConversion"/>
  </si>
  <si>
    <t>E15/10US-2S(T4)</t>
    <phoneticPr fontId="21" type="noConversion"/>
  </si>
  <si>
    <t>E8431D20-20(T2)</t>
    <phoneticPr fontId="21" type="noConversion"/>
  </si>
  <si>
    <t>NHA47345</t>
    <phoneticPr fontId="21" type="noConversion"/>
  </si>
  <si>
    <t>2 Gang Switch Dolly （白色）</t>
    <phoneticPr fontId="21" type="noConversion"/>
  </si>
  <si>
    <t>S1A10351(T2)</t>
    <phoneticPr fontId="21" type="noConversion"/>
  </si>
  <si>
    <t>E8431/2-20(T2)</t>
    <phoneticPr fontId="21" type="noConversion"/>
  </si>
  <si>
    <t>NHA47341</t>
    <phoneticPr fontId="21" type="noConversion"/>
  </si>
  <si>
    <t>1 Gang Switch Dolly</t>
    <phoneticPr fontId="21" type="noConversion"/>
  </si>
  <si>
    <t>E3015CS-1(T2)</t>
    <phoneticPr fontId="21" type="noConversion"/>
  </si>
  <si>
    <t>FLUSHPLATE,GYwithSchneider</t>
    <phoneticPr fontId="21" type="noConversion"/>
  </si>
  <si>
    <t>E426/16CS-3S(T2)</t>
    <phoneticPr fontId="21" type="noConversion"/>
  </si>
  <si>
    <t>SHUTTER</t>
    <phoneticPr fontId="21" type="noConversion"/>
  </si>
  <si>
    <t>S1A12059 (T3)</t>
    <phoneticPr fontId="21" type="noConversion"/>
  </si>
  <si>
    <t>S1A12059</t>
    <phoneticPr fontId="21" type="noConversion"/>
  </si>
  <si>
    <t>S1A10314(T1)</t>
    <phoneticPr fontId="21" type="noConversion"/>
  </si>
  <si>
    <t>S1A10314</t>
    <phoneticPr fontId="21" type="noConversion"/>
  </si>
  <si>
    <t>GRIDPLATE</t>
    <phoneticPr fontId="21" type="noConversion"/>
  </si>
  <si>
    <t>S1A10314(T2)</t>
    <phoneticPr fontId="21" type="noConversion"/>
  </si>
  <si>
    <t>S1A12048(T2)</t>
    <phoneticPr fontId="21" type="noConversion"/>
  </si>
  <si>
    <t>S1A12048</t>
    <phoneticPr fontId="21" type="noConversion"/>
  </si>
  <si>
    <t>S1A12048(T1)</t>
    <phoneticPr fontId="21" type="noConversion"/>
  </si>
  <si>
    <t>PS1A120481E</t>
    <phoneticPr fontId="21" type="noConversion"/>
  </si>
  <si>
    <t>S1A12048(T3)</t>
    <phoneticPr fontId="21" type="noConversion"/>
  </si>
  <si>
    <t>S1A12049(T2)</t>
    <phoneticPr fontId="21" type="noConversion"/>
  </si>
  <si>
    <t>S1A12049</t>
    <phoneticPr fontId="21" type="noConversion"/>
  </si>
  <si>
    <t>Surround</t>
    <phoneticPr fontId="21" type="noConversion"/>
  </si>
  <si>
    <t>S1A12049(T1)</t>
    <phoneticPr fontId="21" type="noConversion"/>
  </si>
  <si>
    <t>S1A12049(T3)</t>
    <phoneticPr fontId="21" type="noConversion"/>
  </si>
  <si>
    <t>S1A12052(T1)</t>
    <phoneticPr fontId="21" type="noConversion"/>
  </si>
  <si>
    <t>S1A12052</t>
    <phoneticPr fontId="21" type="noConversion"/>
  </si>
  <si>
    <t>10A 2&amp;3 Pin Cover</t>
    <phoneticPr fontId="21" type="noConversion"/>
  </si>
  <si>
    <t>S1A12052(T2)</t>
    <phoneticPr fontId="21" type="noConversion"/>
  </si>
  <si>
    <t>E426/10US-4N(T3)</t>
    <phoneticPr fontId="21" type="noConversion"/>
  </si>
  <si>
    <t>E426/10US-4N(T4)</t>
    <phoneticPr fontId="21" type="noConversion"/>
  </si>
  <si>
    <t>S1A10352</t>
    <phoneticPr fontId="21" type="noConversion"/>
  </si>
  <si>
    <t>3 GANG LEFT DOLLY FOR E8233L1F</t>
    <phoneticPr fontId="21" type="noConversion"/>
  </si>
  <si>
    <t>E84-05</t>
    <phoneticPr fontId="21" type="noConversion"/>
  </si>
  <si>
    <t>E84-05(T1)</t>
    <phoneticPr fontId="21" type="noConversion"/>
  </si>
  <si>
    <t>E84-06</t>
    <phoneticPr fontId="21" type="noConversion"/>
  </si>
  <si>
    <t>E8431BP1-10</t>
    <phoneticPr fontId="21" type="noConversion"/>
  </si>
  <si>
    <t>BASE（后座）</t>
    <phoneticPr fontId="21" type="noConversion"/>
  </si>
  <si>
    <t>3-PIN SHUTTER(三插保护门)</t>
    <phoneticPr fontId="21" type="noConversion"/>
  </si>
  <si>
    <t>ET1426-2</t>
    <phoneticPr fontId="21" type="noConversion"/>
  </si>
  <si>
    <t>ET1426-2-</t>
    <phoneticPr fontId="21" type="noConversion"/>
  </si>
  <si>
    <t>Base（后座）</t>
    <phoneticPr fontId="21" type="noConversion"/>
  </si>
  <si>
    <t>ET2426/10CU-BA</t>
    <phoneticPr fontId="21" type="noConversion"/>
  </si>
  <si>
    <t>E426HD416-BA</t>
    <phoneticPr fontId="21" type="noConversion"/>
  </si>
  <si>
    <t>E426HD425-BA</t>
    <phoneticPr fontId="21" type="noConversion"/>
  </si>
  <si>
    <t>E84426/16IS-10</t>
    <phoneticPr fontId="21" type="noConversion"/>
  </si>
  <si>
    <t>MODULE BASE(模组后座)</t>
    <phoneticPr fontId="21" type="noConversion"/>
  </si>
  <si>
    <t>E1426-2</t>
    <phoneticPr fontId="21" type="noConversion"/>
  </si>
  <si>
    <t>E1426-2-</t>
    <phoneticPr fontId="21" type="noConversion"/>
  </si>
  <si>
    <t>E25/10CU-BA</t>
    <phoneticPr fontId="21" type="noConversion"/>
  </si>
  <si>
    <t>E84426U-10</t>
    <phoneticPr fontId="21" type="noConversion"/>
  </si>
  <si>
    <t>1.5G BASE（1.5G 后座）</t>
    <phoneticPr fontId="21" type="noConversion"/>
  </si>
  <si>
    <t>E84426-10</t>
    <phoneticPr fontId="21" type="noConversion"/>
  </si>
  <si>
    <t>S1A21438</t>
    <phoneticPr fontId="21" type="noConversion"/>
  </si>
  <si>
    <t>SHUTTER（保护门）</t>
    <phoneticPr fontId="21" type="noConversion"/>
  </si>
  <si>
    <t>E84426/16CS-10</t>
    <phoneticPr fontId="21" type="noConversion"/>
  </si>
  <si>
    <t>E84426U-25</t>
    <phoneticPr fontId="21" type="noConversion"/>
  </si>
  <si>
    <t>2 PIN SHUTTER（二插保护门）</t>
    <phoneticPr fontId="21" type="noConversion"/>
  </si>
  <si>
    <t>DS7TV-BA</t>
    <phoneticPr fontId="21" type="noConversion"/>
  </si>
  <si>
    <t>SOCKET BASE（插座后座）</t>
    <phoneticPr fontId="21" type="noConversion"/>
  </si>
  <si>
    <t>E2033L1/2A-3(WE)</t>
    <phoneticPr fontId="21" type="noConversion"/>
  </si>
  <si>
    <t>ACTUATOR,WE（摆杆）</t>
    <phoneticPr fontId="21" type="noConversion"/>
  </si>
  <si>
    <t>E8415/15-25</t>
    <phoneticPr fontId="21" type="noConversion"/>
  </si>
  <si>
    <t>E3031RJ-3(WE)</t>
    <phoneticPr fontId="21" type="noConversion"/>
  </si>
  <si>
    <t>BBV61260</t>
    <phoneticPr fontId="21" type="noConversion"/>
  </si>
  <si>
    <t>BBV61260_BLK</t>
    <phoneticPr fontId="21" type="noConversion"/>
  </si>
  <si>
    <t>Holder for E8232TVFRJS_6（支架）</t>
    <phoneticPr fontId="21" type="noConversion"/>
  </si>
  <si>
    <t>E8434/1-35</t>
    <phoneticPr fontId="21" type="noConversion"/>
  </si>
  <si>
    <t>NHA57199</t>
    <phoneticPr fontId="21" type="noConversion"/>
  </si>
  <si>
    <t>E8434/1 SWITCH BUTTON（E8434/1开关按钮）</t>
    <phoneticPr fontId="21" type="noConversion"/>
  </si>
  <si>
    <t>E8434/1-15</t>
    <phoneticPr fontId="21" type="noConversion"/>
  </si>
  <si>
    <t>E8434/1 SWITCH BASE COVER（E8434/1开关面盖）</t>
    <phoneticPr fontId="21" type="noConversion"/>
  </si>
  <si>
    <t>PNHA270631A</t>
    <phoneticPr fontId="21" type="noConversion"/>
  </si>
  <si>
    <t>NHA27063_BLK</t>
    <phoneticPr fontId="21" type="noConversion"/>
  </si>
  <si>
    <t>PNHA415691A</t>
    <phoneticPr fontId="21" type="noConversion"/>
  </si>
  <si>
    <t>NHA41569</t>
    <phoneticPr fontId="21" type="noConversion"/>
  </si>
  <si>
    <t>Driver</t>
    <phoneticPr fontId="21" type="noConversion"/>
  </si>
  <si>
    <t>PNHA424351A</t>
    <phoneticPr fontId="21" type="noConversion"/>
  </si>
  <si>
    <t>NHA42435</t>
    <phoneticPr fontId="21" type="noConversion"/>
  </si>
  <si>
    <t>Button</t>
    <phoneticPr fontId="21" type="noConversion"/>
  </si>
  <si>
    <t>PNHA343331A</t>
    <phoneticPr fontId="21" type="noConversion"/>
  </si>
  <si>
    <t>NHA34333</t>
    <phoneticPr fontId="21" type="noConversion"/>
  </si>
  <si>
    <t xml:space="preserve">2 PIN Shutter </t>
    <phoneticPr fontId="21" type="noConversion"/>
  </si>
  <si>
    <t>High Five A5</t>
    <phoneticPr fontId="21" type="noConversion"/>
  </si>
  <si>
    <t>PNHA343301A</t>
    <phoneticPr fontId="21" type="noConversion"/>
  </si>
  <si>
    <t>NHA34330</t>
    <phoneticPr fontId="21" type="noConversion"/>
  </si>
  <si>
    <t>Surround,WE</t>
    <phoneticPr fontId="21" type="noConversion"/>
  </si>
  <si>
    <t>PNHA343211A</t>
    <phoneticPr fontId="21" type="noConversion"/>
  </si>
  <si>
    <t>NHA34321</t>
    <phoneticPr fontId="21" type="noConversion"/>
  </si>
  <si>
    <t>Cover,WE</t>
    <phoneticPr fontId="21" type="noConversion"/>
  </si>
  <si>
    <t>PNHA343291A</t>
    <phoneticPr fontId="21" type="noConversion"/>
  </si>
  <si>
    <t>NHA34329</t>
    <phoneticPr fontId="21" type="noConversion"/>
  </si>
  <si>
    <t>Gridplate,BK</t>
    <phoneticPr fontId="21" type="noConversion"/>
  </si>
  <si>
    <t>PNHA343211B</t>
    <phoneticPr fontId="21" type="noConversion"/>
  </si>
  <si>
    <t>PNHA343211C</t>
    <phoneticPr fontId="21" type="noConversion"/>
  </si>
  <si>
    <t>PNHA343301B</t>
    <phoneticPr fontId="21" type="noConversion"/>
  </si>
  <si>
    <t>PNHA343301C</t>
    <phoneticPr fontId="21" type="noConversion"/>
  </si>
  <si>
    <t>PNHA343301D</t>
    <phoneticPr fontId="21" type="noConversion"/>
  </si>
  <si>
    <t>PNHA343301E</t>
    <phoneticPr fontId="21" type="noConversion"/>
  </si>
  <si>
    <t>PNHA343291B</t>
    <phoneticPr fontId="21" type="noConversion"/>
  </si>
  <si>
    <t>PNHA343291C</t>
    <phoneticPr fontId="21" type="noConversion"/>
  </si>
  <si>
    <t>PNHA343291D</t>
    <phoneticPr fontId="21" type="noConversion"/>
  </si>
  <si>
    <t>PNHA343291E</t>
    <phoneticPr fontId="21" type="noConversion"/>
  </si>
  <si>
    <t>2016累计生产数量</t>
    <phoneticPr fontId="21" type="noConversion"/>
  </si>
  <si>
    <t>1月累计产量</t>
    <phoneticPr fontId="21" type="noConversion"/>
  </si>
  <si>
    <t>2月累计产量</t>
  </si>
  <si>
    <t>3月累计产量</t>
  </si>
  <si>
    <t>4月累计产量</t>
  </si>
  <si>
    <t>5月累计产量</t>
  </si>
  <si>
    <t>6月累计产量</t>
  </si>
  <si>
    <t>7月累计产量</t>
  </si>
  <si>
    <t>8月累计产量</t>
  </si>
  <si>
    <t>9月累计产量</t>
  </si>
  <si>
    <t>10月累计产量</t>
  </si>
  <si>
    <t>11月累计产量</t>
  </si>
  <si>
    <t>12月累计产量</t>
  </si>
</sst>
</file>

<file path=xl/styles.xml><?xml version="1.0" encoding="utf-8"?>
<styleSheet xmlns="http://schemas.openxmlformats.org/spreadsheetml/2006/main">
  <numFmts count="4">
    <numFmt numFmtId="176" formatCode="&quot;￥&quot;#,##0.00;\-&quot;￥&quot;#,##0.00"/>
    <numFmt numFmtId="177" formatCode="0_);[Red]\(0\)"/>
    <numFmt numFmtId="178" formatCode="[$-409]mmm\-yy;@"/>
    <numFmt numFmtId="179" formatCode="[$-409]d/mmm;@"/>
  </numFmts>
  <fonts count="50">
    <font>
      <sz val="10"/>
      <name val="Tahoma"/>
      <charset val="134"/>
    </font>
    <font>
      <sz val="10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2"/>
      <name val="新細明體"/>
      <family val="1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Tahoma"/>
      <family val="2"/>
    </font>
    <font>
      <sz val="9"/>
      <name val="宋体"/>
      <family val="3"/>
      <charset val="134"/>
    </font>
    <font>
      <b/>
      <sz val="20"/>
      <name val="宋体"/>
      <family val="3"/>
      <charset val="134"/>
    </font>
    <font>
      <b/>
      <sz val="16"/>
      <name val="宋体"/>
      <family val="3"/>
      <charset val="134"/>
    </font>
    <font>
      <b/>
      <sz val="16"/>
      <name val="Tahoma"/>
      <family val="2"/>
    </font>
    <font>
      <sz val="11"/>
      <name val="宋体"/>
      <family val="3"/>
      <charset val="134"/>
    </font>
    <font>
      <sz val="10"/>
      <name val="Tahoma"/>
      <family val="2"/>
    </font>
    <font>
      <b/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color indexed="20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Helv"/>
      <family val="2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2"/>
      <scheme val="minor"/>
    </font>
    <font>
      <sz val="12"/>
      <name val="Arial"/>
      <family val="2"/>
    </font>
    <font>
      <b/>
      <sz val="10.5"/>
      <name val="Arial"/>
      <family val="2"/>
    </font>
    <font>
      <sz val="10.5"/>
      <name val="Arial"/>
      <family val="2"/>
    </font>
    <font>
      <b/>
      <sz val="18"/>
      <name val="Arial"/>
      <family val="2"/>
    </font>
    <font>
      <sz val="10"/>
      <name val="Cambria"/>
      <family val="1"/>
    </font>
    <font>
      <sz val="10"/>
      <color indexed="8"/>
      <name val="Cambria"/>
      <family val="1"/>
    </font>
    <font>
      <sz val="10"/>
      <color theme="1"/>
      <name val="Cambria"/>
      <family val="1"/>
    </font>
    <font>
      <b/>
      <sz val="14"/>
      <name val="宋体"/>
      <family val="3"/>
      <charset val="134"/>
    </font>
    <font>
      <sz val="9"/>
      <color theme="0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indexed="3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hair">
        <color indexed="62"/>
      </left>
      <right style="hair">
        <color indexed="62"/>
      </right>
      <top style="hair">
        <color indexed="62"/>
      </top>
      <bottom style="hair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6">
    <xf numFmtId="0" fontId="0" fillId="0" borderId="0"/>
    <xf numFmtId="0" fontId="2" fillId="2" borderId="0" applyNumberFormat="0" applyBorder="0" applyAlignment="0" applyProtection="0"/>
    <xf numFmtId="0" fontId="15" fillId="3" borderId="0" applyNumberFormat="0" applyBorder="0" applyAlignment="0" applyProtection="0"/>
    <xf numFmtId="0" fontId="11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20" fillId="5" borderId="1" applyNumberFormat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2" fillId="8" borderId="0" applyNumberFormat="0" applyBorder="0" applyAlignment="0" applyProtection="0"/>
    <xf numFmtId="0" fontId="14" fillId="0" borderId="0">
      <alignment vertical="center"/>
    </xf>
    <xf numFmtId="0" fontId="15" fillId="9" borderId="0" applyNumberFormat="0" applyBorder="0" applyAlignment="0" applyProtection="0"/>
    <xf numFmtId="0" fontId="2" fillId="10" borderId="0" applyNumberFormat="0" applyBorder="0" applyAlignment="0" applyProtection="0"/>
    <xf numFmtId="0" fontId="3" fillId="0" borderId="2" applyNumberFormat="0" applyFill="0" applyAlignment="0" applyProtection="0"/>
    <xf numFmtId="0" fontId="15" fillId="5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8" fillId="3" borderId="0" applyNumberFormat="0" applyBorder="0" applyAlignment="0" applyProtection="0"/>
    <xf numFmtId="0" fontId="15" fillId="13" borderId="0" applyNumberFormat="0" applyBorder="0" applyAlignment="0" applyProtection="0"/>
    <xf numFmtId="0" fontId="15" fillId="7" borderId="0" applyNumberFormat="0" applyBorder="0" applyAlignment="0" applyProtection="0"/>
    <xf numFmtId="0" fontId="13" fillId="0" borderId="0"/>
    <xf numFmtId="0" fontId="15" fillId="11" borderId="0" applyNumberFormat="0" applyBorder="0" applyAlignment="0" applyProtection="0"/>
    <xf numFmtId="0" fontId="1" fillId="0" borderId="3">
      <alignment horizontal="left" vertical="center"/>
    </xf>
    <xf numFmtId="0" fontId="15" fillId="14" borderId="0" applyNumberFormat="0" applyBorder="0" applyAlignment="0" applyProtection="0"/>
    <xf numFmtId="0" fontId="9" fillId="0" borderId="4" applyNumberFormat="0" applyFill="0" applyAlignment="0" applyProtection="0"/>
    <xf numFmtId="0" fontId="2" fillId="15" borderId="0" applyNumberFormat="0" applyBorder="0" applyAlignment="0" applyProtection="0"/>
    <xf numFmtId="0" fontId="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6" fillId="16" borderId="5" applyNumberFormat="0" applyAlignment="0" applyProtection="0"/>
    <xf numFmtId="0" fontId="2" fillId="2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4" fillId="0" borderId="0">
      <alignment vertical="center"/>
    </xf>
    <xf numFmtId="0" fontId="10" fillId="0" borderId="6" applyNumberFormat="0" applyFill="0" applyAlignment="0" applyProtection="0"/>
    <xf numFmtId="0" fontId="12" fillId="0" borderId="7" applyNumberFormat="0" applyFill="0" applyAlignment="0" applyProtection="0"/>
    <xf numFmtId="0" fontId="1" fillId="0" borderId="3">
      <alignment horizontal="left" vertical="center"/>
    </xf>
    <xf numFmtId="0" fontId="7" fillId="6" borderId="0" applyNumberFormat="0" applyBorder="0" applyAlignment="0" applyProtection="0"/>
    <xf numFmtId="0" fontId="17" fillId="0" borderId="8" applyNumberFormat="0" applyFill="0" applyAlignment="0" applyProtection="0"/>
    <xf numFmtId="0" fontId="16" fillId="16" borderId="1" applyNumberFormat="0" applyAlignment="0" applyProtection="0"/>
    <xf numFmtId="0" fontId="5" fillId="19" borderId="9" applyNumberFormat="0" applyAlignment="0" applyProtection="0"/>
    <xf numFmtId="0" fontId="18" fillId="0" borderId="0" applyNumberFormat="0" applyFill="0" applyBorder="0" applyAlignment="0" applyProtection="0"/>
    <xf numFmtId="0" fontId="2" fillId="20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19" fillId="22" borderId="0" applyNumberFormat="0" applyBorder="0" applyAlignment="0" applyProtection="0"/>
    <xf numFmtId="0" fontId="27" fillId="23" borderId="10" applyNumberFormat="0" applyFont="0" applyAlignment="0" applyProtection="0"/>
    <xf numFmtId="0" fontId="14" fillId="0" borderId="0"/>
    <xf numFmtId="0" fontId="15" fillId="0" borderId="0" applyProtection="0">
      <alignment vertical="center"/>
    </xf>
    <xf numFmtId="0" fontId="15" fillId="0" borderId="0">
      <alignment vertical="center"/>
    </xf>
    <xf numFmtId="0" fontId="14" fillId="0" borderId="0" applyProtection="0"/>
    <xf numFmtId="176" fontId="14" fillId="0" borderId="0"/>
    <xf numFmtId="0" fontId="15" fillId="0" borderId="0">
      <alignment vertical="center"/>
    </xf>
    <xf numFmtId="0" fontId="29" fillId="0" borderId="0"/>
    <xf numFmtId="0" fontId="15" fillId="0" borderId="0">
      <alignment vertical="center"/>
    </xf>
    <xf numFmtId="0" fontId="33" fillId="0" borderId="0"/>
    <xf numFmtId="0" fontId="34" fillId="3" borderId="0" applyNumberFormat="0" applyBorder="0" applyAlignment="0" applyProtection="0">
      <alignment vertical="center"/>
    </xf>
    <xf numFmtId="0" fontId="29" fillId="0" borderId="0"/>
    <xf numFmtId="0" fontId="29" fillId="0" borderId="0"/>
    <xf numFmtId="0" fontId="29" fillId="0" borderId="0"/>
    <xf numFmtId="0" fontId="37" fillId="0" borderId="0"/>
    <xf numFmtId="0" fontId="37" fillId="0" borderId="0"/>
    <xf numFmtId="178" fontId="40" fillId="0" borderId="0">
      <alignment vertical="center"/>
    </xf>
    <xf numFmtId="0" fontId="39" fillId="0" borderId="0"/>
    <xf numFmtId="179" fontId="39" fillId="0" borderId="0">
      <alignment vertical="center"/>
    </xf>
    <xf numFmtId="0" fontId="38" fillId="0" borderId="0"/>
  </cellStyleXfs>
  <cellXfs count="186">
    <xf numFmtId="0" fontId="0" fillId="0" borderId="0" xfId="0" applyAlignment="1">
      <alignment vertical="center"/>
    </xf>
    <xf numFmtId="0" fontId="21" fillId="0" borderId="0" xfId="0" applyFont="1" applyFill="1" applyAlignment="1">
      <alignment vertical="center"/>
    </xf>
    <xf numFmtId="0" fontId="21" fillId="0" borderId="11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 applyFill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6" fillId="0" borderId="11" xfId="33" applyFont="1" applyFill="1" applyBorder="1" applyAlignment="1">
      <alignment horizontal="center" vertical="center"/>
    </xf>
    <xf numFmtId="0" fontId="26" fillId="0" borderId="11" xfId="33" applyFont="1" applyFill="1" applyBorder="1" applyAlignment="1">
      <alignment horizontal="center" vertical="center" wrapText="1"/>
    </xf>
    <xf numFmtId="0" fontId="22" fillId="0" borderId="11" xfId="33" applyFont="1" applyFill="1" applyBorder="1" applyAlignment="1">
      <alignment horizontal="center" vertical="center" wrapText="1"/>
    </xf>
    <xf numFmtId="0" fontId="38" fillId="0" borderId="11" xfId="64" applyNumberFormat="1" applyFont="1" applyFill="1" applyBorder="1" applyAlignment="1" applyProtection="1">
      <alignment horizontal="center" vertical="center"/>
    </xf>
    <xf numFmtId="0" fontId="38" fillId="0" borderId="11" xfId="47" applyNumberFormat="1" applyFont="1" applyFill="1" applyBorder="1" applyAlignment="1" applyProtection="1">
      <alignment horizontal="center" vertical="center"/>
    </xf>
    <xf numFmtId="0" fontId="38" fillId="0" borderId="15" xfId="47" applyNumberFormat="1" applyFont="1" applyFill="1" applyBorder="1" applyAlignment="1" applyProtection="1">
      <alignment horizontal="center" vertical="center"/>
    </xf>
    <xf numFmtId="0" fontId="38" fillId="0" borderId="15" xfId="64" applyNumberFormat="1" applyFont="1" applyFill="1" applyBorder="1" applyAlignment="1" applyProtection="1">
      <alignment horizontal="center" vertical="center"/>
    </xf>
    <xf numFmtId="0" fontId="38" fillId="0" borderId="16" xfId="64" applyNumberFormat="1" applyFont="1" applyFill="1" applyBorder="1" applyAlignment="1" applyProtection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41" fillId="26" borderId="0" xfId="0" applyFont="1" applyFill="1" applyAlignment="1">
      <alignment vertical="center"/>
    </xf>
    <xf numFmtId="0" fontId="43" fillId="26" borderId="11" xfId="0" applyFont="1" applyFill="1" applyBorder="1" applyAlignment="1">
      <alignment horizontal="center" vertical="center" wrapText="1"/>
    </xf>
    <xf numFmtId="0" fontId="43" fillId="26" borderId="18" xfId="0" applyFont="1" applyFill="1" applyBorder="1" applyAlignment="1">
      <alignment horizontal="center" vertical="center" wrapText="1"/>
    </xf>
    <xf numFmtId="0" fontId="43" fillId="26" borderId="11" xfId="0" applyFont="1" applyFill="1" applyBorder="1" applyAlignment="1">
      <alignment horizontal="justify" vertical="top" wrapText="1"/>
    </xf>
    <xf numFmtId="0" fontId="43" fillId="26" borderId="13" xfId="0" applyFont="1" applyFill="1" applyBorder="1" applyAlignment="1">
      <alignment horizontal="center" vertical="center" wrapText="1"/>
    </xf>
    <xf numFmtId="0" fontId="43" fillId="26" borderId="13" xfId="0" applyFont="1" applyFill="1" applyBorder="1" applyAlignment="1">
      <alignment vertical="center"/>
    </xf>
    <xf numFmtId="0" fontId="43" fillId="26" borderId="14" xfId="0" applyFont="1" applyFill="1" applyBorder="1" applyAlignment="1">
      <alignment vertical="center" wrapText="1"/>
    </xf>
    <xf numFmtId="0" fontId="43" fillId="26" borderId="13" xfId="0" applyFont="1" applyFill="1" applyBorder="1" applyAlignment="1">
      <alignment vertical="center" wrapText="1"/>
    </xf>
    <xf numFmtId="0" fontId="41" fillId="26" borderId="14" xfId="0" applyFont="1" applyFill="1" applyBorder="1" applyAlignment="1">
      <alignment vertical="center"/>
    </xf>
    <xf numFmtId="0" fontId="41" fillId="26" borderId="12" xfId="0" applyFont="1" applyFill="1" applyBorder="1" applyAlignment="1">
      <alignment vertical="center"/>
    </xf>
    <xf numFmtId="0" fontId="43" fillId="26" borderId="0" xfId="0" applyFont="1" applyFill="1" applyAlignment="1">
      <alignment horizontal="left" vertical="center"/>
    </xf>
    <xf numFmtId="0" fontId="41" fillId="26" borderId="0" xfId="0" applyFont="1" applyFill="1" applyAlignment="1">
      <alignment horizontal="left" vertical="center"/>
    </xf>
    <xf numFmtId="0" fontId="42" fillId="26" borderId="12" xfId="0" applyFont="1" applyFill="1" applyBorder="1" applyAlignment="1">
      <alignment horizontal="left" vertical="center" wrapText="1"/>
    </xf>
    <xf numFmtId="0" fontId="45" fillId="0" borderId="11" xfId="0" applyFont="1" applyFill="1" applyBorder="1" applyAlignment="1">
      <alignment horizontal="center" vertical="center"/>
    </xf>
    <xf numFmtId="0" fontId="45" fillId="0" borderId="12" xfId="0" applyFont="1" applyFill="1" applyBorder="1" applyAlignment="1">
      <alignment horizontal="center" vertical="center"/>
    </xf>
    <xf numFmtId="1" fontId="45" fillId="0" borderId="12" xfId="0" applyNumberFormat="1" applyFont="1" applyFill="1" applyBorder="1" applyAlignment="1">
      <alignment horizontal="center" vertical="center"/>
    </xf>
    <xf numFmtId="0" fontId="46" fillId="0" borderId="11" xfId="19" applyFont="1" applyFill="1" applyBorder="1" applyAlignment="1">
      <alignment horizontal="center" vertical="center"/>
    </xf>
    <xf numFmtId="0" fontId="45" fillId="0" borderId="11" xfId="0" applyFont="1" applyFill="1" applyBorder="1" applyAlignment="1">
      <alignment horizontal="center" vertical="center" wrapText="1"/>
    </xf>
    <xf numFmtId="0" fontId="45" fillId="0" borderId="11" xfId="0" applyNumberFormat="1" applyFont="1" applyFill="1" applyBorder="1" applyAlignment="1">
      <alignment horizontal="left" vertical="center"/>
    </xf>
    <xf numFmtId="0" fontId="45" fillId="0" borderId="11" xfId="47" applyNumberFormat="1" applyFont="1" applyFill="1" applyBorder="1" applyAlignment="1">
      <alignment horizontal="left" vertical="center"/>
    </xf>
    <xf numFmtId="0" fontId="45" fillId="0" borderId="11" xfId="9" applyFont="1" applyFill="1" applyBorder="1" applyAlignment="1">
      <alignment horizontal="center" vertical="center"/>
    </xf>
    <xf numFmtId="0" fontId="45" fillId="0" borderId="11" xfId="9" applyNumberFormat="1" applyFont="1" applyFill="1" applyBorder="1" applyAlignment="1">
      <alignment horizontal="left" vertical="center"/>
    </xf>
    <xf numFmtId="0" fontId="46" fillId="0" borderId="11" xfId="48" applyNumberFormat="1" applyFont="1" applyFill="1" applyBorder="1" applyAlignment="1">
      <alignment horizontal="left" vertical="center"/>
    </xf>
    <xf numFmtId="0" fontId="46" fillId="0" borderId="11" xfId="52" applyNumberFormat="1" applyFont="1" applyFill="1" applyBorder="1" applyAlignment="1">
      <alignment horizontal="center" vertical="center"/>
    </xf>
    <xf numFmtId="0" fontId="46" fillId="0" borderId="11" xfId="48" applyNumberFormat="1" applyFont="1" applyFill="1" applyBorder="1" applyAlignment="1">
      <alignment horizontal="center" vertical="center"/>
    </xf>
    <xf numFmtId="0" fontId="45" fillId="0" borderId="11" xfId="49" applyNumberFormat="1" applyFont="1" applyFill="1" applyBorder="1" applyAlignment="1">
      <alignment horizontal="left" vertical="center"/>
    </xf>
    <xf numFmtId="0" fontId="46" fillId="0" borderId="12" xfId="52" applyNumberFormat="1" applyFont="1" applyFill="1" applyBorder="1" applyAlignment="1">
      <alignment horizontal="center" vertical="center"/>
    </xf>
    <xf numFmtId="0" fontId="45" fillId="0" borderId="11" xfId="50" applyNumberFormat="1" applyFont="1" applyFill="1" applyBorder="1" applyAlignment="1">
      <alignment horizontal="left" vertical="center"/>
    </xf>
    <xf numFmtId="49" fontId="45" fillId="0" borderId="11" xfId="0" applyNumberFormat="1" applyFont="1" applyFill="1" applyBorder="1" applyAlignment="1">
      <alignment horizontal="center" vertical="center"/>
    </xf>
    <xf numFmtId="49" fontId="45" fillId="0" borderId="11" xfId="47" applyNumberFormat="1" applyFont="1" applyFill="1" applyBorder="1" applyAlignment="1">
      <alignment horizontal="center" vertical="center"/>
    </xf>
    <xf numFmtId="0" fontId="45" fillId="0" borderId="15" xfId="9" applyFont="1" applyFill="1" applyBorder="1" applyAlignment="1">
      <alignment horizontal="center" vertical="center"/>
    </xf>
    <xf numFmtId="49" fontId="47" fillId="0" borderId="11" xfId="0" applyNumberFormat="1" applyFont="1" applyFill="1" applyBorder="1" applyAlignment="1">
      <alignment horizontal="center" vertical="center"/>
    </xf>
    <xf numFmtId="0" fontId="45" fillId="0" borderId="11" xfId="51" applyNumberFormat="1" applyFont="1" applyFill="1" applyBorder="1" applyAlignment="1">
      <alignment horizontal="left" vertical="center"/>
    </xf>
    <xf numFmtId="0" fontId="45" fillId="0" borderId="11" xfId="48" applyNumberFormat="1" applyFont="1" applyFill="1" applyBorder="1" applyAlignment="1">
      <alignment horizontal="left" vertical="center"/>
    </xf>
    <xf numFmtId="0" fontId="47" fillId="0" borderId="11" xfId="48" applyNumberFormat="1" applyFont="1" applyFill="1" applyBorder="1" applyAlignment="1">
      <alignment horizontal="left" vertical="center"/>
    </xf>
    <xf numFmtId="0" fontId="47" fillId="0" borderId="11" xfId="47" applyNumberFormat="1" applyFont="1" applyFill="1" applyBorder="1" applyAlignment="1">
      <alignment horizontal="left" vertical="center"/>
    </xf>
    <xf numFmtId="49" fontId="47" fillId="0" borderId="11" xfId="48" applyNumberFormat="1" applyFont="1" applyFill="1" applyBorder="1" applyAlignment="1">
      <alignment horizontal="center" vertical="center"/>
    </xf>
    <xf numFmtId="49" fontId="47" fillId="0" borderId="11" xfId="53" applyNumberFormat="1" applyFont="1" applyFill="1" applyBorder="1" applyAlignment="1">
      <alignment horizontal="center"/>
    </xf>
    <xf numFmtId="0" fontId="47" fillId="0" borderId="11" xfId="0" applyNumberFormat="1" applyFont="1" applyFill="1" applyBorder="1" applyAlignment="1">
      <alignment horizontal="left" vertical="center"/>
    </xf>
    <xf numFmtId="49" fontId="47" fillId="0" borderId="15" xfId="0" applyNumberFormat="1" applyFont="1" applyFill="1" applyBorder="1" applyAlignment="1">
      <alignment horizontal="center" vertical="center"/>
    </xf>
    <xf numFmtId="49" fontId="47" fillId="0" borderId="11" xfId="58" applyNumberFormat="1" applyFont="1" applyFill="1" applyBorder="1" applyAlignment="1">
      <alignment horizontal="center"/>
    </xf>
    <xf numFmtId="49" fontId="47" fillId="0" borderId="11" xfId="59" applyNumberFormat="1" applyFont="1" applyFill="1" applyBorder="1" applyAlignment="1">
      <alignment horizontal="center"/>
    </xf>
    <xf numFmtId="0" fontId="45" fillId="0" borderId="11" xfId="9" applyFont="1" applyBorder="1" applyAlignment="1">
      <alignment horizontal="center" vertical="center"/>
    </xf>
    <xf numFmtId="0" fontId="45" fillId="0" borderId="15" xfId="47" applyNumberFormat="1" applyFont="1" applyFill="1" applyBorder="1" applyAlignment="1">
      <alignment horizontal="left" vertical="center"/>
    </xf>
    <xf numFmtId="0" fontId="47" fillId="0" borderId="15" xfId="0" applyNumberFormat="1" applyFont="1" applyFill="1" applyBorder="1" applyAlignment="1">
      <alignment horizontal="left" vertical="center"/>
    </xf>
    <xf numFmtId="177" fontId="47" fillId="0" borderId="15" xfId="0" applyNumberFormat="1" applyFont="1" applyFill="1" applyBorder="1" applyAlignment="1">
      <alignment horizontal="center" vertical="center"/>
    </xf>
    <xf numFmtId="177" fontId="47" fillId="0" borderId="11" xfId="0" applyNumberFormat="1" applyFont="1" applyFill="1" applyBorder="1" applyAlignment="1">
      <alignment horizontal="center" vertical="center"/>
    </xf>
    <xf numFmtId="0" fontId="45" fillId="0" borderId="11" xfId="61" applyFont="1" applyFill="1" applyBorder="1" applyAlignment="1">
      <alignment horizontal="center" vertical="center"/>
    </xf>
    <xf numFmtId="0" fontId="45" fillId="0" borderId="11" xfId="9" applyFont="1" applyBorder="1" applyAlignment="1">
      <alignment horizontal="left" vertical="center"/>
    </xf>
    <xf numFmtId="0" fontId="46" fillId="0" borderId="11" xfId="62" applyNumberFormat="1" applyFont="1" applyFill="1" applyBorder="1" applyAlignment="1">
      <alignment horizontal="left" vertical="center"/>
    </xf>
    <xf numFmtId="0" fontId="46" fillId="0" borderId="11" xfId="62" applyNumberFormat="1" applyFont="1" applyFill="1" applyBorder="1" applyAlignment="1">
      <alignment horizontal="center" vertical="center"/>
    </xf>
    <xf numFmtId="0" fontId="45" fillId="0" borderId="11" xfId="62" applyNumberFormat="1" applyFont="1" applyFill="1" applyBorder="1" applyAlignment="1">
      <alignment horizontal="center" vertical="center"/>
    </xf>
    <xf numFmtId="0" fontId="45" fillId="0" borderId="11" xfId="47" applyNumberFormat="1" applyFont="1" applyFill="1" applyBorder="1" applyAlignment="1" applyProtection="1">
      <alignment horizontal="center" vertical="center"/>
    </xf>
    <xf numFmtId="0" fontId="45" fillId="0" borderId="11" xfId="47" applyNumberFormat="1" applyFont="1" applyFill="1" applyBorder="1" applyAlignment="1" applyProtection="1">
      <alignment horizontal="left" vertical="center"/>
    </xf>
    <xf numFmtId="0" fontId="45" fillId="0" borderId="11" xfId="47" applyNumberFormat="1" applyFont="1" applyFill="1" applyBorder="1" applyAlignment="1" applyProtection="1">
      <alignment horizontal="center" vertical="center" wrapText="1"/>
    </xf>
    <xf numFmtId="0" fontId="45" fillId="0" borderId="11" xfId="0" applyNumberFormat="1" applyFont="1" applyFill="1" applyBorder="1" applyAlignment="1">
      <alignment horizontal="center" vertical="center"/>
    </xf>
    <xf numFmtId="49" fontId="45" fillId="0" borderId="11" xfId="47" applyNumberFormat="1" applyFont="1" applyFill="1" applyBorder="1" applyAlignment="1" applyProtection="1">
      <alignment horizontal="center" vertical="center"/>
    </xf>
    <xf numFmtId="0" fontId="45" fillId="0" borderId="11" xfId="9" applyFont="1" applyFill="1" applyBorder="1" applyAlignment="1">
      <alignment horizontal="left" vertical="center"/>
    </xf>
    <xf numFmtId="0" fontId="45" fillId="0" borderId="12" xfId="9" applyNumberFormat="1" applyFont="1" applyFill="1" applyBorder="1" applyAlignment="1" applyProtection="1">
      <alignment horizontal="left" vertical="center"/>
    </xf>
    <xf numFmtId="49" fontId="47" fillId="0" borderId="11" xfId="0" applyNumberFormat="1" applyFont="1" applyFill="1" applyBorder="1" applyAlignment="1" applyProtection="1">
      <alignment horizontal="center" vertical="center"/>
    </xf>
    <xf numFmtId="0" fontId="45" fillId="0" borderId="11" xfId="55" applyNumberFormat="1" applyFont="1" applyFill="1" applyBorder="1" applyAlignment="1" applyProtection="1">
      <alignment horizontal="center" vertical="center" wrapText="1"/>
    </xf>
    <xf numFmtId="0" fontId="45" fillId="0" borderId="11" xfId="55" applyNumberFormat="1" applyFont="1" applyFill="1" applyBorder="1" applyAlignment="1" applyProtection="1">
      <alignment horizontal="left" vertical="center" shrinkToFit="1"/>
    </xf>
    <xf numFmtId="0" fontId="47" fillId="0" borderId="11" xfId="0" applyNumberFormat="1" applyFont="1" applyFill="1" applyBorder="1" applyAlignment="1" applyProtection="1">
      <alignment horizontal="center" vertical="center"/>
    </xf>
    <xf numFmtId="0" fontId="45" fillId="24" borderId="11" xfId="9" applyNumberFormat="1" applyFont="1" applyFill="1" applyBorder="1" applyAlignment="1" applyProtection="1">
      <alignment horizontal="left" vertical="center"/>
    </xf>
    <xf numFmtId="0" fontId="45" fillId="24" borderId="11" xfId="55" applyNumberFormat="1" applyFont="1" applyFill="1" applyBorder="1" applyAlignment="1" applyProtection="1">
      <alignment horizontal="center" vertical="center"/>
    </xf>
    <xf numFmtId="0" fontId="45" fillId="26" borderId="11" xfId="55" applyNumberFormat="1" applyFont="1" applyFill="1" applyBorder="1" applyAlignment="1" applyProtection="1">
      <alignment horizontal="left" vertical="center" shrinkToFit="1"/>
    </xf>
    <xf numFmtId="0" fontId="45" fillId="0" borderId="11" xfId="9" applyNumberFormat="1" applyFont="1" applyFill="1" applyBorder="1" applyAlignment="1" applyProtection="1">
      <alignment horizontal="left" vertical="center"/>
    </xf>
    <xf numFmtId="0" fontId="45" fillId="0" borderId="15" xfId="9" applyNumberFormat="1" applyFont="1" applyFill="1" applyBorder="1" applyAlignment="1" applyProtection="1">
      <alignment horizontal="left" vertical="center"/>
    </xf>
    <xf numFmtId="0" fontId="45" fillId="24" borderId="11" xfId="21" applyNumberFormat="1" applyFont="1" applyFill="1" applyBorder="1" applyAlignment="1" applyProtection="1">
      <alignment horizontal="center" vertical="center"/>
    </xf>
    <xf numFmtId="0" fontId="45" fillId="24" borderId="11" xfId="64" applyNumberFormat="1" applyFont="1" applyFill="1" applyBorder="1" applyAlignment="1" applyProtection="1">
      <alignment horizontal="left" vertical="center"/>
    </xf>
    <xf numFmtId="0" fontId="45" fillId="24" borderId="15" xfId="9" applyNumberFormat="1" applyFont="1" applyFill="1" applyBorder="1" applyAlignment="1" applyProtection="1">
      <alignment horizontal="left" vertical="center"/>
    </xf>
    <xf numFmtId="0" fontId="45" fillId="25" borderId="11" xfId="47" applyNumberFormat="1" applyFont="1" applyFill="1" applyBorder="1" applyAlignment="1" applyProtection="1">
      <alignment horizontal="center" vertical="center"/>
    </xf>
    <xf numFmtId="0" fontId="45" fillId="0" borderId="11" xfId="64" applyNumberFormat="1" applyFont="1" applyBorder="1" applyAlignment="1" applyProtection="1">
      <alignment horizontal="left" vertical="center"/>
    </xf>
    <xf numFmtId="0" fontId="46" fillId="0" borderId="11" xfId="0" applyNumberFormat="1" applyFont="1" applyFill="1" applyBorder="1" applyAlignment="1" applyProtection="1">
      <alignment horizontal="center" vertical="center"/>
    </xf>
    <xf numFmtId="0" fontId="45" fillId="26" borderId="11" xfId="47" applyNumberFormat="1" applyFont="1" applyFill="1" applyBorder="1" applyAlignment="1" applyProtection="1">
      <alignment horizontal="center" vertical="center"/>
    </xf>
    <xf numFmtId="0" fontId="47" fillId="0" borderId="11" xfId="0" applyNumberFormat="1" applyFont="1" applyFill="1" applyBorder="1" applyAlignment="1" applyProtection="1">
      <alignment horizontal="left" vertical="center"/>
    </xf>
    <xf numFmtId="0" fontId="45" fillId="0" borderId="11" xfId="64" applyNumberFormat="1" applyFont="1" applyFill="1" applyBorder="1" applyAlignment="1" applyProtection="1">
      <alignment horizontal="left" vertical="center"/>
    </xf>
    <xf numFmtId="0" fontId="46" fillId="0" borderId="11" xfId="62" applyNumberFormat="1" applyFont="1" applyFill="1" applyBorder="1" applyAlignment="1" applyProtection="1">
      <alignment horizontal="center" vertical="center"/>
    </xf>
    <xf numFmtId="0" fontId="45" fillId="0" borderId="11" xfId="55" applyNumberFormat="1" applyFont="1" applyFill="1" applyBorder="1" applyAlignment="1" applyProtection="1">
      <alignment horizontal="left" vertical="center"/>
    </xf>
    <xf numFmtId="0" fontId="45" fillId="24" borderId="15" xfId="55" applyNumberFormat="1" applyFont="1" applyFill="1" applyBorder="1" applyAlignment="1" applyProtection="1">
      <alignment horizontal="center" vertical="center"/>
    </xf>
    <xf numFmtId="0" fontId="45" fillId="0" borderId="11" xfId="64" applyNumberFormat="1" applyFont="1" applyFill="1" applyBorder="1" applyAlignment="1" applyProtection="1">
      <alignment horizontal="center" vertical="center"/>
    </xf>
    <xf numFmtId="0" fontId="23" fillId="0" borderId="0" xfId="0" applyNumberFormat="1" applyFont="1" applyFill="1" applyBorder="1" applyAlignment="1">
      <alignment horizontal="left" vertical="center"/>
    </xf>
    <xf numFmtId="0" fontId="26" fillId="0" borderId="11" xfId="33" applyNumberFormat="1" applyFont="1" applyFill="1" applyBorder="1" applyAlignment="1">
      <alignment horizontal="left" vertical="center"/>
    </xf>
    <xf numFmtId="0" fontId="45" fillId="0" borderId="13" xfId="9" applyNumberFormat="1" applyFont="1" applyFill="1" applyBorder="1" applyAlignment="1">
      <alignment horizontal="left" vertical="center"/>
    </xf>
    <xf numFmtId="0" fontId="46" fillId="0" borderId="15" xfId="48" applyNumberFormat="1" applyFont="1" applyFill="1" applyBorder="1" applyAlignment="1">
      <alignment horizontal="left" vertical="center"/>
    </xf>
    <xf numFmtId="0" fontId="45" fillId="0" borderId="15" xfId="50" applyNumberFormat="1" applyFont="1" applyFill="1" applyBorder="1" applyAlignment="1">
      <alignment horizontal="left" vertical="center"/>
    </xf>
    <xf numFmtId="0" fontId="45" fillId="0" borderId="15" xfId="48" applyNumberFormat="1" applyFont="1" applyFill="1" applyBorder="1" applyAlignment="1">
      <alignment horizontal="left" vertical="center"/>
    </xf>
    <xf numFmtId="0" fontId="45" fillId="0" borderId="15" xfId="0" applyNumberFormat="1" applyFont="1" applyFill="1" applyBorder="1" applyAlignment="1">
      <alignment horizontal="left" vertical="center"/>
    </xf>
    <xf numFmtId="0" fontId="47" fillId="0" borderId="15" xfId="48" applyNumberFormat="1" applyFont="1" applyFill="1" applyBorder="1" applyAlignment="1">
      <alignment horizontal="left" vertical="center"/>
    </xf>
    <xf numFmtId="0" fontId="47" fillId="0" borderId="15" xfId="47" applyNumberFormat="1" applyFont="1" applyFill="1" applyBorder="1" applyAlignment="1">
      <alignment horizontal="left" vertical="center"/>
    </xf>
    <xf numFmtId="0" fontId="45" fillId="0" borderId="15" xfId="61" applyNumberFormat="1" applyFont="1" applyFill="1" applyBorder="1" applyAlignment="1">
      <alignment horizontal="left" vertical="center"/>
    </xf>
    <xf numFmtId="0" fontId="45" fillId="0" borderId="11" xfId="61" applyNumberFormat="1" applyFont="1" applyFill="1" applyBorder="1" applyAlignment="1">
      <alignment horizontal="left" vertical="center"/>
    </xf>
    <xf numFmtId="0" fontId="21" fillId="0" borderId="0" xfId="0" applyNumberFormat="1" applyFont="1" applyFill="1" applyBorder="1" applyAlignment="1">
      <alignment horizontal="left" vertical="center"/>
    </xf>
    <xf numFmtId="0" fontId="25" fillId="0" borderId="0" xfId="0" applyFont="1" applyFill="1" applyAlignment="1">
      <alignment horizontal="center" vertical="center"/>
    </xf>
    <xf numFmtId="0" fontId="45" fillId="0" borderId="11" xfId="60" applyFont="1" applyFill="1" applyBorder="1" applyAlignment="1">
      <alignment horizontal="center" vertical="center"/>
    </xf>
    <xf numFmtId="0" fontId="45" fillId="0" borderId="12" xfId="9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right" vertical="center"/>
    </xf>
    <xf numFmtId="0" fontId="1" fillId="0" borderId="11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right" vertical="center"/>
    </xf>
    <xf numFmtId="0" fontId="23" fillId="0" borderId="11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45" fillId="0" borderId="12" xfId="9" applyFont="1" applyBorder="1" applyAlignment="1">
      <alignment horizontal="center" vertical="center"/>
    </xf>
    <xf numFmtId="0" fontId="45" fillId="0" borderId="12" xfId="9" applyFont="1" applyBorder="1" applyAlignment="1">
      <alignment horizontal="left" vertical="center"/>
    </xf>
    <xf numFmtId="0" fontId="45" fillId="0" borderId="12" xfId="47" applyNumberFormat="1" applyFont="1" applyFill="1" applyBorder="1" applyAlignment="1" applyProtection="1">
      <alignment horizontal="left" vertical="center"/>
    </xf>
    <xf numFmtId="0" fontId="45" fillId="0" borderId="12" xfId="9" applyFont="1" applyFill="1" applyBorder="1" applyAlignment="1">
      <alignment horizontal="left" vertical="center"/>
    </xf>
    <xf numFmtId="0" fontId="45" fillId="0" borderId="12" xfId="55" applyNumberFormat="1" applyFont="1" applyFill="1" applyBorder="1" applyAlignment="1" applyProtection="1">
      <alignment horizontal="left" vertical="center" shrinkToFit="1"/>
    </xf>
    <xf numFmtId="0" fontId="45" fillId="26" borderId="12" xfId="55" applyNumberFormat="1" applyFont="1" applyFill="1" applyBorder="1" applyAlignment="1" applyProtection="1">
      <alignment horizontal="left" vertical="center" shrinkToFit="1"/>
    </xf>
    <xf numFmtId="0" fontId="45" fillId="24" borderId="12" xfId="64" applyNumberFormat="1" applyFont="1" applyFill="1" applyBorder="1" applyAlignment="1" applyProtection="1">
      <alignment horizontal="left" vertical="center"/>
    </xf>
    <xf numFmtId="0" fontId="45" fillId="0" borderId="12" xfId="64" applyNumberFormat="1" applyFont="1" applyBorder="1" applyAlignment="1" applyProtection="1">
      <alignment horizontal="left" vertical="center"/>
    </xf>
    <xf numFmtId="0" fontId="45" fillId="0" borderId="12" xfId="64" applyNumberFormat="1" applyFont="1" applyFill="1" applyBorder="1" applyAlignment="1" applyProtection="1">
      <alignment horizontal="left" vertical="center"/>
    </xf>
    <xf numFmtId="0" fontId="45" fillId="0" borderId="11" xfId="9" applyFont="1" applyFill="1" applyBorder="1" applyAlignment="1">
      <alignment horizontal="center" vertical="center" wrapText="1"/>
    </xf>
    <xf numFmtId="0" fontId="45" fillId="0" borderId="11" xfId="36" applyFont="1" applyFill="1" applyBorder="1" applyAlignment="1">
      <alignment horizontal="center" vertical="center" wrapText="1"/>
    </xf>
    <xf numFmtId="0" fontId="45" fillId="0" borderId="11" xfId="21" applyFont="1" applyFill="1" applyBorder="1" applyAlignment="1">
      <alignment horizontal="center" vertical="center" wrapText="1"/>
    </xf>
    <xf numFmtId="0" fontId="45" fillId="0" borderId="11" xfId="9" applyFont="1" applyFill="1" applyBorder="1" applyAlignment="1" applyProtection="1">
      <alignment horizontal="center" vertical="center" wrapText="1"/>
      <protection locked="0"/>
    </xf>
    <xf numFmtId="0" fontId="46" fillId="0" borderId="11" xfId="54" applyNumberFormat="1" applyFont="1" applyFill="1" applyBorder="1" applyAlignment="1">
      <alignment horizontal="center" vertical="top"/>
    </xf>
    <xf numFmtId="0" fontId="46" fillId="0" borderId="11" xfId="54" applyNumberFormat="1" applyFont="1" applyFill="1" applyBorder="1" applyAlignment="1">
      <alignment horizontal="center" vertical="center"/>
    </xf>
    <xf numFmtId="0" fontId="46" fillId="0" borderId="15" xfId="54" applyNumberFormat="1" applyFont="1" applyFill="1" applyBorder="1" applyAlignment="1">
      <alignment horizontal="center" vertical="center"/>
    </xf>
    <xf numFmtId="0" fontId="45" fillId="0" borderId="15" xfId="9" applyFont="1" applyFill="1" applyBorder="1" applyAlignment="1">
      <alignment horizontal="center" vertical="center" wrapText="1"/>
    </xf>
    <xf numFmtId="0" fontId="47" fillId="0" borderId="15" xfId="0" applyNumberFormat="1" applyFont="1" applyFill="1" applyBorder="1" applyAlignment="1">
      <alignment horizontal="center" vertical="center"/>
    </xf>
    <xf numFmtId="49" fontId="45" fillId="0" borderId="15" xfId="0" applyNumberFormat="1" applyFont="1" applyFill="1" applyBorder="1" applyAlignment="1">
      <alignment horizontal="center" vertical="center"/>
    </xf>
    <xf numFmtId="0" fontId="47" fillId="0" borderId="11" xfId="0" applyNumberFormat="1" applyFont="1" applyFill="1" applyBorder="1" applyAlignment="1">
      <alignment horizontal="center" vertical="center"/>
    </xf>
    <xf numFmtId="49" fontId="47" fillId="0" borderId="16" xfId="0" applyNumberFormat="1" applyFont="1" applyFill="1" applyBorder="1" applyAlignment="1">
      <alignment horizontal="center" vertical="center"/>
    </xf>
    <xf numFmtId="0" fontId="47" fillId="0" borderId="11" xfId="0" applyFont="1" applyFill="1" applyBorder="1" applyAlignment="1">
      <alignment horizontal="center" vertical="center"/>
    </xf>
    <xf numFmtId="0" fontId="47" fillId="0" borderId="15" xfId="0" applyFont="1" applyFill="1" applyBorder="1" applyAlignment="1">
      <alignment horizontal="center" vertical="center"/>
    </xf>
    <xf numFmtId="49" fontId="47" fillId="0" borderId="11" xfId="0" applyNumberFormat="1" applyFont="1" applyFill="1" applyBorder="1" applyAlignment="1">
      <alignment horizontal="center" vertical="center" wrapText="1"/>
    </xf>
    <xf numFmtId="0" fontId="45" fillId="0" borderId="11" xfId="63" applyFont="1" applyFill="1" applyBorder="1" applyAlignment="1">
      <alignment horizontal="center" vertical="center" wrapText="1"/>
    </xf>
    <xf numFmtId="0" fontId="46" fillId="0" borderId="11" xfId="62" applyNumberFormat="1" applyFont="1" applyFill="1" applyBorder="1" applyAlignment="1">
      <alignment horizontal="center" vertical="center" wrapText="1"/>
    </xf>
    <xf numFmtId="0" fontId="45" fillId="0" borderId="11" xfId="0" applyFont="1" applyFill="1" applyBorder="1" applyAlignment="1">
      <alignment horizontal="center"/>
    </xf>
    <xf numFmtId="49" fontId="45" fillId="0" borderId="11" xfId="0" applyNumberFormat="1" applyFont="1" applyFill="1" applyBorder="1" applyAlignment="1">
      <alignment horizontal="center"/>
    </xf>
    <xf numFmtId="0" fontId="47" fillId="0" borderId="11" xfId="0" applyNumberFormat="1" applyFont="1" applyBorder="1" applyAlignment="1">
      <alignment horizontal="center" vertical="center"/>
    </xf>
    <xf numFmtId="0" fontId="46" fillId="0" borderId="11" xfId="0" applyNumberFormat="1" applyFont="1" applyBorder="1" applyAlignment="1">
      <alignment horizontal="center" vertical="center"/>
    </xf>
    <xf numFmtId="0" fontId="45" fillId="0" borderId="11" xfId="9" applyNumberFormat="1" applyFont="1" applyFill="1" applyBorder="1" applyAlignment="1" applyProtection="1">
      <alignment horizontal="center" vertical="center" wrapText="1"/>
    </xf>
    <xf numFmtId="0" fontId="45" fillId="0" borderId="11" xfId="36" applyNumberFormat="1" applyFont="1" applyFill="1" applyBorder="1" applyAlignment="1" applyProtection="1">
      <alignment horizontal="center" vertical="center" wrapText="1"/>
    </xf>
    <xf numFmtId="0" fontId="45" fillId="0" borderId="11" xfId="9" applyNumberFormat="1" applyFont="1" applyFill="1" applyBorder="1" applyAlignment="1" applyProtection="1">
      <alignment horizontal="center" vertical="center"/>
    </xf>
    <xf numFmtId="0" fontId="45" fillId="0" borderId="12" xfId="9" applyNumberFormat="1" applyFont="1" applyFill="1" applyBorder="1" applyAlignment="1" applyProtection="1">
      <alignment horizontal="center" vertical="center"/>
    </xf>
    <xf numFmtId="0" fontId="45" fillId="0" borderId="11" xfId="0" applyNumberFormat="1" applyFont="1" applyFill="1" applyBorder="1" applyAlignment="1" applyProtection="1">
      <alignment horizontal="center"/>
    </xf>
    <xf numFmtId="49" fontId="45" fillId="0" borderId="11" xfId="0" applyNumberFormat="1" applyFont="1" applyFill="1" applyBorder="1" applyAlignment="1" applyProtection="1">
      <alignment horizontal="center"/>
    </xf>
    <xf numFmtId="0" fontId="45" fillId="0" borderId="11" xfId="55" applyNumberFormat="1" applyFont="1" applyFill="1" applyBorder="1" applyAlignment="1" applyProtection="1">
      <alignment horizontal="center"/>
    </xf>
    <xf numFmtId="0" fontId="45" fillId="0" borderId="11" xfId="55" applyNumberFormat="1" applyFont="1" applyFill="1" applyBorder="1" applyAlignment="1" applyProtection="1">
      <alignment horizontal="center" vertical="center"/>
    </xf>
    <xf numFmtId="0" fontId="45" fillId="0" borderId="11" xfId="64" applyNumberFormat="1" applyFont="1" applyFill="1" applyBorder="1" applyAlignment="1" applyProtection="1">
      <alignment horizontal="center" vertical="center" wrapText="1"/>
    </xf>
    <xf numFmtId="0" fontId="21" fillId="0" borderId="11" xfId="0" applyFont="1" applyFill="1" applyBorder="1" applyAlignment="1">
      <alignment vertical="center"/>
    </xf>
    <xf numFmtId="0" fontId="21" fillId="0" borderId="11" xfId="0" applyFont="1" applyBorder="1" applyAlignment="1">
      <alignment vertical="center"/>
    </xf>
    <xf numFmtId="0" fontId="23" fillId="26" borderId="11" xfId="0" applyFont="1" applyFill="1" applyBorder="1" applyAlignment="1">
      <alignment horizontal="center" vertical="center"/>
    </xf>
    <xf numFmtId="22" fontId="21" fillId="0" borderId="11" xfId="0" applyNumberFormat="1" applyFont="1" applyFill="1" applyBorder="1" applyAlignment="1">
      <alignment vertical="center"/>
    </xf>
    <xf numFmtId="0" fontId="49" fillId="0" borderId="0" xfId="0" applyFont="1" applyFill="1" applyAlignment="1">
      <alignment vertical="center"/>
    </xf>
    <xf numFmtId="0" fontId="28" fillId="0" borderId="0" xfId="0" applyFont="1" applyFill="1" applyBorder="1" applyAlignment="1">
      <alignment horizontal="center" vertical="center" wrapText="1"/>
    </xf>
    <xf numFmtId="0" fontId="43" fillId="26" borderId="13" xfId="0" applyFont="1" applyFill="1" applyBorder="1" applyAlignment="1">
      <alignment horizontal="center" vertical="center" wrapText="1"/>
    </xf>
    <xf numFmtId="0" fontId="43" fillId="26" borderId="14" xfId="0" applyFont="1" applyFill="1" applyBorder="1" applyAlignment="1">
      <alignment horizontal="center" vertical="center" wrapText="1"/>
    </xf>
    <xf numFmtId="0" fontId="43" fillId="26" borderId="12" xfId="0" applyFont="1" applyFill="1" applyBorder="1" applyAlignment="1">
      <alignment horizontal="center" vertical="center" wrapText="1"/>
    </xf>
    <xf numFmtId="0" fontId="43" fillId="26" borderId="19" xfId="0" applyFont="1" applyFill="1" applyBorder="1" applyAlignment="1">
      <alignment horizontal="center" vertical="center" wrapText="1"/>
    </xf>
    <xf numFmtId="0" fontId="43" fillId="26" borderId="17" xfId="0" applyFont="1" applyFill="1" applyBorder="1" applyAlignment="1">
      <alignment horizontal="center" vertical="center" wrapText="1"/>
    </xf>
    <xf numFmtId="0" fontId="43" fillId="26" borderId="20" xfId="0" applyFont="1" applyFill="1" applyBorder="1" applyAlignment="1">
      <alignment horizontal="center" vertical="center" wrapText="1"/>
    </xf>
    <xf numFmtId="0" fontId="44" fillId="26" borderId="17" xfId="0" applyFont="1" applyFill="1" applyBorder="1" applyAlignment="1">
      <alignment horizontal="center" vertical="center"/>
    </xf>
    <xf numFmtId="0" fontId="42" fillId="26" borderId="13" xfId="0" applyFont="1" applyFill="1" applyBorder="1" applyAlignment="1">
      <alignment horizontal="left" vertical="center" wrapText="1"/>
    </xf>
    <xf numFmtId="0" fontId="42" fillId="26" borderId="14" xfId="0" applyFont="1" applyFill="1" applyBorder="1" applyAlignment="1">
      <alignment horizontal="left" vertical="center" wrapText="1"/>
    </xf>
    <xf numFmtId="0" fontId="42" fillId="26" borderId="11" xfId="0" applyFont="1" applyFill="1" applyBorder="1" applyAlignment="1">
      <alignment horizontal="left" vertical="center" wrapText="1"/>
    </xf>
    <xf numFmtId="0" fontId="42" fillId="26" borderId="12" xfId="0" applyFont="1" applyFill="1" applyBorder="1" applyAlignment="1">
      <alignment horizontal="left" vertical="center" wrapText="1"/>
    </xf>
    <xf numFmtId="0" fontId="43" fillId="26" borderId="13" xfId="0" applyFont="1" applyFill="1" applyBorder="1" applyAlignment="1">
      <alignment horizontal="left" vertical="center" wrapText="1"/>
    </xf>
    <xf numFmtId="0" fontId="43" fillId="26" borderId="14" xfId="0" applyFont="1" applyFill="1" applyBorder="1" applyAlignment="1">
      <alignment horizontal="left" vertical="center" wrapText="1"/>
    </xf>
    <xf numFmtId="0" fontId="43" fillId="26" borderId="12" xfId="0" applyFont="1" applyFill="1" applyBorder="1" applyAlignment="1">
      <alignment horizontal="left" vertical="center" wrapText="1"/>
    </xf>
    <xf numFmtId="0" fontId="43" fillId="26" borderId="15" xfId="0" applyFont="1" applyFill="1" applyBorder="1" applyAlignment="1">
      <alignment horizontal="center" vertical="center" wrapText="1"/>
    </xf>
    <xf numFmtId="0" fontId="43" fillId="26" borderId="16" xfId="0" applyFont="1" applyFill="1" applyBorder="1" applyAlignment="1">
      <alignment horizontal="center" vertical="center" wrapText="1"/>
    </xf>
    <xf numFmtId="0" fontId="43" fillId="26" borderId="18" xfId="0" applyFont="1" applyFill="1" applyBorder="1" applyAlignment="1">
      <alignment horizontal="center" vertical="center" wrapText="1"/>
    </xf>
  </cellXfs>
  <cellStyles count="66">
    <cellStyle name="20% - Accent1" xfId="4" builtinId="30" customBuiltin="1"/>
    <cellStyle name="20% - Accent2" xfId="2" builtinId="34" customBuiltin="1"/>
    <cellStyle name="20% - Accent3" xfId="6" builtinId="38" customBuiltin="1"/>
    <cellStyle name="20% - Accent4" xfId="7" builtinId="42" customBuiltin="1"/>
    <cellStyle name="20% - Accent5" xfId="10" builtinId="46" customBuiltin="1"/>
    <cellStyle name="20% - Accent6" xfId="13" builtinId="50" customBuiltin="1"/>
    <cellStyle name="40% - Accent1" xfId="14" builtinId="31" customBuiltin="1"/>
    <cellStyle name="40% - Accent2" xfId="15" builtinId="35" customBuiltin="1"/>
    <cellStyle name="40% - Accent3" xfId="17" builtinId="39" customBuiltin="1"/>
    <cellStyle name="40% - Accent4" xfId="18" builtinId="43" customBuiltin="1"/>
    <cellStyle name="40% - Accent5" xfId="20" builtinId="47" customBuiltin="1"/>
    <cellStyle name="40% - Accent6" xfId="22" builtinId="51" customBuiltin="1"/>
    <cellStyle name="60% - Accent1" xfId="24" builtinId="32" customBuiltin="1"/>
    <cellStyle name="60% - Accent2" xfId="27" builtinId="36" customBuiltin="1"/>
    <cellStyle name="60% - Accent3" xfId="28" builtinId="40" customBuiltin="1"/>
    <cellStyle name="60% - Accent4" xfId="30" builtinId="44" customBuiltin="1"/>
    <cellStyle name="60% - Accent5" xfId="31" builtinId="48" customBuiltin="1"/>
    <cellStyle name="60% - Accent6" xfId="32" builtinId="52" customBuiltin="1"/>
    <cellStyle name="Accent1" xfId="8" builtinId="29" customBuiltin="1"/>
    <cellStyle name="Accent2" xfId="11" builtinId="33" customBuiltin="1"/>
    <cellStyle name="Accent3" xfId="42" builtinId="37" customBuiltin="1"/>
    <cellStyle name="Accent4" xfId="1" builtinId="41" customBuiltin="1"/>
    <cellStyle name="Accent5" xfId="43" builtinId="45" customBuiltin="1"/>
    <cellStyle name="Accent6" xfId="44" builtinId="49" customBuiltin="1"/>
    <cellStyle name="Bad" xfId="16" builtinId="27" customBuiltin="1"/>
    <cellStyle name="Calculation" xfId="39" builtinId="22" customBuiltin="1"/>
    <cellStyle name="Check Cell" xfId="40" builtinId="23" customBuiltin="1"/>
    <cellStyle name="Explanatory Text" xfId="41" builtinId="53" customBuiltin="1"/>
    <cellStyle name="Good" xfId="37" builtinId="26" customBuiltin="1"/>
    <cellStyle name="Heading 1" xfId="34" builtinId="16" customBuiltin="1"/>
    <cellStyle name="Heading 2" xfId="35" builtinId="17" customBuiltin="1"/>
    <cellStyle name="Heading 3" xfId="23" builtinId="18" customBuiltin="1"/>
    <cellStyle name="Heading 4" xfId="26" builtinId="19" customBuiltin="1"/>
    <cellStyle name="Input" xfId="5" builtinId="20" customBuiltin="1"/>
    <cellStyle name="l]_x000d__x000a_Path=h:_x000d__x000a_Name=Diana Chang_x000d__x000a_DDEApps=nsf,nsg,nsh,ntf,ns2,ors,org_x000d__x000a_SmartIcons=Read Message_x000d__x000a__x000d__x000a__x000d__x000a_[cc:Edit 2" xfId="47"/>
    <cellStyle name="l]_x000d__x000a_Path=h:_x000d__x000a_Name=Diana Chang_x000d__x000a_DDEApps=nsf,nsg,nsh,ntf,ns2,ors,org_x000d__x000a_SmartIcons=Read Message_x000d__x000a__x000d__x000a__x000d__x000a_[cc:Edit 3" xfId="51"/>
    <cellStyle name="l]_x005f_x000d__x000a_Path=h:_x005f_x000d__x000a_Name=Diana Chang_x005f_x000d__x000a_DDEApps=nsf,nsg,nsh,ntf,ns2,ors,org_x005f_x000d__x000a_SmartIcons=Read Message_x005f_x000d__x000a__x005f_x000d__x000a__x005f_x000d__x000a_[cc:Edit" xfId="50"/>
    <cellStyle name="Linked Cell" xfId="12" builtinId="24" customBuiltin="1"/>
    <cellStyle name="Neutral" xfId="45" builtinId="28" customBuiltin="1"/>
    <cellStyle name="Normal" xfId="0" builtinId="0"/>
    <cellStyle name="Normal 14" xfId="58"/>
    <cellStyle name="Normal 17" xfId="57"/>
    <cellStyle name="Normal 2" xfId="48"/>
    <cellStyle name="Normal 3" xfId="63"/>
    <cellStyle name="Normal 5" xfId="62"/>
    <cellStyle name="Normal 7" xfId="59"/>
    <cellStyle name="Normal 8" xfId="53"/>
    <cellStyle name="Normal_NEE database_2011year(Rate).以此份为准" xfId="60"/>
    <cellStyle name="Normal_Tree Structure" xfId="33"/>
    <cellStyle name="Normal_合同清单_2011 12 19 2 2" xfId="9"/>
    <cellStyle name="Normal_合同清单_2011 12 19 2 2 2" xfId="64"/>
    <cellStyle name="Normal_注塑機台資料" xfId="19"/>
    <cellStyle name="Note" xfId="46" builtinId="10" customBuiltin="1"/>
    <cellStyle name="Output" xfId="29" builtinId="21" customBuiltin="1"/>
    <cellStyle name="Style 1" xfId="65"/>
    <cellStyle name="Title" xfId="3" builtinId="15" customBuiltin="1"/>
    <cellStyle name="Total" xfId="38" builtinId="25" customBuiltin="1"/>
    <cellStyle name="Warning Text" xfId="25" builtinId="11" customBuiltin="1"/>
    <cellStyle name="差 15 2" xfId="56"/>
    <cellStyle name="常规 11" xfId="36"/>
    <cellStyle name="常规 11 18 2" xfId="21"/>
    <cellStyle name="常规 12" xfId="55"/>
    <cellStyle name="常规_SEMC塑胶模具台帐" xfId="49"/>
    <cellStyle name="常规_SEMC塑胶模具台帐_1" xfId="52"/>
    <cellStyle name="常规_SEMC塑胶模具台帐_2" xfId="54"/>
    <cellStyle name="常规_Sheet1" xfId="61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0</xdr:row>
      <xdr:rowOff>76201</xdr:rowOff>
    </xdr:from>
    <xdr:to>
      <xdr:col>2</xdr:col>
      <xdr:colOff>590550</xdr:colOff>
      <xdr:row>0</xdr:row>
      <xdr:rowOff>542925</xdr:rowOff>
    </xdr:to>
    <xdr:pic>
      <xdr:nvPicPr>
        <xdr:cNvPr id="3" name="Picture 3" descr="Logo_SE_White_A4"/>
        <xdr:cNvPicPr>
          <a:picLocks noRot="1"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76201"/>
          <a:ext cx="1419224" cy="4667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Home\Working%20File\TPM\training\Corim%20Database\Tree%20Structur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roup"/>
      <sheetName val="Parameter"/>
      <sheetName val="Address Type Root"/>
      <sheetName val="Equipment Group1"/>
      <sheetName val="Equipment Group2"/>
      <sheetName val="Equipment Group3"/>
      <sheetName val="Equipment"/>
      <sheetName val="Repairable parts"/>
      <sheetName val="Equipment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F42504"/>
  <sheetViews>
    <sheetView tabSelected="1" zoomScale="91" zoomScaleNormal="91" workbookViewId="0">
      <pane xSplit="3" ySplit="4" topLeftCell="D5" activePane="bottomRight" state="frozen"/>
      <selection pane="topRight" activeCell="D1" sqref="D1"/>
      <selection pane="bottomLeft" activeCell="A4" sqref="A4"/>
      <selection pane="bottomRight" activeCell="I6" sqref="I6"/>
    </sheetView>
  </sheetViews>
  <sheetFormatPr defaultRowHeight="15" customHeight="1" outlineLevelCol="1"/>
  <cols>
    <col min="1" max="1" width="5.42578125" style="3" bestFit="1" customWidth="1"/>
    <col min="2" max="2" width="18.42578125" style="114" customWidth="1"/>
    <col min="3" max="3" width="16.7109375" style="9" customWidth="1"/>
    <col min="4" max="4" width="36.140625" style="9" customWidth="1" outlineLevel="1"/>
    <col min="5" max="5" width="8.5703125" style="9" customWidth="1" outlineLevel="1"/>
    <col min="6" max="6" width="10.42578125" style="9" customWidth="1" outlineLevel="1"/>
    <col min="7" max="7" width="13.140625" style="3" customWidth="1" outlineLevel="1"/>
    <col min="8" max="8" width="11.28515625" style="3" customWidth="1" outlineLevel="1"/>
    <col min="9" max="21" width="13" style="4" customWidth="1"/>
    <col min="22" max="22" width="10" style="4" customWidth="1"/>
    <col min="23" max="23" width="19.5703125" style="4" customWidth="1"/>
    <col min="24" max="24" width="8" style="3" customWidth="1"/>
    <col min="25" max="25" width="9.7109375" style="3" customWidth="1"/>
    <col min="26" max="26" width="5" style="3" customWidth="1" outlineLevel="1"/>
    <col min="27" max="27" width="9.140625" style="8"/>
    <col min="28" max="28" width="18.42578125" style="8" customWidth="1"/>
    <col min="29" max="29" width="9.140625" style="8"/>
    <col min="30" max="30" width="15.140625" style="8" customWidth="1"/>
    <col min="31" max="31" width="16.42578125" style="8" customWidth="1"/>
    <col min="32" max="16384" width="9.140625" style="8"/>
  </cols>
  <sheetData>
    <row r="1" spans="1:58" s="7" customFormat="1" ht="32.25" customHeight="1">
      <c r="A1" s="115"/>
      <c r="B1" s="103" t="s">
        <v>43</v>
      </c>
      <c r="C1" s="12"/>
      <c r="D1" s="12"/>
      <c r="E1" s="5"/>
      <c r="F1" s="12"/>
      <c r="G1" s="1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168"/>
      <c r="Y1" s="168"/>
      <c r="Z1" s="118"/>
      <c r="AA1" s="123"/>
    </row>
    <row r="2" spans="1:58" s="7" customFormat="1" ht="32.25" customHeight="1">
      <c r="A2" s="115"/>
      <c r="B2" s="103"/>
      <c r="C2" s="12"/>
      <c r="D2" s="12"/>
      <c r="E2" s="121" t="s">
        <v>45</v>
      </c>
      <c r="F2" s="122">
        <v>3</v>
      </c>
      <c r="G2" s="165"/>
      <c r="H2" s="12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6"/>
      <c r="W2" s="6"/>
      <c r="X2" s="118"/>
      <c r="Y2" s="118"/>
      <c r="Z2" s="118"/>
    </row>
    <row r="3" spans="1:58" s="11" customFormat="1" ht="21.75" customHeight="1">
      <c r="A3" s="11">
        <v>1</v>
      </c>
      <c r="B3" s="11">
        <v>2</v>
      </c>
      <c r="C3" s="11">
        <v>3</v>
      </c>
      <c r="D3" s="11">
        <v>4</v>
      </c>
      <c r="E3" s="11">
        <v>5</v>
      </c>
      <c r="F3" s="11">
        <v>6</v>
      </c>
      <c r="G3" s="11">
        <v>7</v>
      </c>
      <c r="H3" s="11">
        <v>8</v>
      </c>
      <c r="I3" s="11">
        <v>9</v>
      </c>
      <c r="J3" s="11">
        <v>10</v>
      </c>
      <c r="K3" s="11">
        <v>11</v>
      </c>
      <c r="L3" s="11">
        <v>12</v>
      </c>
      <c r="M3" s="11">
        <v>13</v>
      </c>
      <c r="N3" s="11">
        <v>14</v>
      </c>
      <c r="O3" s="11">
        <v>15</v>
      </c>
      <c r="P3" s="11">
        <v>16</v>
      </c>
      <c r="Q3" s="11">
        <v>17</v>
      </c>
      <c r="R3" s="11">
        <v>18</v>
      </c>
      <c r="S3" s="11">
        <v>19</v>
      </c>
      <c r="T3" s="11">
        <v>20</v>
      </c>
      <c r="U3" s="11">
        <v>21</v>
      </c>
      <c r="V3" s="11">
        <v>22</v>
      </c>
      <c r="W3" s="11">
        <v>23</v>
      </c>
      <c r="X3" s="11">
        <v>24</v>
      </c>
      <c r="Y3" s="11">
        <v>25</v>
      </c>
      <c r="Z3" s="11">
        <v>26</v>
      </c>
      <c r="AA3" s="11">
        <v>27</v>
      </c>
      <c r="AB3" s="11">
        <v>28</v>
      </c>
      <c r="AC3" s="11">
        <v>29</v>
      </c>
      <c r="AD3" s="11">
        <v>30</v>
      </c>
      <c r="AE3" s="11">
        <v>31</v>
      </c>
      <c r="AF3" s="11">
        <v>32</v>
      </c>
      <c r="AG3" s="11">
        <v>33</v>
      </c>
      <c r="AH3" s="11">
        <v>34</v>
      </c>
      <c r="AI3" s="11">
        <v>35</v>
      </c>
      <c r="AJ3" s="11">
        <v>36</v>
      </c>
      <c r="AK3" s="11">
        <v>37</v>
      </c>
      <c r="AL3" s="11">
        <v>38</v>
      </c>
      <c r="AM3" s="11">
        <v>39</v>
      </c>
      <c r="AN3" s="11">
        <v>40</v>
      </c>
      <c r="AO3" s="11">
        <v>41</v>
      </c>
      <c r="AP3" s="11">
        <v>42</v>
      </c>
      <c r="AQ3" s="11">
        <v>43</v>
      </c>
      <c r="AR3" s="11">
        <v>44</v>
      </c>
      <c r="AS3" s="11">
        <v>45</v>
      </c>
      <c r="AT3" s="11">
        <v>46</v>
      </c>
      <c r="AU3" s="11">
        <v>47</v>
      </c>
      <c r="AV3" s="11">
        <v>48</v>
      </c>
      <c r="AW3" s="11">
        <v>49</v>
      </c>
      <c r="AX3" s="11">
        <v>50</v>
      </c>
      <c r="AY3" s="11">
        <v>51</v>
      </c>
      <c r="AZ3" s="11">
        <v>52</v>
      </c>
      <c r="BA3" s="11">
        <v>53</v>
      </c>
      <c r="BB3" s="11">
        <v>54</v>
      </c>
      <c r="BC3" s="11">
        <v>55</v>
      </c>
      <c r="BD3" s="11">
        <v>56</v>
      </c>
    </row>
    <row r="4" spans="1:58" s="11" customFormat="1" ht="44.25" customHeight="1">
      <c r="A4" s="21" t="s">
        <v>5</v>
      </c>
      <c r="B4" s="104" t="s">
        <v>0</v>
      </c>
      <c r="C4" s="13" t="s">
        <v>3</v>
      </c>
      <c r="D4" s="13" t="s">
        <v>1</v>
      </c>
      <c r="E4" s="14" t="s">
        <v>4</v>
      </c>
      <c r="F4" s="14" t="s">
        <v>44</v>
      </c>
      <c r="G4" s="14" t="s">
        <v>6</v>
      </c>
      <c r="H4" s="14" t="s">
        <v>47</v>
      </c>
      <c r="I4" s="14" t="s">
        <v>1488</v>
      </c>
      <c r="J4" s="14" t="s">
        <v>1489</v>
      </c>
      <c r="K4" s="14" t="s">
        <v>1490</v>
      </c>
      <c r="L4" s="14" t="s">
        <v>1491</v>
      </c>
      <c r="M4" s="14" t="s">
        <v>1492</v>
      </c>
      <c r="N4" s="14" t="s">
        <v>1493</v>
      </c>
      <c r="O4" s="14" t="s">
        <v>1494</v>
      </c>
      <c r="P4" s="14" t="s">
        <v>1495</v>
      </c>
      <c r="Q4" s="14" t="s">
        <v>1496</v>
      </c>
      <c r="R4" s="14" t="s">
        <v>1497</v>
      </c>
      <c r="S4" s="14" t="s">
        <v>1498</v>
      </c>
      <c r="T4" s="14" t="s">
        <v>1499</v>
      </c>
      <c r="U4" s="14" t="s">
        <v>1500</v>
      </c>
      <c r="V4" s="14" t="s">
        <v>49</v>
      </c>
      <c r="W4" s="14" t="s">
        <v>48</v>
      </c>
      <c r="X4" s="14" t="s">
        <v>2</v>
      </c>
      <c r="Y4" s="14" t="s">
        <v>7</v>
      </c>
      <c r="Z4" s="15" t="s">
        <v>8</v>
      </c>
      <c r="AA4" s="120" t="s">
        <v>46</v>
      </c>
      <c r="AB4" s="120" t="s">
        <v>46</v>
      </c>
      <c r="AC4" s="120" t="s">
        <v>46</v>
      </c>
      <c r="AD4" s="120" t="s">
        <v>46</v>
      </c>
      <c r="AE4" s="120" t="s">
        <v>46</v>
      </c>
      <c r="AF4" s="120" t="s">
        <v>46</v>
      </c>
      <c r="AG4" s="120" t="s">
        <v>46</v>
      </c>
      <c r="AH4" s="120" t="s">
        <v>46</v>
      </c>
      <c r="AI4" s="120" t="s">
        <v>46</v>
      </c>
      <c r="AJ4" s="120" t="s">
        <v>46</v>
      </c>
      <c r="AK4" s="120" t="s">
        <v>46</v>
      </c>
      <c r="AL4" s="120" t="s">
        <v>46</v>
      </c>
      <c r="AM4" s="120" t="s">
        <v>46</v>
      </c>
      <c r="AN4" s="120" t="s">
        <v>46</v>
      </c>
      <c r="AO4" s="120" t="s">
        <v>46</v>
      </c>
      <c r="AP4" s="120" t="s">
        <v>46</v>
      </c>
      <c r="AQ4" s="120" t="s">
        <v>46</v>
      </c>
      <c r="AR4" s="120" t="s">
        <v>46</v>
      </c>
      <c r="AS4" s="120" t="s">
        <v>46</v>
      </c>
      <c r="AT4" s="120" t="s">
        <v>46</v>
      </c>
      <c r="AU4" s="120" t="s">
        <v>46</v>
      </c>
      <c r="AV4" s="120" t="s">
        <v>46</v>
      </c>
      <c r="AW4" s="120" t="s">
        <v>46</v>
      </c>
      <c r="AX4" s="120" t="s">
        <v>46</v>
      </c>
      <c r="AY4" s="120" t="s">
        <v>46</v>
      </c>
      <c r="AZ4" s="120" t="s">
        <v>46</v>
      </c>
      <c r="BA4" s="120" t="s">
        <v>46</v>
      </c>
      <c r="BB4" s="120" t="s">
        <v>46</v>
      </c>
      <c r="BC4" s="120" t="s">
        <v>46</v>
      </c>
      <c r="BD4" s="120" t="s">
        <v>46</v>
      </c>
    </row>
    <row r="5" spans="1:58" s="1" customFormat="1" ht="14.25" customHeight="1">
      <c r="A5" s="2">
        <v>1</v>
      </c>
      <c r="B5" s="40" t="s">
        <v>50</v>
      </c>
      <c r="C5" s="35" t="s">
        <v>51</v>
      </c>
      <c r="D5" s="35" t="s">
        <v>52</v>
      </c>
      <c r="E5" s="35">
        <v>2</v>
      </c>
      <c r="F5" s="35">
        <v>2</v>
      </c>
      <c r="G5" s="35" t="s">
        <v>53</v>
      </c>
      <c r="H5" s="36"/>
      <c r="I5" s="37">
        <f>J5+K5+L5+M5+N5+O5+P5+Q5+R5+S5+T5+U5</f>
        <v>0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>
        <f t="shared" ref="V5:V68" si="0">I5/F5</f>
        <v>0</v>
      </c>
      <c r="W5" s="36"/>
      <c r="X5" s="38">
        <v>30000</v>
      </c>
      <c r="Y5" s="38" t="str">
        <f t="shared" ref="Y5:Y68" si="1">IF(OR(AND(W5&lt;&gt;0,QUOTIENT(V5,X5)&gt;=1,(MOD(V5,X5)/X5)&gt;=0.9,(QUOTIENT(V5,X5)+1)&gt;W5),AND(QUOTIENT(V5,X5)=0,MOD(V5,X5)/X5&gt;=0.9,(QUOTIENT(V5,X5)+1)&gt;W5),QUOTIENT(V5,X5)&gt;W5),"保养","无需保养")</f>
        <v>无需保养</v>
      </c>
      <c r="Z5" s="38">
        <f t="shared" ref="Z5:Z68" si="2">COUNTIF($C$5:$C$542,C5)</f>
        <v>1</v>
      </c>
      <c r="AA5" s="163"/>
      <c r="AB5" s="166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</row>
    <row r="6" spans="1:58" s="1" customFormat="1" ht="14.25" customHeight="1">
      <c r="A6" s="2">
        <v>2</v>
      </c>
      <c r="B6" s="40" t="s">
        <v>54</v>
      </c>
      <c r="C6" s="35" t="s">
        <v>55</v>
      </c>
      <c r="D6" s="35" t="s">
        <v>56</v>
      </c>
      <c r="E6" s="35">
        <v>2</v>
      </c>
      <c r="F6" s="35">
        <v>2</v>
      </c>
      <c r="G6" s="35" t="s">
        <v>53</v>
      </c>
      <c r="H6" s="36"/>
      <c r="I6" s="37">
        <f t="shared" ref="I6:I69" si="3">J6+K6+L6+M6+N6+O6+P6+Q6+R6+S6+T6+U6</f>
        <v>0</v>
      </c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>
        <f t="shared" si="0"/>
        <v>0</v>
      </c>
      <c r="W6" s="36"/>
      <c r="X6" s="38">
        <v>30000</v>
      </c>
      <c r="Y6" s="38" t="str">
        <f t="shared" si="1"/>
        <v>无需保养</v>
      </c>
      <c r="Z6" s="38">
        <f t="shared" si="2"/>
        <v>1</v>
      </c>
      <c r="AA6" s="163"/>
      <c r="AB6" s="166"/>
      <c r="AC6" s="163"/>
      <c r="AD6" s="163"/>
      <c r="AE6" s="166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  <c r="BC6" s="163"/>
      <c r="BD6" s="163"/>
    </row>
    <row r="7" spans="1:58" s="1" customFormat="1" ht="14.25" customHeight="1">
      <c r="A7" s="2">
        <v>3</v>
      </c>
      <c r="B7" s="40" t="s">
        <v>57</v>
      </c>
      <c r="C7" s="35" t="s">
        <v>58</v>
      </c>
      <c r="D7" s="35" t="s">
        <v>59</v>
      </c>
      <c r="E7" s="35">
        <v>4</v>
      </c>
      <c r="F7" s="35">
        <v>4</v>
      </c>
      <c r="G7" s="35" t="s">
        <v>53</v>
      </c>
      <c r="H7" s="36"/>
      <c r="I7" s="37">
        <f t="shared" si="3"/>
        <v>0</v>
      </c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>
        <f t="shared" si="0"/>
        <v>0</v>
      </c>
      <c r="W7" s="36"/>
      <c r="X7" s="38">
        <v>30000</v>
      </c>
      <c r="Y7" s="38" t="str">
        <f t="shared" si="1"/>
        <v>无需保养</v>
      </c>
      <c r="Z7" s="38">
        <f t="shared" si="2"/>
        <v>1</v>
      </c>
      <c r="AA7" s="163"/>
      <c r="AB7" s="163"/>
      <c r="AC7" s="163"/>
      <c r="AD7" s="166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3"/>
    </row>
    <row r="8" spans="1:58" s="1" customFormat="1" ht="14.25" customHeight="1">
      <c r="A8" s="2">
        <v>4</v>
      </c>
      <c r="B8" s="40" t="s">
        <v>60</v>
      </c>
      <c r="C8" s="35" t="s">
        <v>61</v>
      </c>
      <c r="D8" s="35" t="s">
        <v>62</v>
      </c>
      <c r="E8" s="35">
        <v>2</v>
      </c>
      <c r="F8" s="35">
        <v>2</v>
      </c>
      <c r="G8" s="35" t="s">
        <v>53</v>
      </c>
      <c r="H8" s="36"/>
      <c r="I8" s="37">
        <f t="shared" si="3"/>
        <v>0</v>
      </c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>
        <f t="shared" si="0"/>
        <v>0</v>
      </c>
      <c r="W8" s="36">
        <v>2</v>
      </c>
      <c r="X8" s="38">
        <v>30000</v>
      </c>
      <c r="Y8" s="38" t="str">
        <f t="shared" si="1"/>
        <v>无需保养</v>
      </c>
      <c r="Z8" s="38">
        <f t="shared" si="2"/>
        <v>1</v>
      </c>
      <c r="AA8" s="163"/>
      <c r="AB8" s="163"/>
      <c r="AC8" s="163"/>
      <c r="AD8" s="166"/>
      <c r="AE8" s="166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</row>
    <row r="9" spans="1:58" s="1" customFormat="1" ht="14.25" customHeight="1">
      <c r="A9" s="2">
        <v>5</v>
      </c>
      <c r="B9" s="40" t="s">
        <v>63</v>
      </c>
      <c r="C9" s="35" t="s">
        <v>64</v>
      </c>
      <c r="D9" s="35" t="s">
        <v>65</v>
      </c>
      <c r="E9" s="35">
        <v>2</v>
      </c>
      <c r="F9" s="35">
        <v>2</v>
      </c>
      <c r="G9" s="35" t="s">
        <v>53</v>
      </c>
      <c r="H9" s="36"/>
      <c r="I9" s="37">
        <f t="shared" si="3"/>
        <v>0</v>
      </c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>
        <f t="shared" si="0"/>
        <v>0</v>
      </c>
      <c r="W9" s="36"/>
      <c r="X9" s="38">
        <v>30000</v>
      </c>
      <c r="Y9" s="38" t="str">
        <f t="shared" si="1"/>
        <v>无需保养</v>
      </c>
      <c r="Z9" s="38">
        <f t="shared" si="2"/>
        <v>1</v>
      </c>
      <c r="AA9" s="163"/>
      <c r="AB9" s="163"/>
      <c r="AC9" s="163"/>
      <c r="AD9" s="166">
        <v>42503.72215277778</v>
      </c>
      <c r="AE9" s="166">
        <v>42503.722060185188</v>
      </c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  <c r="BB9" s="163"/>
      <c r="BC9" s="163"/>
      <c r="BD9" s="163"/>
    </row>
    <row r="10" spans="1:58" s="1" customFormat="1" ht="14.25" customHeight="1">
      <c r="A10" s="2">
        <v>6</v>
      </c>
      <c r="B10" s="40" t="s">
        <v>66</v>
      </c>
      <c r="C10" s="35" t="s">
        <v>67</v>
      </c>
      <c r="D10" s="35" t="s">
        <v>68</v>
      </c>
      <c r="E10" s="35">
        <v>2</v>
      </c>
      <c r="F10" s="35">
        <v>2</v>
      </c>
      <c r="G10" s="35" t="s">
        <v>53</v>
      </c>
      <c r="H10" s="36"/>
      <c r="I10" s="37">
        <f t="shared" si="3"/>
        <v>0</v>
      </c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>
        <f t="shared" si="0"/>
        <v>0</v>
      </c>
      <c r="W10" s="36"/>
      <c r="X10" s="38">
        <v>30000</v>
      </c>
      <c r="Y10" s="38" t="str">
        <f t="shared" si="1"/>
        <v>无需保养</v>
      </c>
      <c r="Z10" s="38">
        <f t="shared" si="2"/>
        <v>1</v>
      </c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</row>
    <row r="11" spans="1:58" s="1" customFormat="1" ht="14.25" customHeight="1">
      <c r="A11" s="2">
        <v>7</v>
      </c>
      <c r="B11" s="40" t="s">
        <v>69</v>
      </c>
      <c r="C11" s="35" t="s">
        <v>70</v>
      </c>
      <c r="D11" s="35" t="s">
        <v>71</v>
      </c>
      <c r="E11" s="35">
        <v>2</v>
      </c>
      <c r="F11" s="35">
        <v>2</v>
      </c>
      <c r="G11" s="35" t="s">
        <v>53</v>
      </c>
      <c r="H11" s="36"/>
      <c r="I11" s="37">
        <f t="shared" si="3"/>
        <v>0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>
        <f t="shared" si="0"/>
        <v>0</v>
      </c>
      <c r="W11" s="36"/>
      <c r="X11" s="38">
        <v>30000</v>
      </c>
      <c r="Y11" s="38" t="str">
        <f t="shared" si="1"/>
        <v>无需保养</v>
      </c>
      <c r="Z11" s="38">
        <f t="shared" si="2"/>
        <v>1</v>
      </c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</row>
    <row r="12" spans="1:58" s="1" customFormat="1" ht="14.25" customHeight="1">
      <c r="A12" s="2">
        <v>8</v>
      </c>
      <c r="B12" s="40" t="s">
        <v>72</v>
      </c>
      <c r="C12" s="35" t="s">
        <v>73</v>
      </c>
      <c r="D12" s="35" t="s">
        <v>74</v>
      </c>
      <c r="E12" s="35">
        <v>4</v>
      </c>
      <c r="F12" s="35">
        <v>4</v>
      </c>
      <c r="G12" s="35" t="s">
        <v>75</v>
      </c>
      <c r="H12" s="36"/>
      <c r="I12" s="37">
        <f t="shared" si="3"/>
        <v>0</v>
      </c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>
        <f t="shared" si="0"/>
        <v>0</v>
      </c>
      <c r="W12" s="36"/>
      <c r="X12" s="38">
        <v>30000</v>
      </c>
      <c r="Y12" s="38" t="str">
        <f t="shared" si="1"/>
        <v>无需保养</v>
      </c>
      <c r="Z12" s="38">
        <f t="shared" si="2"/>
        <v>1</v>
      </c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  <c r="BB12" s="163"/>
      <c r="BC12" s="163"/>
      <c r="BD12" s="163"/>
    </row>
    <row r="13" spans="1:58" s="1" customFormat="1" ht="14.25" customHeight="1">
      <c r="A13" s="2">
        <v>9</v>
      </c>
      <c r="B13" s="40" t="s">
        <v>76</v>
      </c>
      <c r="C13" s="35" t="s">
        <v>77</v>
      </c>
      <c r="D13" s="35" t="s">
        <v>78</v>
      </c>
      <c r="E13" s="35">
        <v>4</v>
      </c>
      <c r="F13" s="35">
        <v>4</v>
      </c>
      <c r="G13" s="35" t="s">
        <v>75</v>
      </c>
      <c r="H13" s="36"/>
      <c r="I13" s="37">
        <f t="shared" si="3"/>
        <v>0</v>
      </c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>
        <f t="shared" si="0"/>
        <v>0</v>
      </c>
      <c r="W13" s="36"/>
      <c r="X13" s="38">
        <v>30000</v>
      </c>
      <c r="Y13" s="38" t="str">
        <f t="shared" si="1"/>
        <v>无需保养</v>
      </c>
      <c r="Z13" s="38">
        <f t="shared" si="2"/>
        <v>1</v>
      </c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</row>
    <row r="14" spans="1:58" s="1" customFormat="1" ht="14.25" customHeight="1">
      <c r="A14" s="2">
        <v>10</v>
      </c>
      <c r="B14" s="40" t="s">
        <v>79</v>
      </c>
      <c r="C14" s="35" t="s">
        <v>80</v>
      </c>
      <c r="D14" s="35" t="s">
        <v>81</v>
      </c>
      <c r="E14" s="35">
        <v>2</v>
      </c>
      <c r="F14" s="35">
        <v>2</v>
      </c>
      <c r="G14" s="35" t="s">
        <v>53</v>
      </c>
      <c r="H14" s="36"/>
      <c r="I14" s="37">
        <f t="shared" si="3"/>
        <v>0</v>
      </c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>
        <f t="shared" si="0"/>
        <v>0</v>
      </c>
      <c r="W14" s="36"/>
      <c r="X14" s="38">
        <v>30000</v>
      </c>
      <c r="Y14" s="38" t="str">
        <f t="shared" si="1"/>
        <v>无需保养</v>
      </c>
      <c r="Z14" s="38">
        <f t="shared" si="2"/>
        <v>1</v>
      </c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3"/>
      <c r="BD14" s="163"/>
    </row>
    <row r="15" spans="1:58" s="1" customFormat="1" ht="14.25" customHeight="1">
      <c r="A15" s="2">
        <v>11</v>
      </c>
      <c r="B15" s="40" t="s">
        <v>82</v>
      </c>
      <c r="C15" s="35" t="s">
        <v>83</v>
      </c>
      <c r="D15" s="35" t="s">
        <v>84</v>
      </c>
      <c r="E15" s="35">
        <v>2</v>
      </c>
      <c r="F15" s="35">
        <v>2</v>
      </c>
      <c r="G15" s="35" t="s">
        <v>53</v>
      </c>
      <c r="H15" s="36"/>
      <c r="I15" s="37">
        <f t="shared" si="3"/>
        <v>0</v>
      </c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>
        <f t="shared" si="0"/>
        <v>0</v>
      </c>
      <c r="W15" s="36"/>
      <c r="X15" s="38">
        <v>30000</v>
      </c>
      <c r="Y15" s="38" t="str">
        <f t="shared" si="1"/>
        <v>无需保养</v>
      </c>
      <c r="Z15" s="38">
        <f t="shared" si="2"/>
        <v>1</v>
      </c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</row>
    <row r="16" spans="1:58" s="1" customFormat="1" ht="14.25" customHeight="1">
      <c r="A16" s="2">
        <v>12</v>
      </c>
      <c r="B16" s="40" t="s">
        <v>85</v>
      </c>
      <c r="C16" s="35" t="s">
        <v>86</v>
      </c>
      <c r="D16" s="35" t="s">
        <v>87</v>
      </c>
      <c r="E16" s="35">
        <v>8</v>
      </c>
      <c r="F16" s="35">
        <v>8</v>
      </c>
      <c r="G16" s="35" t="s">
        <v>53</v>
      </c>
      <c r="H16" s="36"/>
      <c r="I16" s="37">
        <f t="shared" si="3"/>
        <v>0</v>
      </c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>
        <f t="shared" si="0"/>
        <v>0</v>
      </c>
      <c r="W16" s="36"/>
      <c r="X16" s="38">
        <v>30000</v>
      </c>
      <c r="Y16" s="38" t="str">
        <f t="shared" si="1"/>
        <v>无需保养</v>
      </c>
      <c r="Z16" s="38">
        <f t="shared" si="2"/>
        <v>1</v>
      </c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F16" s="167">
        <v>1</v>
      </c>
    </row>
    <row r="17" spans="1:58" s="1" customFormat="1" ht="14.25" customHeight="1">
      <c r="A17" s="2">
        <v>13</v>
      </c>
      <c r="B17" s="40" t="s">
        <v>88</v>
      </c>
      <c r="C17" s="35" t="s">
        <v>88</v>
      </c>
      <c r="D17" s="35" t="s">
        <v>89</v>
      </c>
      <c r="E17" s="35">
        <v>4</v>
      </c>
      <c r="F17" s="35">
        <v>4</v>
      </c>
      <c r="G17" s="35" t="s">
        <v>53</v>
      </c>
      <c r="H17" s="36"/>
      <c r="I17" s="37">
        <f t="shared" si="3"/>
        <v>0</v>
      </c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>
        <f t="shared" si="0"/>
        <v>0</v>
      </c>
      <c r="W17" s="36"/>
      <c r="X17" s="38">
        <v>30000</v>
      </c>
      <c r="Y17" s="38" t="str">
        <f t="shared" si="1"/>
        <v>无需保养</v>
      </c>
      <c r="Z17" s="38">
        <f t="shared" si="2"/>
        <v>1</v>
      </c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  <c r="BB17" s="163"/>
      <c r="BC17" s="163"/>
      <c r="BD17" s="163"/>
      <c r="BF17" s="167">
        <v>2</v>
      </c>
    </row>
    <row r="18" spans="1:58" s="1" customFormat="1" ht="14.25" customHeight="1">
      <c r="A18" s="2">
        <v>14</v>
      </c>
      <c r="B18" s="40" t="s">
        <v>90</v>
      </c>
      <c r="C18" s="35" t="s">
        <v>90</v>
      </c>
      <c r="D18" s="35" t="s">
        <v>91</v>
      </c>
      <c r="E18" s="35">
        <v>4</v>
      </c>
      <c r="F18" s="35">
        <v>4</v>
      </c>
      <c r="G18" s="35" t="s">
        <v>53</v>
      </c>
      <c r="H18" s="36"/>
      <c r="I18" s="37">
        <f t="shared" si="3"/>
        <v>0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>
        <f t="shared" si="0"/>
        <v>0</v>
      </c>
      <c r="W18" s="36"/>
      <c r="X18" s="38">
        <v>30000</v>
      </c>
      <c r="Y18" s="38" t="str">
        <f t="shared" si="1"/>
        <v>无需保养</v>
      </c>
      <c r="Z18" s="38">
        <f t="shared" si="2"/>
        <v>1</v>
      </c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F18" s="167">
        <v>3</v>
      </c>
    </row>
    <row r="19" spans="1:58" s="1" customFormat="1" ht="14.25" customHeight="1">
      <c r="A19" s="2">
        <v>15</v>
      </c>
      <c r="B19" s="40" t="s">
        <v>92</v>
      </c>
      <c r="C19" s="35" t="s">
        <v>92</v>
      </c>
      <c r="D19" s="35" t="s">
        <v>93</v>
      </c>
      <c r="E19" s="35">
        <v>8</v>
      </c>
      <c r="F19" s="35">
        <v>8</v>
      </c>
      <c r="G19" s="35" t="s">
        <v>53</v>
      </c>
      <c r="H19" s="36"/>
      <c r="I19" s="37">
        <f t="shared" si="3"/>
        <v>0</v>
      </c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>
        <f t="shared" si="0"/>
        <v>0</v>
      </c>
      <c r="W19" s="36"/>
      <c r="X19" s="38">
        <v>30000</v>
      </c>
      <c r="Y19" s="38" t="str">
        <f t="shared" si="1"/>
        <v>无需保养</v>
      </c>
      <c r="Z19" s="38">
        <f t="shared" si="2"/>
        <v>1</v>
      </c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  <c r="BB19" s="163"/>
      <c r="BC19" s="163"/>
      <c r="BD19" s="163"/>
      <c r="BF19" s="167">
        <v>4</v>
      </c>
    </row>
    <row r="20" spans="1:58" s="1" customFormat="1" ht="14.25" customHeight="1">
      <c r="A20" s="2">
        <v>16</v>
      </c>
      <c r="B20" s="40" t="s">
        <v>94</v>
      </c>
      <c r="C20" s="35" t="s">
        <v>94</v>
      </c>
      <c r="D20" s="35" t="s">
        <v>95</v>
      </c>
      <c r="E20" s="35">
        <v>2</v>
      </c>
      <c r="F20" s="35">
        <v>2</v>
      </c>
      <c r="G20" s="35" t="s">
        <v>53</v>
      </c>
      <c r="H20" s="36"/>
      <c r="I20" s="37">
        <f t="shared" si="3"/>
        <v>0</v>
      </c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>
        <f t="shared" si="0"/>
        <v>0</v>
      </c>
      <c r="W20" s="36"/>
      <c r="X20" s="38">
        <v>30000</v>
      </c>
      <c r="Y20" s="38" t="str">
        <f t="shared" si="1"/>
        <v>无需保养</v>
      </c>
      <c r="Z20" s="38">
        <f t="shared" si="2"/>
        <v>1</v>
      </c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F20" s="167">
        <v>5</v>
      </c>
    </row>
    <row r="21" spans="1:58" s="1" customFormat="1" ht="14.25" customHeight="1">
      <c r="A21" s="2">
        <v>17</v>
      </c>
      <c r="B21" s="40" t="s">
        <v>96</v>
      </c>
      <c r="C21" s="35" t="s">
        <v>96</v>
      </c>
      <c r="D21" s="35" t="s">
        <v>97</v>
      </c>
      <c r="E21" s="35">
        <v>2</v>
      </c>
      <c r="F21" s="35">
        <v>2</v>
      </c>
      <c r="G21" s="35" t="s">
        <v>53</v>
      </c>
      <c r="H21" s="36"/>
      <c r="I21" s="37">
        <f t="shared" si="3"/>
        <v>0</v>
      </c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>
        <f t="shared" si="0"/>
        <v>0</v>
      </c>
      <c r="W21" s="36"/>
      <c r="X21" s="38">
        <v>30000</v>
      </c>
      <c r="Y21" s="38" t="str">
        <f t="shared" si="1"/>
        <v>无需保养</v>
      </c>
      <c r="Z21" s="38">
        <f t="shared" si="2"/>
        <v>1</v>
      </c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F21" s="167">
        <v>6</v>
      </c>
    </row>
    <row r="22" spans="1:58" s="1" customFormat="1" ht="14.25" customHeight="1">
      <c r="A22" s="2">
        <v>18</v>
      </c>
      <c r="B22" s="40" t="s">
        <v>98</v>
      </c>
      <c r="C22" s="35" t="s">
        <v>98</v>
      </c>
      <c r="D22" s="35" t="s">
        <v>99</v>
      </c>
      <c r="E22" s="35">
        <v>2</v>
      </c>
      <c r="F22" s="35">
        <v>2</v>
      </c>
      <c r="G22" s="35" t="s">
        <v>53</v>
      </c>
      <c r="H22" s="36"/>
      <c r="I22" s="37">
        <f t="shared" si="3"/>
        <v>0</v>
      </c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>
        <f t="shared" si="0"/>
        <v>0</v>
      </c>
      <c r="W22" s="36"/>
      <c r="X22" s="38">
        <v>30000</v>
      </c>
      <c r="Y22" s="38" t="str">
        <f t="shared" si="1"/>
        <v>无需保养</v>
      </c>
      <c r="Z22" s="38">
        <f t="shared" si="2"/>
        <v>1</v>
      </c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F22" s="167">
        <v>7</v>
      </c>
    </row>
    <row r="23" spans="1:58" s="1" customFormat="1" ht="14.25" customHeight="1">
      <c r="A23" s="2">
        <v>19</v>
      </c>
      <c r="B23" s="40" t="s">
        <v>100</v>
      </c>
      <c r="C23" s="35" t="s">
        <v>100</v>
      </c>
      <c r="D23" s="35" t="s">
        <v>101</v>
      </c>
      <c r="E23" s="35">
        <v>2</v>
      </c>
      <c r="F23" s="35">
        <v>2</v>
      </c>
      <c r="G23" s="35" t="s">
        <v>53</v>
      </c>
      <c r="H23" s="36"/>
      <c r="I23" s="37">
        <f t="shared" si="3"/>
        <v>0</v>
      </c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>
        <f t="shared" si="0"/>
        <v>0</v>
      </c>
      <c r="W23" s="36"/>
      <c r="X23" s="38">
        <v>30000</v>
      </c>
      <c r="Y23" s="38" t="str">
        <f t="shared" si="1"/>
        <v>无需保养</v>
      </c>
      <c r="Z23" s="38">
        <f t="shared" si="2"/>
        <v>1</v>
      </c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F23" s="167">
        <v>8</v>
      </c>
    </row>
    <row r="24" spans="1:58" s="1" customFormat="1" ht="14.25" customHeight="1">
      <c r="A24" s="2">
        <v>20</v>
      </c>
      <c r="B24" s="40" t="s">
        <v>102</v>
      </c>
      <c r="C24" s="35" t="s">
        <v>102</v>
      </c>
      <c r="D24" s="35" t="s">
        <v>103</v>
      </c>
      <c r="E24" s="35">
        <v>2</v>
      </c>
      <c r="F24" s="35">
        <v>2</v>
      </c>
      <c r="G24" s="35" t="s">
        <v>53</v>
      </c>
      <c r="H24" s="36"/>
      <c r="I24" s="37">
        <f t="shared" si="3"/>
        <v>0</v>
      </c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>
        <f t="shared" si="0"/>
        <v>0</v>
      </c>
      <c r="W24" s="36"/>
      <c r="X24" s="38">
        <v>30000</v>
      </c>
      <c r="Y24" s="38" t="str">
        <f t="shared" si="1"/>
        <v>无需保养</v>
      </c>
      <c r="Z24" s="38">
        <f t="shared" si="2"/>
        <v>1</v>
      </c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F24" s="167">
        <v>9</v>
      </c>
    </row>
    <row r="25" spans="1:58" s="1" customFormat="1" ht="14.25" customHeight="1">
      <c r="A25" s="2">
        <v>21</v>
      </c>
      <c r="B25" s="40" t="s">
        <v>104</v>
      </c>
      <c r="C25" s="35" t="s">
        <v>104</v>
      </c>
      <c r="D25" s="35" t="s">
        <v>105</v>
      </c>
      <c r="E25" s="35">
        <v>2</v>
      </c>
      <c r="F25" s="35">
        <v>2</v>
      </c>
      <c r="G25" s="35" t="s">
        <v>53</v>
      </c>
      <c r="H25" s="36"/>
      <c r="I25" s="37">
        <f t="shared" si="3"/>
        <v>0</v>
      </c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>
        <f t="shared" si="0"/>
        <v>0</v>
      </c>
      <c r="W25" s="36"/>
      <c r="X25" s="38">
        <v>30000</v>
      </c>
      <c r="Y25" s="38" t="str">
        <f t="shared" si="1"/>
        <v>无需保养</v>
      </c>
      <c r="Z25" s="38">
        <f t="shared" si="2"/>
        <v>1</v>
      </c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F25" s="167">
        <v>10</v>
      </c>
    </row>
    <row r="26" spans="1:58" s="1" customFormat="1" ht="14.25" customHeight="1">
      <c r="A26" s="2">
        <v>22</v>
      </c>
      <c r="B26" s="40" t="s">
        <v>106</v>
      </c>
      <c r="C26" s="35" t="s">
        <v>106</v>
      </c>
      <c r="D26" s="35" t="s">
        <v>107</v>
      </c>
      <c r="E26" s="35">
        <v>8</v>
      </c>
      <c r="F26" s="35">
        <v>8</v>
      </c>
      <c r="G26" s="35" t="s">
        <v>108</v>
      </c>
      <c r="H26" s="36"/>
      <c r="I26" s="37">
        <f t="shared" si="3"/>
        <v>0</v>
      </c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>
        <f t="shared" si="0"/>
        <v>0</v>
      </c>
      <c r="W26" s="36"/>
      <c r="X26" s="38">
        <v>30000</v>
      </c>
      <c r="Y26" s="38" t="str">
        <f t="shared" si="1"/>
        <v>无需保养</v>
      </c>
      <c r="Z26" s="38">
        <f t="shared" si="2"/>
        <v>1</v>
      </c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F26" s="167">
        <v>11</v>
      </c>
    </row>
    <row r="27" spans="1:58" s="1" customFormat="1" ht="14.25" customHeight="1">
      <c r="A27" s="2">
        <v>23</v>
      </c>
      <c r="B27" s="40" t="s">
        <v>109</v>
      </c>
      <c r="C27" s="35" t="s">
        <v>109</v>
      </c>
      <c r="D27" s="35" t="s">
        <v>110</v>
      </c>
      <c r="E27" s="35">
        <v>1</v>
      </c>
      <c r="F27" s="35">
        <v>1</v>
      </c>
      <c r="G27" s="35" t="s">
        <v>53</v>
      </c>
      <c r="H27" s="36"/>
      <c r="I27" s="37">
        <f t="shared" si="3"/>
        <v>0</v>
      </c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>
        <f t="shared" si="0"/>
        <v>0</v>
      </c>
      <c r="W27" s="36"/>
      <c r="X27" s="38">
        <v>30000</v>
      </c>
      <c r="Y27" s="38" t="str">
        <f t="shared" si="1"/>
        <v>无需保养</v>
      </c>
      <c r="Z27" s="38">
        <f t="shared" si="2"/>
        <v>1</v>
      </c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F27" s="167">
        <v>12</v>
      </c>
    </row>
    <row r="28" spans="1:58" s="1" customFormat="1" ht="14.25" customHeight="1">
      <c r="A28" s="2">
        <v>24</v>
      </c>
      <c r="B28" s="40" t="s">
        <v>111</v>
      </c>
      <c r="C28" s="35" t="s">
        <v>111</v>
      </c>
      <c r="D28" s="35" t="s">
        <v>112</v>
      </c>
      <c r="E28" s="35">
        <v>2</v>
      </c>
      <c r="F28" s="35">
        <v>2</v>
      </c>
      <c r="G28" s="35" t="s">
        <v>53</v>
      </c>
      <c r="H28" s="36"/>
      <c r="I28" s="37">
        <f t="shared" si="3"/>
        <v>0</v>
      </c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>
        <f t="shared" si="0"/>
        <v>0</v>
      </c>
      <c r="W28" s="36"/>
      <c r="X28" s="38">
        <v>30000</v>
      </c>
      <c r="Y28" s="38" t="str">
        <f t="shared" si="1"/>
        <v>无需保养</v>
      </c>
      <c r="Z28" s="38">
        <f t="shared" si="2"/>
        <v>1</v>
      </c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</row>
    <row r="29" spans="1:58" s="1" customFormat="1" ht="14.25" customHeight="1">
      <c r="A29" s="2">
        <v>25</v>
      </c>
      <c r="B29" s="40" t="s">
        <v>113</v>
      </c>
      <c r="C29" s="35" t="s">
        <v>113</v>
      </c>
      <c r="D29" s="35" t="s">
        <v>114</v>
      </c>
      <c r="E29" s="35">
        <v>2</v>
      </c>
      <c r="F29" s="35">
        <v>2</v>
      </c>
      <c r="G29" s="35" t="s">
        <v>53</v>
      </c>
      <c r="H29" s="36"/>
      <c r="I29" s="37">
        <f t="shared" si="3"/>
        <v>0</v>
      </c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>
        <f t="shared" si="0"/>
        <v>0</v>
      </c>
      <c r="W29" s="36"/>
      <c r="X29" s="38">
        <v>30000</v>
      </c>
      <c r="Y29" s="38" t="str">
        <f t="shared" si="1"/>
        <v>无需保养</v>
      </c>
      <c r="Z29" s="38">
        <f t="shared" si="2"/>
        <v>1</v>
      </c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</row>
    <row r="30" spans="1:58" s="1" customFormat="1" ht="14.25" customHeight="1">
      <c r="A30" s="2">
        <v>26</v>
      </c>
      <c r="B30" s="40" t="s">
        <v>115</v>
      </c>
      <c r="C30" s="35" t="s">
        <v>115</v>
      </c>
      <c r="D30" s="35" t="s">
        <v>116</v>
      </c>
      <c r="E30" s="35">
        <v>8</v>
      </c>
      <c r="F30" s="35">
        <v>8</v>
      </c>
      <c r="G30" s="35" t="s">
        <v>53</v>
      </c>
      <c r="H30" s="36"/>
      <c r="I30" s="37">
        <f t="shared" si="3"/>
        <v>0</v>
      </c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>
        <f t="shared" si="0"/>
        <v>0</v>
      </c>
      <c r="W30" s="36"/>
      <c r="X30" s="38">
        <v>30000</v>
      </c>
      <c r="Y30" s="38" t="str">
        <f t="shared" si="1"/>
        <v>无需保养</v>
      </c>
      <c r="Z30" s="38">
        <f t="shared" si="2"/>
        <v>1</v>
      </c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</row>
    <row r="31" spans="1:58" s="1" customFormat="1" ht="14.25" customHeight="1">
      <c r="A31" s="2">
        <v>27</v>
      </c>
      <c r="B31" s="40" t="s">
        <v>117</v>
      </c>
      <c r="C31" s="35" t="s">
        <v>117</v>
      </c>
      <c r="D31" s="35" t="s">
        <v>118</v>
      </c>
      <c r="E31" s="35">
        <v>2</v>
      </c>
      <c r="F31" s="35">
        <v>2</v>
      </c>
      <c r="G31" s="35" t="s">
        <v>53</v>
      </c>
      <c r="H31" s="36"/>
      <c r="I31" s="37">
        <f t="shared" si="3"/>
        <v>0</v>
      </c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>
        <f t="shared" si="0"/>
        <v>0</v>
      </c>
      <c r="W31" s="36"/>
      <c r="X31" s="38">
        <v>30000</v>
      </c>
      <c r="Y31" s="38" t="str">
        <f t="shared" si="1"/>
        <v>无需保养</v>
      </c>
      <c r="Z31" s="38">
        <f t="shared" si="2"/>
        <v>1</v>
      </c>
      <c r="AA31" s="166"/>
      <c r="AB31" s="166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</row>
    <row r="32" spans="1:58" s="1" customFormat="1" ht="14.25" customHeight="1">
      <c r="A32" s="2">
        <v>28</v>
      </c>
      <c r="B32" s="40" t="s">
        <v>119</v>
      </c>
      <c r="C32" s="35" t="s">
        <v>119</v>
      </c>
      <c r="D32" s="35" t="s">
        <v>120</v>
      </c>
      <c r="E32" s="35">
        <v>4</v>
      </c>
      <c r="F32" s="35">
        <v>4</v>
      </c>
      <c r="G32" s="35" t="s">
        <v>53</v>
      </c>
      <c r="H32" s="36"/>
      <c r="I32" s="37">
        <f t="shared" si="3"/>
        <v>0</v>
      </c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>
        <f t="shared" si="0"/>
        <v>0</v>
      </c>
      <c r="W32" s="36"/>
      <c r="X32" s="38">
        <v>30000</v>
      </c>
      <c r="Y32" s="38" t="str">
        <f t="shared" si="1"/>
        <v>无需保养</v>
      </c>
      <c r="Z32" s="38">
        <f t="shared" si="2"/>
        <v>1</v>
      </c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</row>
    <row r="33" spans="1:56" s="1" customFormat="1" ht="14.25" customHeight="1">
      <c r="A33" s="2">
        <v>29</v>
      </c>
      <c r="B33" s="40" t="s">
        <v>121</v>
      </c>
      <c r="C33" s="35" t="s">
        <v>121</v>
      </c>
      <c r="D33" s="35" t="s">
        <v>122</v>
      </c>
      <c r="E33" s="35">
        <v>4</v>
      </c>
      <c r="F33" s="35">
        <v>4</v>
      </c>
      <c r="G33" s="35" t="s">
        <v>53</v>
      </c>
      <c r="H33" s="36"/>
      <c r="I33" s="37">
        <f t="shared" si="3"/>
        <v>0</v>
      </c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>
        <f t="shared" si="0"/>
        <v>0</v>
      </c>
      <c r="W33" s="36"/>
      <c r="X33" s="38">
        <v>30000</v>
      </c>
      <c r="Y33" s="38" t="str">
        <f t="shared" si="1"/>
        <v>无需保养</v>
      </c>
      <c r="Z33" s="38">
        <f t="shared" si="2"/>
        <v>1</v>
      </c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</row>
    <row r="34" spans="1:56" s="1" customFormat="1" ht="14.25" customHeight="1">
      <c r="A34" s="2">
        <v>30</v>
      </c>
      <c r="B34" s="40" t="s">
        <v>123</v>
      </c>
      <c r="C34" s="35" t="s">
        <v>123</v>
      </c>
      <c r="D34" s="35" t="s">
        <v>124</v>
      </c>
      <c r="E34" s="35">
        <v>16</v>
      </c>
      <c r="F34" s="35">
        <v>16</v>
      </c>
      <c r="G34" s="35" t="s">
        <v>53</v>
      </c>
      <c r="H34" s="36"/>
      <c r="I34" s="37">
        <f t="shared" si="3"/>
        <v>0</v>
      </c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>
        <f t="shared" si="0"/>
        <v>0</v>
      </c>
      <c r="W34" s="36"/>
      <c r="X34" s="38">
        <v>30000</v>
      </c>
      <c r="Y34" s="38" t="str">
        <f t="shared" si="1"/>
        <v>无需保养</v>
      </c>
      <c r="Z34" s="38">
        <f t="shared" si="2"/>
        <v>1</v>
      </c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</row>
    <row r="35" spans="1:56" s="1" customFormat="1" ht="14.25" customHeight="1">
      <c r="A35" s="2">
        <v>31</v>
      </c>
      <c r="B35" s="40" t="s">
        <v>125</v>
      </c>
      <c r="C35" s="35" t="s">
        <v>125</v>
      </c>
      <c r="D35" s="35" t="s">
        <v>126</v>
      </c>
      <c r="E35" s="35">
        <v>4</v>
      </c>
      <c r="F35" s="35">
        <v>4</v>
      </c>
      <c r="G35" s="35" t="s">
        <v>53</v>
      </c>
      <c r="H35" s="36"/>
      <c r="I35" s="37">
        <f t="shared" si="3"/>
        <v>0</v>
      </c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>
        <f t="shared" si="0"/>
        <v>0</v>
      </c>
      <c r="W35" s="36"/>
      <c r="X35" s="38">
        <v>30000</v>
      </c>
      <c r="Y35" s="38" t="str">
        <f t="shared" si="1"/>
        <v>无需保养</v>
      </c>
      <c r="Z35" s="38">
        <f t="shared" si="2"/>
        <v>1</v>
      </c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</row>
    <row r="36" spans="1:56" s="1" customFormat="1" ht="14.25" customHeight="1">
      <c r="A36" s="2">
        <v>32</v>
      </c>
      <c r="B36" s="40" t="s">
        <v>127</v>
      </c>
      <c r="C36" s="35" t="s">
        <v>127</v>
      </c>
      <c r="D36" s="35" t="s">
        <v>128</v>
      </c>
      <c r="E36" s="35">
        <v>2</v>
      </c>
      <c r="F36" s="35">
        <v>2</v>
      </c>
      <c r="G36" s="35" t="s">
        <v>53</v>
      </c>
      <c r="H36" s="36"/>
      <c r="I36" s="37">
        <f t="shared" si="3"/>
        <v>0</v>
      </c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>
        <f t="shared" si="0"/>
        <v>0</v>
      </c>
      <c r="W36" s="36"/>
      <c r="X36" s="38">
        <v>30000</v>
      </c>
      <c r="Y36" s="38" t="str">
        <f t="shared" si="1"/>
        <v>无需保养</v>
      </c>
      <c r="Z36" s="38">
        <f t="shared" si="2"/>
        <v>1</v>
      </c>
      <c r="AA36" s="163"/>
      <c r="AB36" s="166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</row>
    <row r="37" spans="1:56" s="1" customFormat="1" ht="14.25" customHeight="1">
      <c r="A37" s="2">
        <v>33</v>
      </c>
      <c r="B37" s="40" t="s">
        <v>129</v>
      </c>
      <c r="C37" s="35" t="s">
        <v>129</v>
      </c>
      <c r="D37" s="35" t="s">
        <v>130</v>
      </c>
      <c r="E37" s="35">
        <v>2</v>
      </c>
      <c r="F37" s="35">
        <v>2</v>
      </c>
      <c r="G37" s="35" t="s">
        <v>53</v>
      </c>
      <c r="H37" s="36"/>
      <c r="I37" s="37">
        <f t="shared" si="3"/>
        <v>0</v>
      </c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>
        <f t="shared" si="0"/>
        <v>0</v>
      </c>
      <c r="W37" s="36"/>
      <c r="X37" s="38">
        <v>30000</v>
      </c>
      <c r="Y37" s="38" t="str">
        <f t="shared" si="1"/>
        <v>无需保养</v>
      </c>
      <c r="Z37" s="38">
        <f t="shared" si="2"/>
        <v>1</v>
      </c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</row>
    <row r="38" spans="1:56" s="1" customFormat="1" ht="14.25" customHeight="1">
      <c r="A38" s="2">
        <v>34</v>
      </c>
      <c r="B38" s="40" t="s">
        <v>131</v>
      </c>
      <c r="C38" s="35" t="s">
        <v>131</v>
      </c>
      <c r="D38" s="35" t="s">
        <v>132</v>
      </c>
      <c r="E38" s="35">
        <v>4</v>
      </c>
      <c r="F38" s="35">
        <v>4</v>
      </c>
      <c r="G38" s="35" t="s">
        <v>53</v>
      </c>
      <c r="H38" s="36"/>
      <c r="I38" s="37">
        <f t="shared" si="3"/>
        <v>0</v>
      </c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>
        <f t="shared" si="0"/>
        <v>0</v>
      </c>
      <c r="W38" s="36"/>
      <c r="X38" s="38">
        <v>30000</v>
      </c>
      <c r="Y38" s="38" t="str">
        <f t="shared" si="1"/>
        <v>无需保养</v>
      </c>
      <c r="Z38" s="38">
        <f t="shared" si="2"/>
        <v>1</v>
      </c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</row>
    <row r="39" spans="1:56" s="1" customFormat="1" ht="14.25" customHeight="1">
      <c r="A39" s="2">
        <v>35</v>
      </c>
      <c r="B39" s="40" t="s">
        <v>133</v>
      </c>
      <c r="C39" s="35" t="s">
        <v>133</v>
      </c>
      <c r="D39" s="35" t="s">
        <v>134</v>
      </c>
      <c r="E39" s="35">
        <v>4</v>
      </c>
      <c r="F39" s="35">
        <v>4</v>
      </c>
      <c r="G39" s="35" t="s">
        <v>53</v>
      </c>
      <c r="H39" s="36"/>
      <c r="I39" s="37">
        <f t="shared" si="3"/>
        <v>0</v>
      </c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>
        <f t="shared" si="0"/>
        <v>0</v>
      </c>
      <c r="W39" s="36"/>
      <c r="X39" s="38">
        <v>30000</v>
      </c>
      <c r="Y39" s="38" t="str">
        <f t="shared" si="1"/>
        <v>无需保养</v>
      </c>
      <c r="Z39" s="38">
        <f t="shared" si="2"/>
        <v>1</v>
      </c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</row>
    <row r="40" spans="1:56" s="1" customFormat="1" ht="14.25" customHeight="1">
      <c r="A40" s="2">
        <v>36</v>
      </c>
      <c r="B40" s="40" t="s">
        <v>135</v>
      </c>
      <c r="C40" s="35" t="s">
        <v>136</v>
      </c>
      <c r="D40" s="35" t="s">
        <v>137</v>
      </c>
      <c r="E40" s="35">
        <v>2</v>
      </c>
      <c r="F40" s="35">
        <v>2</v>
      </c>
      <c r="G40" s="35" t="s">
        <v>53</v>
      </c>
      <c r="H40" s="36"/>
      <c r="I40" s="37">
        <f t="shared" si="3"/>
        <v>0</v>
      </c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>
        <f t="shared" si="0"/>
        <v>0</v>
      </c>
      <c r="W40" s="36"/>
      <c r="X40" s="38">
        <v>30000</v>
      </c>
      <c r="Y40" s="38" t="str">
        <f t="shared" si="1"/>
        <v>无需保养</v>
      </c>
      <c r="Z40" s="38">
        <f t="shared" si="2"/>
        <v>1</v>
      </c>
      <c r="AA40" s="163"/>
      <c r="AB40" s="163"/>
      <c r="AC40" s="163"/>
      <c r="AD40" s="166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</row>
    <row r="41" spans="1:56" s="1" customFormat="1" ht="14.25" customHeight="1">
      <c r="A41" s="2">
        <v>37</v>
      </c>
      <c r="B41" s="40" t="s">
        <v>138</v>
      </c>
      <c r="C41" s="35" t="s">
        <v>138</v>
      </c>
      <c r="D41" s="35" t="s">
        <v>139</v>
      </c>
      <c r="E41" s="35">
        <v>4</v>
      </c>
      <c r="F41" s="35">
        <v>4</v>
      </c>
      <c r="G41" s="35" t="s">
        <v>53</v>
      </c>
      <c r="H41" s="36"/>
      <c r="I41" s="37">
        <f t="shared" si="3"/>
        <v>0</v>
      </c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>
        <f t="shared" si="0"/>
        <v>0</v>
      </c>
      <c r="W41" s="36"/>
      <c r="X41" s="38">
        <v>30000</v>
      </c>
      <c r="Y41" s="38" t="str">
        <f t="shared" si="1"/>
        <v>无需保养</v>
      </c>
      <c r="Z41" s="38">
        <f t="shared" si="2"/>
        <v>1</v>
      </c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</row>
    <row r="42" spans="1:56" s="1" customFormat="1" ht="14.25" customHeight="1">
      <c r="A42" s="2">
        <v>39</v>
      </c>
      <c r="B42" s="40" t="s">
        <v>140</v>
      </c>
      <c r="C42" s="35" t="s">
        <v>140</v>
      </c>
      <c r="D42" s="35" t="s">
        <v>141</v>
      </c>
      <c r="E42" s="35">
        <v>8</v>
      </c>
      <c r="F42" s="35">
        <v>8</v>
      </c>
      <c r="G42" s="35" t="s">
        <v>53</v>
      </c>
      <c r="H42" s="36"/>
      <c r="I42" s="37">
        <f t="shared" si="3"/>
        <v>0</v>
      </c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>
        <f t="shared" si="0"/>
        <v>0</v>
      </c>
      <c r="W42" s="36"/>
      <c r="X42" s="38">
        <v>30000</v>
      </c>
      <c r="Y42" s="38" t="str">
        <f t="shared" si="1"/>
        <v>无需保养</v>
      </c>
      <c r="Z42" s="38">
        <f t="shared" si="2"/>
        <v>1</v>
      </c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</row>
    <row r="43" spans="1:56" s="1" customFormat="1" ht="14.25" customHeight="1">
      <c r="A43" s="2">
        <v>40</v>
      </c>
      <c r="B43" s="40" t="s">
        <v>142</v>
      </c>
      <c r="C43" s="35" t="s">
        <v>142</v>
      </c>
      <c r="D43" s="35" t="s">
        <v>143</v>
      </c>
      <c r="E43" s="35">
        <v>2</v>
      </c>
      <c r="F43" s="35">
        <v>2</v>
      </c>
      <c r="G43" s="35" t="s">
        <v>53</v>
      </c>
      <c r="H43" s="36"/>
      <c r="I43" s="37">
        <f t="shared" si="3"/>
        <v>0</v>
      </c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>
        <f t="shared" si="0"/>
        <v>0</v>
      </c>
      <c r="W43" s="36"/>
      <c r="X43" s="38">
        <v>30000</v>
      </c>
      <c r="Y43" s="38" t="str">
        <f t="shared" si="1"/>
        <v>无需保养</v>
      </c>
      <c r="Z43" s="38">
        <f t="shared" si="2"/>
        <v>1</v>
      </c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</row>
    <row r="44" spans="1:56" s="1" customFormat="1" ht="14.25" customHeight="1">
      <c r="A44" s="2">
        <v>41</v>
      </c>
      <c r="B44" s="40" t="s">
        <v>144</v>
      </c>
      <c r="C44" s="35" t="s">
        <v>144</v>
      </c>
      <c r="D44" s="35" t="s">
        <v>145</v>
      </c>
      <c r="E44" s="35">
        <v>2</v>
      </c>
      <c r="F44" s="35">
        <v>2</v>
      </c>
      <c r="G44" s="35" t="s">
        <v>53</v>
      </c>
      <c r="H44" s="36"/>
      <c r="I44" s="37">
        <f t="shared" si="3"/>
        <v>0</v>
      </c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>
        <f t="shared" si="0"/>
        <v>0</v>
      </c>
      <c r="W44" s="36"/>
      <c r="X44" s="38">
        <v>30000</v>
      </c>
      <c r="Y44" s="38" t="str">
        <f t="shared" si="1"/>
        <v>无需保养</v>
      </c>
      <c r="Z44" s="38">
        <f t="shared" si="2"/>
        <v>1</v>
      </c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</row>
    <row r="45" spans="1:56" s="1" customFormat="1" ht="14.25" customHeight="1">
      <c r="A45" s="2">
        <v>42</v>
      </c>
      <c r="B45" s="40" t="s">
        <v>146</v>
      </c>
      <c r="C45" s="39" t="s">
        <v>146</v>
      </c>
      <c r="D45" s="35" t="s">
        <v>147</v>
      </c>
      <c r="E45" s="35">
        <v>4</v>
      </c>
      <c r="F45" s="35">
        <v>4</v>
      </c>
      <c r="G45" s="35" t="s">
        <v>53</v>
      </c>
      <c r="H45" s="36"/>
      <c r="I45" s="37">
        <f t="shared" si="3"/>
        <v>0</v>
      </c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>
        <f t="shared" si="0"/>
        <v>0</v>
      </c>
      <c r="W45" s="36"/>
      <c r="X45" s="38">
        <v>30000</v>
      </c>
      <c r="Y45" s="38" t="str">
        <f t="shared" si="1"/>
        <v>无需保养</v>
      </c>
      <c r="Z45" s="38">
        <f t="shared" si="2"/>
        <v>1</v>
      </c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</row>
    <row r="46" spans="1:56" s="1" customFormat="1" ht="14.25" customHeight="1">
      <c r="A46" s="2">
        <v>43</v>
      </c>
      <c r="B46" s="40" t="s">
        <v>148</v>
      </c>
      <c r="C46" s="35" t="s">
        <v>148</v>
      </c>
      <c r="D46" s="35" t="s">
        <v>149</v>
      </c>
      <c r="E46" s="35">
        <v>4</v>
      </c>
      <c r="F46" s="35">
        <v>4</v>
      </c>
      <c r="G46" s="35" t="s">
        <v>53</v>
      </c>
      <c r="H46" s="36"/>
      <c r="I46" s="37">
        <f t="shared" si="3"/>
        <v>0</v>
      </c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>
        <f t="shared" si="0"/>
        <v>0</v>
      </c>
      <c r="W46" s="36"/>
      <c r="X46" s="38">
        <v>30000</v>
      </c>
      <c r="Y46" s="38" t="str">
        <f t="shared" si="1"/>
        <v>无需保养</v>
      </c>
      <c r="Z46" s="38">
        <f t="shared" si="2"/>
        <v>1</v>
      </c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</row>
    <row r="47" spans="1:56" s="1" customFormat="1" ht="14.25" customHeight="1">
      <c r="A47" s="2">
        <v>44</v>
      </c>
      <c r="B47" s="40" t="s">
        <v>150</v>
      </c>
      <c r="C47" s="35" t="s">
        <v>150</v>
      </c>
      <c r="D47" s="35" t="s">
        <v>151</v>
      </c>
      <c r="E47" s="35">
        <v>2</v>
      </c>
      <c r="F47" s="35">
        <v>2</v>
      </c>
      <c r="G47" s="35" t="s">
        <v>53</v>
      </c>
      <c r="H47" s="36"/>
      <c r="I47" s="37">
        <f t="shared" si="3"/>
        <v>0</v>
      </c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>
        <f t="shared" si="0"/>
        <v>0</v>
      </c>
      <c r="W47" s="36"/>
      <c r="X47" s="38">
        <v>30000</v>
      </c>
      <c r="Y47" s="38" t="str">
        <f t="shared" si="1"/>
        <v>无需保养</v>
      </c>
      <c r="Z47" s="38">
        <f t="shared" si="2"/>
        <v>1</v>
      </c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</row>
    <row r="48" spans="1:56" s="1" customFormat="1" ht="14.25" customHeight="1">
      <c r="A48" s="2">
        <v>46</v>
      </c>
      <c r="B48" s="40" t="s">
        <v>152</v>
      </c>
      <c r="C48" s="35" t="s">
        <v>152</v>
      </c>
      <c r="D48" s="35" t="s">
        <v>153</v>
      </c>
      <c r="E48" s="35">
        <v>8</v>
      </c>
      <c r="F48" s="35">
        <v>8</v>
      </c>
      <c r="G48" s="35" t="s">
        <v>53</v>
      </c>
      <c r="H48" s="36"/>
      <c r="I48" s="37">
        <f t="shared" si="3"/>
        <v>0</v>
      </c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>
        <f t="shared" si="0"/>
        <v>0</v>
      </c>
      <c r="W48" s="36"/>
      <c r="X48" s="38">
        <v>30000</v>
      </c>
      <c r="Y48" s="38" t="str">
        <f t="shared" si="1"/>
        <v>无需保养</v>
      </c>
      <c r="Z48" s="38">
        <f t="shared" si="2"/>
        <v>1</v>
      </c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</row>
    <row r="49" spans="1:56" s="1" customFormat="1" ht="14.25" customHeight="1">
      <c r="A49" s="2">
        <v>47</v>
      </c>
      <c r="B49" s="40" t="s">
        <v>154</v>
      </c>
      <c r="C49" s="35" t="s">
        <v>154</v>
      </c>
      <c r="D49" s="35" t="s">
        <v>155</v>
      </c>
      <c r="E49" s="35">
        <v>4</v>
      </c>
      <c r="F49" s="35">
        <v>4</v>
      </c>
      <c r="G49" s="35" t="s">
        <v>53</v>
      </c>
      <c r="H49" s="36"/>
      <c r="I49" s="37">
        <f t="shared" si="3"/>
        <v>0</v>
      </c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>
        <f t="shared" si="0"/>
        <v>0</v>
      </c>
      <c r="W49" s="36"/>
      <c r="X49" s="38">
        <v>30000</v>
      </c>
      <c r="Y49" s="38" t="str">
        <f t="shared" si="1"/>
        <v>无需保养</v>
      </c>
      <c r="Z49" s="38">
        <f t="shared" si="2"/>
        <v>1</v>
      </c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</row>
    <row r="50" spans="1:56" s="1" customFormat="1" ht="14.25" customHeight="1">
      <c r="A50" s="2">
        <v>48</v>
      </c>
      <c r="B50" s="40" t="s">
        <v>156</v>
      </c>
      <c r="C50" s="35">
        <v>68008591</v>
      </c>
      <c r="D50" s="35" t="s">
        <v>157</v>
      </c>
      <c r="E50" s="35">
        <v>4</v>
      </c>
      <c r="F50" s="35">
        <v>4</v>
      </c>
      <c r="G50" s="35" t="s">
        <v>158</v>
      </c>
      <c r="H50" s="36"/>
      <c r="I50" s="37">
        <f t="shared" si="3"/>
        <v>0</v>
      </c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>
        <f t="shared" si="0"/>
        <v>0</v>
      </c>
      <c r="W50" s="36"/>
      <c r="X50" s="38">
        <v>30000</v>
      </c>
      <c r="Y50" s="38" t="str">
        <f t="shared" si="1"/>
        <v>无需保养</v>
      </c>
      <c r="Z50" s="38">
        <f t="shared" si="2"/>
        <v>3</v>
      </c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</row>
    <row r="51" spans="1:56" s="1" customFormat="1" ht="14.25" customHeight="1">
      <c r="A51" s="2">
        <v>49</v>
      </c>
      <c r="B51" s="40" t="s">
        <v>159</v>
      </c>
      <c r="C51" s="35">
        <v>68008590</v>
      </c>
      <c r="D51" s="35" t="s">
        <v>160</v>
      </c>
      <c r="E51" s="35">
        <v>8</v>
      </c>
      <c r="F51" s="35">
        <v>8</v>
      </c>
      <c r="G51" s="35" t="s">
        <v>158</v>
      </c>
      <c r="H51" s="36"/>
      <c r="I51" s="37">
        <f t="shared" si="3"/>
        <v>0</v>
      </c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>
        <f t="shared" si="0"/>
        <v>0</v>
      </c>
      <c r="W51" s="36"/>
      <c r="X51" s="38">
        <v>30000</v>
      </c>
      <c r="Y51" s="38" t="str">
        <f t="shared" si="1"/>
        <v>无需保养</v>
      </c>
      <c r="Z51" s="38">
        <f t="shared" si="2"/>
        <v>1</v>
      </c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</row>
    <row r="52" spans="1:56" s="1" customFormat="1" ht="14.25" customHeight="1">
      <c r="A52" s="2">
        <v>50</v>
      </c>
      <c r="B52" s="40" t="s">
        <v>161</v>
      </c>
      <c r="C52" s="35">
        <v>68008586</v>
      </c>
      <c r="D52" s="35" t="s">
        <v>162</v>
      </c>
      <c r="E52" s="35">
        <v>8</v>
      </c>
      <c r="F52" s="35">
        <v>8</v>
      </c>
      <c r="G52" s="35" t="s">
        <v>163</v>
      </c>
      <c r="H52" s="36"/>
      <c r="I52" s="37">
        <f t="shared" si="3"/>
        <v>0</v>
      </c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>
        <f t="shared" si="0"/>
        <v>0</v>
      </c>
      <c r="W52" s="36"/>
      <c r="X52" s="38">
        <v>30000</v>
      </c>
      <c r="Y52" s="38" t="str">
        <f t="shared" si="1"/>
        <v>无需保养</v>
      </c>
      <c r="Z52" s="38">
        <f t="shared" si="2"/>
        <v>1</v>
      </c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</row>
    <row r="53" spans="1:56" s="1" customFormat="1" ht="14.25" customHeight="1">
      <c r="A53" s="2">
        <v>51</v>
      </c>
      <c r="B53" s="40" t="s">
        <v>164</v>
      </c>
      <c r="C53" s="35">
        <v>68008589</v>
      </c>
      <c r="D53" s="35" t="s">
        <v>165</v>
      </c>
      <c r="E53" s="35">
        <v>8</v>
      </c>
      <c r="F53" s="35">
        <v>8</v>
      </c>
      <c r="G53" s="35" t="s">
        <v>166</v>
      </c>
      <c r="H53" s="36"/>
      <c r="I53" s="37">
        <f t="shared" si="3"/>
        <v>0</v>
      </c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>
        <f t="shared" si="0"/>
        <v>0</v>
      </c>
      <c r="W53" s="36"/>
      <c r="X53" s="38">
        <v>30000</v>
      </c>
      <c r="Y53" s="38" t="str">
        <f t="shared" si="1"/>
        <v>无需保养</v>
      </c>
      <c r="Z53" s="38">
        <f t="shared" si="2"/>
        <v>1</v>
      </c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</row>
    <row r="54" spans="1:56" s="10" customFormat="1" ht="14.25" customHeight="1">
      <c r="A54" s="2">
        <v>52</v>
      </c>
      <c r="B54" s="41">
        <v>88026468</v>
      </c>
      <c r="C54" s="42">
        <v>68008591</v>
      </c>
      <c r="D54" s="133" t="s">
        <v>167</v>
      </c>
      <c r="E54" s="35">
        <v>4</v>
      </c>
      <c r="F54" s="35">
        <v>4</v>
      </c>
      <c r="G54" s="35" t="s">
        <v>158</v>
      </c>
      <c r="H54" s="36"/>
      <c r="I54" s="37">
        <f t="shared" si="3"/>
        <v>0</v>
      </c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>
        <f t="shared" si="0"/>
        <v>0</v>
      </c>
      <c r="W54" s="36"/>
      <c r="X54" s="38">
        <v>30000</v>
      </c>
      <c r="Y54" s="38" t="str">
        <f t="shared" si="1"/>
        <v>无需保养</v>
      </c>
      <c r="Z54" s="38">
        <f t="shared" si="2"/>
        <v>3</v>
      </c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</row>
    <row r="55" spans="1:56" s="10" customFormat="1" ht="14.25" customHeight="1">
      <c r="A55" s="2">
        <v>53</v>
      </c>
      <c r="B55" s="43" t="s">
        <v>168</v>
      </c>
      <c r="C55" s="42">
        <v>68008591</v>
      </c>
      <c r="D55" s="133" t="s">
        <v>169</v>
      </c>
      <c r="E55" s="35">
        <v>4</v>
      </c>
      <c r="F55" s="35">
        <v>4</v>
      </c>
      <c r="G55" s="35" t="s">
        <v>158</v>
      </c>
      <c r="H55" s="36"/>
      <c r="I55" s="37">
        <f t="shared" si="3"/>
        <v>0</v>
      </c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>
        <f t="shared" si="0"/>
        <v>0</v>
      </c>
      <c r="W55" s="36"/>
      <c r="X55" s="38">
        <v>30000</v>
      </c>
      <c r="Y55" s="38" t="str">
        <f t="shared" si="1"/>
        <v>无需保养</v>
      </c>
      <c r="Z55" s="38">
        <f t="shared" si="2"/>
        <v>3</v>
      </c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</row>
    <row r="56" spans="1:56" s="10" customFormat="1" ht="14.25" customHeight="1">
      <c r="A56" s="2">
        <v>54</v>
      </c>
      <c r="B56" s="43" t="s">
        <v>170</v>
      </c>
      <c r="C56" s="42">
        <v>68008587</v>
      </c>
      <c r="D56" s="133" t="s">
        <v>171</v>
      </c>
      <c r="E56" s="35">
        <v>4</v>
      </c>
      <c r="F56" s="35">
        <v>4</v>
      </c>
      <c r="G56" s="35" t="s">
        <v>163</v>
      </c>
      <c r="H56" s="36"/>
      <c r="I56" s="37">
        <f t="shared" si="3"/>
        <v>0</v>
      </c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>
        <f t="shared" si="0"/>
        <v>0</v>
      </c>
      <c r="W56" s="36"/>
      <c r="X56" s="38">
        <v>30000</v>
      </c>
      <c r="Y56" s="38" t="str">
        <f t="shared" si="1"/>
        <v>无需保养</v>
      </c>
      <c r="Z56" s="38">
        <f t="shared" si="2"/>
        <v>1</v>
      </c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</row>
    <row r="57" spans="1:56" s="1" customFormat="1" ht="14.25" customHeight="1">
      <c r="A57" s="2">
        <v>55</v>
      </c>
      <c r="B57" s="43" t="s">
        <v>172</v>
      </c>
      <c r="C57" s="35">
        <v>68000492</v>
      </c>
      <c r="D57" s="133" t="s">
        <v>173</v>
      </c>
      <c r="E57" s="35">
        <v>16</v>
      </c>
      <c r="F57" s="35">
        <v>16</v>
      </c>
      <c r="G57" s="35" t="s">
        <v>174</v>
      </c>
      <c r="H57" s="36"/>
      <c r="I57" s="37">
        <f t="shared" si="3"/>
        <v>0</v>
      </c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>
        <f t="shared" si="0"/>
        <v>0</v>
      </c>
      <c r="W57" s="36"/>
      <c r="X57" s="38">
        <v>30000</v>
      </c>
      <c r="Y57" s="38" t="str">
        <f t="shared" si="1"/>
        <v>无需保养</v>
      </c>
      <c r="Z57" s="38">
        <f t="shared" si="2"/>
        <v>1</v>
      </c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</row>
    <row r="58" spans="1:56" s="1" customFormat="1" ht="14.25" customHeight="1">
      <c r="A58" s="2">
        <v>56</v>
      </c>
      <c r="B58" s="43" t="s">
        <v>175</v>
      </c>
      <c r="C58" s="42">
        <v>68000135</v>
      </c>
      <c r="D58" s="134" t="s">
        <v>176</v>
      </c>
      <c r="E58" s="35">
        <v>8</v>
      </c>
      <c r="F58" s="35">
        <v>8</v>
      </c>
      <c r="G58" s="35" t="s">
        <v>163</v>
      </c>
      <c r="H58" s="36"/>
      <c r="I58" s="37">
        <f t="shared" si="3"/>
        <v>0</v>
      </c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>
        <f t="shared" si="0"/>
        <v>0</v>
      </c>
      <c r="W58" s="36"/>
      <c r="X58" s="38">
        <v>30000</v>
      </c>
      <c r="Y58" s="38" t="str">
        <f t="shared" si="1"/>
        <v>无需保养</v>
      </c>
      <c r="Z58" s="38">
        <f t="shared" si="2"/>
        <v>1</v>
      </c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</row>
    <row r="59" spans="1:56" s="1" customFormat="1" ht="14.25" customHeight="1">
      <c r="A59" s="2">
        <v>57</v>
      </c>
      <c r="B59" s="43" t="s">
        <v>177</v>
      </c>
      <c r="C59" s="42">
        <v>68000136</v>
      </c>
      <c r="D59" s="133" t="s">
        <v>178</v>
      </c>
      <c r="E59" s="35">
        <v>12</v>
      </c>
      <c r="F59" s="35">
        <v>12</v>
      </c>
      <c r="G59" s="35" t="s">
        <v>163</v>
      </c>
      <c r="H59" s="36"/>
      <c r="I59" s="37">
        <f t="shared" si="3"/>
        <v>0</v>
      </c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>
        <f t="shared" si="0"/>
        <v>0</v>
      </c>
      <c r="W59" s="36"/>
      <c r="X59" s="38">
        <v>30000</v>
      </c>
      <c r="Y59" s="38" t="str">
        <f t="shared" si="1"/>
        <v>无需保养</v>
      </c>
      <c r="Z59" s="38">
        <f t="shared" si="2"/>
        <v>2</v>
      </c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</row>
    <row r="60" spans="1:56" s="1" customFormat="1" ht="14.25" customHeight="1">
      <c r="A60" s="2">
        <v>58</v>
      </c>
      <c r="B60" s="43" t="s">
        <v>179</v>
      </c>
      <c r="C60" s="42">
        <v>68000136</v>
      </c>
      <c r="D60" s="133" t="s">
        <v>178</v>
      </c>
      <c r="E60" s="35">
        <v>8</v>
      </c>
      <c r="F60" s="35">
        <v>8</v>
      </c>
      <c r="G60" s="35" t="s">
        <v>163</v>
      </c>
      <c r="H60" s="36"/>
      <c r="I60" s="37">
        <f t="shared" si="3"/>
        <v>0</v>
      </c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>
        <f t="shared" si="0"/>
        <v>0</v>
      </c>
      <c r="W60" s="36"/>
      <c r="X60" s="38">
        <v>30000</v>
      </c>
      <c r="Y60" s="38" t="str">
        <f t="shared" si="1"/>
        <v>无需保养</v>
      </c>
      <c r="Z60" s="38">
        <f t="shared" si="2"/>
        <v>2</v>
      </c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</row>
    <row r="61" spans="1:56" s="1" customFormat="1" ht="14.25" customHeight="1">
      <c r="A61" s="2">
        <v>59</v>
      </c>
      <c r="B61" s="43" t="s">
        <v>180</v>
      </c>
      <c r="C61" s="42">
        <v>68000605</v>
      </c>
      <c r="D61" s="134" t="s">
        <v>181</v>
      </c>
      <c r="E61" s="35">
        <v>14</v>
      </c>
      <c r="F61" s="35">
        <v>14</v>
      </c>
      <c r="G61" s="35" t="s">
        <v>182</v>
      </c>
      <c r="H61" s="36"/>
      <c r="I61" s="37">
        <f t="shared" si="3"/>
        <v>0</v>
      </c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>
        <f t="shared" si="0"/>
        <v>0</v>
      </c>
      <c r="W61" s="36"/>
      <c r="X61" s="38">
        <v>30000</v>
      </c>
      <c r="Y61" s="38" t="str">
        <f t="shared" si="1"/>
        <v>无需保养</v>
      </c>
      <c r="Z61" s="38">
        <f t="shared" si="2"/>
        <v>1</v>
      </c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</row>
    <row r="62" spans="1:56" s="1" customFormat="1" ht="14.25" customHeight="1">
      <c r="A62" s="2">
        <v>60</v>
      </c>
      <c r="B62" s="43" t="s">
        <v>183</v>
      </c>
      <c r="C62" s="42">
        <v>68000854</v>
      </c>
      <c r="D62" s="42" t="s">
        <v>184</v>
      </c>
      <c r="E62" s="35">
        <v>2</v>
      </c>
      <c r="F62" s="35">
        <v>2</v>
      </c>
      <c r="G62" s="35" t="s">
        <v>166</v>
      </c>
      <c r="H62" s="36"/>
      <c r="I62" s="37">
        <f t="shared" si="3"/>
        <v>0</v>
      </c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>
        <f t="shared" si="0"/>
        <v>0</v>
      </c>
      <c r="W62" s="36"/>
      <c r="X62" s="38">
        <v>30000</v>
      </c>
      <c r="Y62" s="38" t="str">
        <f t="shared" si="1"/>
        <v>无需保养</v>
      </c>
      <c r="Z62" s="38">
        <f t="shared" si="2"/>
        <v>1</v>
      </c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</row>
    <row r="63" spans="1:56" s="1" customFormat="1" ht="14.25" customHeight="1">
      <c r="A63" s="2">
        <v>61</v>
      </c>
      <c r="B63" s="43">
        <v>2541</v>
      </c>
      <c r="C63" s="42">
        <v>68001221</v>
      </c>
      <c r="D63" s="133" t="s">
        <v>185</v>
      </c>
      <c r="E63" s="35">
        <v>2</v>
      </c>
      <c r="F63" s="35">
        <v>2</v>
      </c>
      <c r="G63" s="35" t="s">
        <v>186</v>
      </c>
      <c r="H63" s="36"/>
      <c r="I63" s="37">
        <f t="shared" si="3"/>
        <v>0</v>
      </c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>
        <f t="shared" si="0"/>
        <v>0</v>
      </c>
      <c r="W63" s="36"/>
      <c r="X63" s="38">
        <v>30000</v>
      </c>
      <c r="Y63" s="38" t="str">
        <f t="shared" si="1"/>
        <v>无需保养</v>
      </c>
      <c r="Z63" s="38">
        <f t="shared" si="2"/>
        <v>1</v>
      </c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</row>
    <row r="64" spans="1:56" s="1" customFormat="1" ht="14.25" customHeight="1">
      <c r="A64" s="2">
        <v>62</v>
      </c>
      <c r="B64" s="43">
        <v>2542</v>
      </c>
      <c r="C64" s="42">
        <v>68001223</v>
      </c>
      <c r="D64" s="133" t="s">
        <v>187</v>
      </c>
      <c r="E64" s="35">
        <v>2</v>
      </c>
      <c r="F64" s="35">
        <v>2</v>
      </c>
      <c r="G64" s="35" t="s">
        <v>186</v>
      </c>
      <c r="H64" s="36"/>
      <c r="I64" s="37">
        <f t="shared" si="3"/>
        <v>0</v>
      </c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>
        <f t="shared" si="0"/>
        <v>0</v>
      </c>
      <c r="W64" s="36"/>
      <c r="X64" s="38">
        <v>30000</v>
      </c>
      <c r="Y64" s="38" t="str">
        <f t="shared" si="1"/>
        <v>无需保养</v>
      </c>
      <c r="Z64" s="38">
        <f t="shared" si="2"/>
        <v>1</v>
      </c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</row>
    <row r="65" spans="1:56" s="1" customFormat="1" ht="14.25" customHeight="1">
      <c r="A65" s="2">
        <v>63</v>
      </c>
      <c r="B65" s="43" t="s">
        <v>188</v>
      </c>
      <c r="C65" s="42">
        <v>68001483</v>
      </c>
      <c r="D65" s="133" t="s">
        <v>189</v>
      </c>
      <c r="E65" s="35">
        <v>16</v>
      </c>
      <c r="F65" s="35">
        <v>16</v>
      </c>
      <c r="G65" s="35" t="s">
        <v>163</v>
      </c>
      <c r="H65" s="36"/>
      <c r="I65" s="37">
        <f t="shared" si="3"/>
        <v>0</v>
      </c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>
        <f t="shared" si="0"/>
        <v>0</v>
      </c>
      <c r="W65" s="36"/>
      <c r="X65" s="38">
        <v>30000</v>
      </c>
      <c r="Y65" s="38" t="str">
        <f t="shared" si="1"/>
        <v>无需保养</v>
      </c>
      <c r="Z65" s="38">
        <f t="shared" si="2"/>
        <v>1</v>
      </c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</row>
    <row r="66" spans="1:56" s="1" customFormat="1" ht="14.25" customHeight="1">
      <c r="A66" s="2">
        <v>64</v>
      </c>
      <c r="B66" s="43" t="s">
        <v>190</v>
      </c>
      <c r="C66" s="42">
        <v>68001484</v>
      </c>
      <c r="D66" s="133" t="s">
        <v>191</v>
      </c>
      <c r="E66" s="35">
        <v>16</v>
      </c>
      <c r="F66" s="35">
        <v>16</v>
      </c>
      <c r="G66" s="35" t="s">
        <v>163</v>
      </c>
      <c r="H66" s="36"/>
      <c r="I66" s="37">
        <f t="shared" si="3"/>
        <v>0</v>
      </c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>
        <f t="shared" si="0"/>
        <v>0</v>
      </c>
      <c r="W66" s="36"/>
      <c r="X66" s="38">
        <v>30000</v>
      </c>
      <c r="Y66" s="38" t="str">
        <f t="shared" si="1"/>
        <v>无需保养</v>
      </c>
      <c r="Z66" s="38">
        <f t="shared" si="2"/>
        <v>1</v>
      </c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</row>
    <row r="67" spans="1:56" s="1" customFormat="1" ht="14.25" customHeight="1">
      <c r="A67" s="2">
        <v>65</v>
      </c>
      <c r="B67" s="43" t="s">
        <v>192</v>
      </c>
      <c r="C67" s="42">
        <v>68001485</v>
      </c>
      <c r="D67" s="133" t="s">
        <v>193</v>
      </c>
      <c r="E67" s="35">
        <v>16</v>
      </c>
      <c r="F67" s="35">
        <v>16</v>
      </c>
      <c r="G67" s="35" t="s">
        <v>163</v>
      </c>
      <c r="H67" s="36"/>
      <c r="I67" s="37">
        <f t="shared" si="3"/>
        <v>0</v>
      </c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>
        <f t="shared" si="0"/>
        <v>0</v>
      </c>
      <c r="W67" s="36"/>
      <c r="X67" s="38">
        <v>30000</v>
      </c>
      <c r="Y67" s="38" t="str">
        <f t="shared" si="1"/>
        <v>无需保养</v>
      </c>
      <c r="Z67" s="38">
        <f t="shared" si="2"/>
        <v>1</v>
      </c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</row>
    <row r="68" spans="1:56" s="1" customFormat="1" ht="14.25" customHeight="1">
      <c r="A68" s="2">
        <v>66</v>
      </c>
      <c r="B68" s="43" t="s">
        <v>194</v>
      </c>
      <c r="C68" s="42">
        <v>68001555</v>
      </c>
      <c r="D68" s="133" t="s">
        <v>195</v>
      </c>
      <c r="E68" s="35">
        <v>16</v>
      </c>
      <c r="F68" s="35">
        <v>16</v>
      </c>
      <c r="G68" s="35" t="s">
        <v>163</v>
      </c>
      <c r="H68" s="36"/>
      <c r="I68" s="37">
        <f t="shared" si="3"/>
        <v>0</v>
      </c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>
        <f t="shared" si="0"/>
        <v>0</v>
      </c>
      <c r="W68" s="36"/>
      <c r="X68" s="38">
        <v>30000</v>
      </c>
      <c r="Y68" s="38" t="str">
        <f t="shared" si="1"/>
        <v>无需保养</v>
      </c>
      <c r="Z68" s="38">
        <f t="shared" si="2"/>
        <v>1</v>
      </c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</row>
    <row r="69" spans="1:56" s="1" customFormat="1" ht="14.25" customHeight="1">
      <c r="A69" s="2">
        <v>67</v>
      </c>
      <c r="B69" s="43" t="s">
        <v>196</v>
      </c>
      <c r="C69" s="42">
        <v>68001596</v>
      </c>
      <c r="D69" s="133" t="s">
        <v>197</v>
      </c>
      <c r="E69" s="35">
        <v>8</v>
      </c>
      <c r="F69" s="35">
        <v>8</v>
      </c>
      <c r="G69" s="35" t="s">
        <v>174</v>
      </c>
      <c r="H69" s="36"/>
      <c r="I69" s="37">
        <f t="shared" si="3"/>
        <v>0</v>
      </c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>
        <f t="shared" ref="V69:V132" si="4">I69/F69</f>
        <v>0</v>
      </c>
      <c r="W69" s="36"/>
      <c r="X69" s="38">
        <v>30000</v>
      </c>
      <c r="Y69" s="38" t="str">
        <f t="shared" ref="Y69:Y132" si="5">IF(OR(AND(W69&lt;&gt;0,QUOTIENT(V69,X69)&gt;=1,(MOD(V69,X69)/X69)&gt;=0.9,(QUOTIENT(V69,X69)+1)&gt;W69),AND(QUOTIENT(V69,X69)=0,MOD(V69,X69)/X69&gt;=0.9,(QUOTIENT(V69,X69)+1)&gt;W69),QUOTIENT(V69,X69)&gt;W69),"保养","无需保养")</f>
        <v>无需保养</v>
      </c>
      <c r="Z69" s="38">
        <f t="shared" ref="Z69:Z132" si="6">COUNTIF($C$5:$C$542,C69)</f>
        <v>1</v>
      </c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</row>
    <row r="70" spans="1:56" s="1" customFormat="1" ht="14.25" customHeight="1">
      <c r="A70" s="2">
        <v>68</v>
      </c>
      <c r="B70" s="43" t="s">
        <v>198</v>
      </c>
      <c r="C70" s="42">
        <v>68001621</v>
      </c>
      <c r="D70" s="133" t="s">
        <v>199</v>
      </c>
      <c r="E70" s="35">
        <v>8</v>
      </c>
      <c r="F70" s="35">
        <v>8</v>
      </c>
      <c r="G70" s="35" t="s">
        <v>163</v>
      </c>
      <c r="H70" s="36"/>
      <c r="I70" s="37">
        <f t="shared" ref="I70:I133" si="7">J70+K70+L70+M70+N70+O70+P70+Q70+R70+S70+T70+U70</f>
        <v>0</v>
      </c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>
        <f t="shared" si="4"/>
        <v>0</v>
      </c>
      <c r="W70" s="36"/>
      <c r="X70" s="38">
        <v>30000</v>
      </c>
      <c r="Y70" s="38" t="str">
        <f t="shared" si="5"/>
        <v>无需保养</v>
      </c>
      <c r="Z70" s="38">
        <f t="shared" si="6"/>
        <v>1</v>
      </c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</row>
    <row r="71" spans="1:56" s="1" customFormat="1" ht="14.25" customHeight="1">
      <c r="A71" s="2">
        <v>69</v>
      </c>
      <c r="B71" s="43" t="s">
        <v>200</v>
      </c>
      <c r="C71" s="42">
        <v>68002276</v>
      </c>
      <c r="D71" s="134" t="s">
        <v>201</v>
      </c>
      <c r="E71" s="35">
        <v>16</v>
      </c>
      <c r="F71" s="35">
        <v>16</v>
      </c>
      <c r="G71" s="35" t="s">
        <v>166</v>
      </c>
      <c r="H71" s="36"/>
      <c r="I71" s="37">
        <f t="shared" si="7"/>
        <v>0</v>
      </c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>
        <f t="shared" si="4"/>
        <v>0</v>
      </c>
      <c r="W71" s="36"/>
      <c r="X71" s="38">
        <v>30000</v>
      </c>
      <c r="Y71" s="38" t="str">
        <f t="shared" si="5"/>
        <v>无需保养</v>
      </c>
      <c r="Z71" s="38">
        <f t="shared" si="6"/>
        <v>3</v>
      </c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</row>
    <row r="72" spans="1:56" s="1" customFormat="1" ht="14.25" customHeight="1">
      <c r="A72" s="2">
        <v>70</v>
      </c>
      <c r="B72" s="43" t="s">
        <v>202</v>
      </c>
      <c r="C72" s="42">
        <v>68002276</v>
      </c>
      <c r="D72" s="134" t="s">
        <v>203</v>
      </c>
      <c r="E72" s="35">
        <v>16</v>
      </c>
      <c r="F72" s="35">
        <v>16</v>
      </c>
      <c r="G72" s="35" t="s">
        <v>166</v>
      </c>
      <c r="H72" s="36"/>
      <c r="I72" s="37">
        <f t="shared" si="7"/>
        <v>0</v>
      </c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>
        <f t="shared" si="4"/>
        <v>0</v>
      </c>
      <c r="W72" s="36"/>
      <c r="X72" s="38">
        <v>30000</v>
      </c>
      <c r="Y72" s="38" t="str">
        <f t="shared" si="5"/>
        <v>无需保养</v>
      </c>
      <c r="Z72" s="38">
        <f t="shared" si="6"/>
        <v>3</v>
      </c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</row>
    <row r="73" spans="1:56" s="1" customFormat="1" ht="14.25" customHeight="1">
      <c r="A73" s="2">
        <v>71</v>
      </c>
      <c r="B73" s="43" t="s">
        <v>204</v>
      </c>
      <c r="C73" s="42">
        <v>68002276</v>
      </c>
      <c r="D73" s="42" t="s">
        <v>205</v>
      </c>
      <c r="E73" s="35">
        <v>8</v>
      </c>
      <c r="F73" s="35">
        <v>8</v>
      </c>
      <c r="G73" s="35" t="s">
        <v>166</v>
      </c>
      <c r="H73" s="36"/>
      <c r="I73" s="37">
        <f t="shared" si="7"/>
        <v>0</v>
      </c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>
        <f t="shared" si="4"/>
        <v>0</v>
      </c>
      <c r="W73" s="36"/>
      <c r="X73" s="38">
        <v>30000</v>
      </c>
      <c r="Y73" s="38" t="str">
        <f t="shared" si="5"/>
        <v>无需保养</v>
      </c>
      <c r="Z73" s="38">
        <f t="shared" si="6"/>
        <v>3</v>
      </c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</row>
    <row r="74" spans="1:56" s="1" customFormat="1" ht="14.25" customHeight="1">
      <c r="A74" s="2">
        <v>72</v>
      </c>
      <c r="B74" s="43" t="s">
        <v>206</v>
      </c>
      <c r="C74" s="42">
        <v>68002277</v>
      </c>
      <c r="D74" s="42" t="s">
        <v>207</v>
      </c>
      <c r="E74" s="35">
        <v>8</v>
      </c>
      <c r="F74" s="35">
        <v>8</v>
      </c>
      <c r="G74" s="35" t="s">
        <v>163</v>
      </c>
      <c r="H74" s="36"/>
      <c r="I74" s="37">
        <f t="shared" si="7"/>
        <v>0</v>
      </c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>
        <f t="shared" si="4"/>
        <v>0</v>
      </c>
      <c r="W74" s="36"/>
      <c r="X74" s="38">
        <v>30000</v>
      </c>
      <c r="Y74" s="38" t="str">
        <f t="shared" si="5"/>
        <v>无需保养</v>
      </c>
      <c r="Z74" s="38">
        <f t="shared" si="6"/>
        <v>1</v>
      </c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</row>
    <row r="75" spans="1:56" s="1" customFormat="1" ht="14.25" customHeight="1">
      <c r="A75" s="2">
        <v>73</v>
      </c>
      <c r="B75" s="43" t="s">
        <v>208</v>
      </c>
      <c r="C75" s="42">
        <v>68002840</v>
      </c>
      <c r="D75" s="42" t="s">
        <v>209</v>
      </c>
      <c r="E75" s="35">
        <v>2</v>
      </c>
      <c r="F75" s="35">
        <v>2</v>
      </c>
      <c r="G75" s="35" t="s">
        <v>166</v>
      </c>
      <c r="H75" s="36"/>
      <c r="I75" s="37">
        <f t="shared" si="7"/>
        <v>0</v>
      </c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>
        <f t="shared" si="4"/>
        <v>0</v>
      </c>
      <c r="W75" s="36"/>
      <c r="X75" s="38">
        <v>30000</v>
      </c>
      <c r="Y75" s="38" t="str">
        <f t="shared" si="5"/>
        <v>无需保养</v>
      </c>
      <c r="Z75" s="38">
        <f t="shared" si="6"/>
        <v>1</v>
      </c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</row>
    <row r="76" spans="1:56" s="1" customFormat="1" ht="14.25" customHeight="1">
      <c r="A76" s="2">
        <v>74</v>
      </c>
      <c r="B76" s="105" t="s">
        <v>210</v>
      </c>
      <c r="C76" s="42">
        <v>68003008</v>
      </c>
      <c r="D76" s="133" t="s">
        <v>211</v>
      </c>
      <c r="E76" s="35">
        <v>4</v>
      </c>
      <c r="F76" s="35">
        <v>4</v>
      </c>
      <c r="G76" s="35" t="s">
        <v>166</v>
      </c>
      <c r="H76" s="36"/>
      <c r="I76" s="37">
        <f t="shared" si="7"/>
        <v>0</v>
      </c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>
        <f t="shared" si="4"/>
        <v>0</v>
      </c>
      <c r="W76" s="36"/>
      <c r="X76" s="38">
        <v>30000</v>
      </c>
      <c r="Y76" s="38" t="str">
        <f t="shared" si="5"/>
        <v>无需保养</v>
      </c>
      <c r="Z76" s="38">
        <f t="shared" si="6"/>
        <v>1</v>
      </c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</row>
    <row r="77" spans="1:56" s="1" customFormat="1" ht="14.25" customHeight="1">
      <c r="A77" s="2">
        <v>75</v>
      </c>
      <c r="B77" s="43" t="s">
        <v>212</v>
      </c>
      <c r="C77" s="42">
        <v>68003120</v>
      </c>
      <c r="D77" s="134" t="s">
        <v>213</v>
      </c>
      <c r="E77" s="35">
        <v>8</v>
      </c>
      <c r="F77" s="35">
        <v>8</v>
      </c>
      <c r="G77" s="35" t="s">
        <v>163</v>
      </c>
      <c r="H77" s="36"/>
      <c r="I77" s="37">
        <f t="shared" si="7"/>
        <v>0</v>
      </c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>
        <f t="shared" si="4"/>
        <v>0</v>
      </c>
      <c r="W77" s="36"/>
      <c r="X77" s="38">
        <v>30000</v>
      </c>
      <c r="Y77" s="38" t="str">
        <f t="shared" si="5"/>
        <v>无需保养</v>
      </c>
      <c r="Z77" s="38">
        <f t="shared" si="6"/>
        <v>1</v>
      </c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</row>
    <row r="78" spans="1:56" s="1" customFormat="1" ht="14.25" customHeight="1">
      <c r="A78" s="2">
        <v>76</v>
      </c>
      <c r="B78" s="43" t="s">
        <v>214</v>
      </c>
      <c r="C78" s="42">
        <v>68003121</v>
      </c>
      <c r="D78" s="134" t="s">
        <v>215</v>
      </c>
      <c r="E78" s="35">
        <v>16</v>
      </c>
      <c r="F78" s="35">
        <v>16</v>
      </c>
      <c r="G78" s="35" t="s">
        <v>163</v>
      </c>
      <c r="H78" s="36"/>
      <c r="I78" s="37">
        <f t="shared" si="7"/>
        <v>0</v>
      </c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>
        <f t="shared" si="4"/>
        <v>0</v>
      </c>
      <c r="W78" s="36"/>
      <c r="X78" s="38">
        <v>30000</v>
      </c>
      <c r="Y78" s="38" t="str">
        <f t="shared" si="5"/>
        <v>无需保养</v>
      </c>
      <c r="Z78" s="38">
        <f t="shared" si="6"/>
        <v>2</v>
      </c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</row>
    <row r="79" spans="1:56" s="1" customFormat="1" ht="14.25" customHeight="1">
      <c r="A79" s="2">
        <v>77</v>
      </c>
      <c r="B79" s="43" t="s">
        <v>216</v>
      </c>
      <c r="C79" s="42">
        <v>68003121</v>
      </c>
      <c r="D79" s="134" t="s">
        <v>217</v>
      </c>
      <c r="E79" s="35">
        <v>8</v>
      </c>
      <c r="F79" s="35">
        <v>8</v>
      </c>
      <c r="G79" s="35" t="s">
        <v>163</v>
      </c>
      <c r="H79" s="36"/>
      <c r="I79" s="37">
        <f t="shared" si="7"/>
        <v>0</v>
      </c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>
        <f t="shared" si="4"/>
        <v>0</v>
      </c>
      <c r="W79" s="36"/>
      <c r="X79" s="38">
        <v>30000</v>
      </c>
      <c r="Y79" s="38" t="str">
        <f t="shared" si="5"/>
        <v>无需保养</v>
      </c>
      <c r="Z79" s="38">
        <f t="shared" si="6"/>
        <v>2</v>
      </c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</row>
    <row r="80" spans="1:56" s="1" customFormat="1" ht="14.25" customHeight="1">
      <c r="A80" s="2">
        <v>78</v>
      </c>
      <c r="B80" s="43" t="s">
        <v>218</v>
      </c>
      <c r="C80" s="42">
        <v>68003122</v>
      </c>
      <c r="D80" s="134" t="s">
        <v>219</v>
      </c>
      <c r="E80" s="35">
        <v>6</v>
      </c>
      <c r="F80" s="35">
        <v>6</v>
      </c>
      <c r="G80" s="35" t="s">
        <v>163</v>
      </c>
      <c r="H80" s="36"/>
      <c r="I80" s="37">
        <f t="shared" si="7"/>
        <v>0</v>
      </c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>
        <f t="shared" si="4"/>
        <v>0</v>
      </c>
      <c r="W80" s="36"/>
      <c r="X80" s="38">
        <v>30000</v>
      </c>
      <c r="Y80" s="38" t="str">
        <f t="shared" si="5"/>
        <v>无需保养</v>
      </c>
      <c r="Z80" s="38">
        <f t="shared" si="6"/>
        <v>2</v>
      </c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</row>
    <row r="81" spans="1:56" s="1" customFormat="1" ht="14.25" customHeight="1">
      <c r="A81" s="2">
        <v>79</v>
      </c>
      <c r="B81" s="43" t="s">
        <v>220</v>
      </c>
      <c r="C81" s="42">
        <v>68003122</v>
      </c>
      <c r="D81" s="134" t="s">
        <v>221</v>
      </c>
      <c r="E81" s="35">
        <v>8</v>
      </c>
      <c r="F81" s="35">
        <v>8</v>
      </c>
      <c r="G81" s="35" t="s">
        <v>163</v>
      </c>
      <c r="H81" s="36"/>
      <c r="I81" s="37">
        <f t="shared" si="7"/>
        <v>0</v>
      </c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>
        <f t="shared" si="4"/>
        <v>0</v>
      </c>
      <c r="W81" s="36"/>
      <c r="X81" s="38">
        <v>30000</v>
      </c>
      <c r="Y81" s="38" t="str">
        <f t="shared" si="5"/>
        <v>无需保养</v>
      </c>
      <c r="Z81" s="38">
        <f t="shared" si="6"/>
        <v>2</v>
      </c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</row>
    <row r="82" spans="1:56" s="1" customFormat="1" ht="14.25" customHeight="1">
      <c r="A82" s="2">
        <v>80</v>
      </c>
      <c r="B82" s="43" t="s">
        <v>222</v>
      </c>
      <c r="C82" s="42">
        <v>68003123</v>
      </c>
      <c r="D82" s="133" t="s">
        <v>223</v>
      </c>
      <c r="E82" s="35">
        <v>8</v>
      </c>
      <c r="F82" s="35">
        <v>8</v>
      </c>
      <c r="G82" s="35" t="s">
        <v>163</v>
      </c>
      <c r="H82" s="36"/>
      <c r="I82" s="37">
        <f t="shared" si="7"/>
        <v>0</v>
      </c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>
        <f t="shared" si="4"/>
        <v>0</v>
      </c>
      <c r="W82" s="36"/>
      <c r="X82" s="38">
        <v>30000</v>
      </c>
      <c r="Y82" s="38" t="str">
        <f t="shared" si="5"/>
        <v>无需保养</v>
      </c>
      <c r="Z82" s="38">
        <f t="shared" si="6"/>
        <v>1</v>
      </c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</row>
    <row r="83" spans="1:56" s="1" customFormat="1" ht="14.25" customHeight="1">
      <c r="A83" s="2">
        <v>81</v>
      </c>
      <c r="B83" s="43" t="s">
        <v>224</v>
      </c>
      <c r="C83" s="42">
        <v>68003124</v>
      </c>
      <c r="D83" s="133" t="s">
        <v>225</v>
      </c>
      <c r="E83" s="35">
        <v>4</v>
      </c>
      <c r="F83" s="35">
        <v>4</v>
      </c>
      <c r="G83" s="35" t="s">
        <v>226</v>
      </c>
      <c r="H83" s="36"/>
      <c r="I83" s="37">
        <f t="shared" si="7"/>
        <v>0</v>
      </c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>
        <f t="shared" si="4"/>
        <v>0</v>
      </c>
      <c r="W83" s="36"/>
      <c r="X83" s="38">
        <v>30000</v>
      </c>
      <c r="Y83" s="38" t="str">
        <f t="shared" si="5"/>
        <v>无需保养</v>
      </c>
      <c r="Z83" s="38">
        <f t="shared" si="6"/>
        <v>1</v>
      </c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</row>
    <row r="84" spans="1:56" s="1" customFormat="1" ht="14.25" customHeight="1">
      <c r="A84" s="2">
        <v>82</v>
      </c>
      <c r="B84" s="105" t="s">
        <v>227</v>
      </c>
      <c r="C84" s="42">
        <v>68003125</v>
      </c>
      <c r="D84" s="133" t="s">
        <v>228</v>
      </c>
      <c r="E84" s="35">
        <v>4</v>
      </c>
      <c r="F84" s="35">
        <v>4</v>
      </c>
      <c r="G84" s="35" t="s">
        <v>226</v>
      </c>
      <c r="H84" s="36"/>
      <c r="I84" s="37">
        <f t="shared" si="7"/>
        <v>0</v>
      </c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>
        <f t="shared" si="4"/>
        <v>0</v>
      </c>
      <c r="W84" s="36"/>
      <c r="X84" s="38">
        <v>30000</v>
      </c>
      <c r="Y84" s="38" t="str">
        <f t="shared" si="5"/>
        <v>无需保养</v>
      </c>
      <c r="Z84" s="38">
        <f t="shared" si="6"/>
        <v>1</v>
      </c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</row>
    <row r="85" spans="1:56" s="1" customFormat="1" ht="14.25" customHeight="1">
      <c r="A85" s="2">
        <v>83</v>
      </c>
      <c r="B85" s="43" t="s">
        <v>229</v>
      </c>
      <c r="C85" s="42">
        <v>68003126</v>
      </c>
      <c r="D85" s="133" t="s">
        <v>230</v>
      </c>
      <c r="E85" s="35">
        <v>4</v>
      </c>
      <c r="F85" s="35">
        <v>4</v>
      </c>
      <c r="G85" s="35" t="s">
        <v>226</v>
      </c>
      <c r="H85" s="36"/>
      <c r="I85" s="37">
        <f t="shared" si="7"/>
        <v>0</v>
      </c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>
        <f t="shared" si="4"/>
        <v>0</v>
      </c>
      <c r="W85" s="36"/>
      <c r="X85" s="38">
        <v>30000</v>
      </c>
      <c r="Y85" s="38" t="str">
        <f t="shared" si="5"/>
        <v>无需保养</v>
      </c>
      <c r="Z85" s="38">
        <f t="shared" si="6"/>
        <v>1</v>
      </c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</row>
    <row r="86" spans="1:56" s="1" customFormat="1" ht="14.25" customHeight="1">
      <c r="A86" s="2">
        <v>84</v>
      </c>
      <c r="B86" s="43" t="s">
        <v>231</v>
      </c>
      <c r="C86" s="42">
        <v>68003127</v>
      </c>
      <c r="D86" s="133" t="s">
        <v>232</v>
      </c>
      <c r="E86" s="35">
        <v>2</v>
      </c>
      <c r="F86" s="35">
        <v>2</v>
      </c>
      <c r="G86" s="35" t="s">
        <v>226</v>
      </c>
      <c r="H86" s="36"/>
      <c r="I86" s="37">
        <f t="shared" si="7"/>
        <v>0</v>
      </c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>
        <f t="shared" si="4"/>
        <v>0</v>
      </c>
      <c r="W86" s="36"/>
      <c r="X86" s="38">
        <v>30000</v>
      </c>
      <c r="Y86" s="38" t="str">
        <f t="shared" si="5"/>
        <v>无需保养</v>
      </c>
      <c r="Z86" s="38">
        <f t="shared" si="6"/>
        <v>1</v>
      </c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</row>
    <row r="87" spans="1:56" s="1" customFormat="1" ht="14.25" customHeight="1">
      <c r="A87" s="2">
        <v>85</v>
      </c>
      <c r="B87" s="43" t="s">
        <v>233</v>
      </c>
      <c r="C87" s="42">
        <v>68003128</v>
      </c>
      <c r="D87" s="133" t="s">
        <v>234</v>
      </c>
      <c r="E87" s="35">
        <v>4</v>
      </c>
      <c r="F87" s="35">
        <v>4</v>
      </c>
      <c r="G87" s="35" t="s">
        <v>226</v>
      </c>
      <c r="H87" s="36"/>
      <c r="I87" s="37">
        <f t="shared" si="7"/>
        <v>0</v>
      </c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>
        <f t="shared" si="4"/>
        <v>0</v>
      </c>
      <c r="W87" s="36"/>
      <c r="X87" s="38">
        <v>30000</v>
      </c>
      <c r="Y87" s="38" t="str">
        <f t="shared" si="5"/>
        <v>无需保养</v>
      </c>
      <c r="Z87" s="38">
        <f t="shared" si="6"/>
        <v>1</v>
      </c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</row>
    <row r="88" spans="1:56" s="1" customFormat="1" ht="14.25" customHeight="1">
      <c r="A88" s="2">
        <v>86</v>
      </c>
      <c r="B88" s="43" t="s">
        <v>235</v>
      </c>
      <c r="C88" s="42">
        <v>68003129</v>
      </c>
      <c r="D88" s="133" t="s">
        <v>236</v>
      </c>
      <c r="E88" s="35">
        <v>2</v>
      </c>
      <c r="F88" s="35">
        <v>2</v>
      </c>
      <c r="G88" s="35" t="s">
        <v>226</v>
      </c>
      <c r="H88" s="36"/>
      <c r="I88" s="37">
        <f t="shared" si="7"/>
        <v>0</v>
      </c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>
        <f t="shared" si="4"/>
        <v>0</v>
      </c>
      <c r="W88" s="36"/>
      <c r="X88" s="38">
        <v>30000</v>
      </c>
      <c r="Y88" s="38" t="str">
        <f t="shared" si="5"/>
        <v>无需保养</v>
      </c>
      <c r="Z88" s="38">
        <f t="shared" si="6"/>
        <v>1</v>
      </c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</row>
    <row r="89" spans="1:56" s="1" customFormat="1" ht="14.25" customHeight="1">
      <c r="A89" s="2">
        <v>87</v>
      </c>
      <c r="B89" s="43" t="s">
        <v>237</v>
      </c>
      <c r="C89" s="42">
        <v>68003130</v>
      </c>
      <c r="D89" s="133" t="s">
        <v>238</v>
      </c>
      <c r="E89" s="35">
        <v>4</v>
      </c>
      <c r="F89" s="35">
        <v>4</v>
      </c>
      <c r="G89" s="35" t="s">
        <v>163</v>
      </c>
      <c r="H89" s="36"/>
      <c r="I89" s="37">
        <f t="shared" si="7"/>
        <v>0</v>
      </c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>
        <f t="shared" si="4"/>
        <v>0</v>
      </c>
      <c r="W89" s="36"/>
      <c r="X89" s="38">
        <v>30000</v>
      </c>
      <c r="Y89" s="38" t="str">
        <f t="shared" si="5"/>
        <v>无需保养</v>
      </c>
      <c r="Z89" s="38">
        <f t="shared" si="6"/>
        <v>2</v>
      </c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</row>
    <row r="90" spans="1:56" s="1" customFormat="1" ht="14.25" customHeight="1">
      <c r="A90" s="2">
        <v>88</v>
      </c>
      <c r="B90" s="43" t="s">
        <v>239</v>
      </c>
      <c r="C90" s="42">
        <v>68003130</v>
      </c>
      <c r="D90" s="133" t="s">
        <v>238</v>
      </c>
      <c r="E90" s="35">
        <v>4</v>
      </c>
      <c r="F90" s="35">
        <v>4</v>
      </c>
      <c r="G90" s="35" t="s">
        <v>163</v>
      </c>
      <c r="H90" s="36"/>
      <c r="I90" s="37">
        <f t="shared" si="7"/>
        <v>0</v>
      </c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>
        <f t="shared" si="4"/>
        <v>0</v>
      </c>
      <c r="W90" s="36"/>
      <c r="X90" s="38">
        <v>30000</v>
      </c>
      <c r="Y90" s="38" t="str">
        <f t="shared" si="5"/>
        <v>无需保养</v>
      </c>
      <c r="Z90" s="38">
        <f t="shared" si="6"/>
        <v>2</v>
      </c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</row>
    <row r="91" spans="1:56" s="1" customFormat="1" ht="14.25" customHeight="1">
      <c r="A91" s="2">
        <v>89</v>
      </c>
      <c r="B91" s="43" t="s">
        <v>240</v>
      </c>
      <c r="C91" s="42">
        <v>68003131</v>
      </c>
      <c r="D91" s="133" t="s">
        <v>241</v>
      </c>
      <c r="E91" s="35">
        <v>4</v>
      </c>
      <c r="F91" s="35">
        <v>4</v>
      </c>
      <c r="G91" s="35" t="s">
        <v>163</v>
      </c>
      <c r="H91" s="36"/>
      <c r="I91" s="37">
        <f t="shared" si="7"/>
        <v>0</v>
      </c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>
        <f t="shared" si="4"/>
        <v>0</v>
      </c>
      <c r="W91" s="36"/>
      <c r="X91" s="38">
        <v>30000</v>
      </c>
      <c r="Y91" s="38" t="str">
        <f t="shared" si="5"/>
        <v>无需保养</v>
      </c>
      <c r="Z91" s="38">
        <f t="shared" si="6"/>
        <v>1</v>
      </c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</row>
    <row r="92" spans="1:56" s="1" customFormat="1" ht="14.25" customHeight="1">
      <c r="A92" s="2">
        <v>90</v>
      </c>
      <c r="B92" s="43" t="s">
        <v>242</v>
      </c>
      <c r="C92" s="42">
        <v>68003132</v>
      </c>
      <c r="D92" s="134" t="s">
        <v>243</v>
      </c>
      <c r="E92" s="35">
        <v>4</v>
      </c>
      <c r="F92" s="35">
        <v>4</v>
      </c>
      <c r="G92" s="35" t="s">
        <v>163</v>
      </c>
      <c r="H92" s="36"/>
      <c r="I92" s="37">
        <f t="shared" si="7"/>
        <v>0</v>
      </c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>
        <f t="shared" si="4"/>
        <v>0</v>
      </c>
      <c r="W92" s="36"/>
      <c r="X92" s="38">
        <v>30000</v>
      </c>
      <c r="Y92" s="38" t="str">
        <f t="shared" si="5"/>
        <v>无需保养</v>
      </c>
      <c r="Z92" s="38">
        <f t="shared" si="6"/>
        <v>2</v>
      </c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</row>
    <row r="93" spans="1:56" s="1" customFormat="1" ht="14.25" customHeight="1">
      <c r="A93" s="2">
        <v>91</v>
      </c>
      <c r="B93" s="43" t="s">
        <v>244</v>
      </c>
      <c r="C93" s="42">
        <v>68003132</v>
      </c>
      <c r="D93" s="134" t="s">
        <v>245</v>
      </c>
      <c r="E93" s="35">
        <v>4</v>
      </c>
      <c r="F93" s="35">
        <v>4</v>
      </c>
      <c r="G93" s="35" t="s">
        <v>163</v>
      </c>
      <c r="H93" s="36"/>
      <c r="I93" s="37">
        <f t="shared" si="7"/>
        <v>0</v>
      </c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>
        <f t="shared" si="4"/>
        <v>0</v>
      </c>
      <c r="W93" s="36"/>
      <c r="X93" s="38">
        <v>30000</v>
      </c>
      <c r="Y93" s="38" t="str">
        <f t="shared" si="5"/>
        <v>无需保养</v>
      </c>
      <c r="Z93" s="38">
        <f t="shared" si="6"/>
        <v>2</v>
      </c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</row>
    <row r="94" spans="1:56" s="1" customFormat="1" ht="14.25" customHeight="1">
      <c r="A94" s="2">
        <v>92</v>
      </c>
      <c r="B94" s="43" t="s">
        <v>246</v>
      </c>
      <c r="C94" s="42">
        <v>68003133</v>
      </c>
      <c r="D94" s="133" t="s">
        <v>247</v>
      </c>
      <c r="E94" s="35">
        <v>4</v>
      </c>
      <c r="F94" s="35">
        <v>4</v>
      </c>
      <c r="G94" s="35" t="s">
        <v>226</v>
      </c>
      <c r="H94" s="36"/>
      <c r="I94" s="37">
        <f t="shared" si="7"/>
        <v>0</v>
      </c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>
        <f t="shared" si="4"/>
        <v>0</v>
      </c>
      <c r="W94" s="36"/>
      <c r="X94" s="38">
        <v>30000</v>
      </c>
      <c r="Y94" s="38" t="str">
        <f t="shared" si="5"/>
        <v>无需保养</v>
      </c>
      <c r="Z94" s="38">
        <f t="shared" si="6"/>
        <v>2</v>
      </c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</row>
    <row r="95" spans="1:56" s="1" customFormat="1" ht="14.25" customHeight="1">
      <c r="A95" s="2">
        <v>93</v>
      </c>
      <c r="B95" s="43" t="s">
        <v>248</v>
      </c>
      <c r="C95" s="42">
        <v>68003133</v>
      </c>
      <c r="D95" s="134" t="s">
        <v>249</v>
      </c>
      <c r="E95" s="35">
        <v>4</v>
      </c>
      <c r="F95" s="35">
        <v>4</v>
      </c>
      <c r="G95" s="35" t="s">
        <v>163</v>
      </c>
      <c r="H95" s="36"/>
      <c r="I95" s="37">
        <f t="shared" si="7"/>
        <v>0</v>
      </c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>
        <f t="shared" si="4"/>
        <v>0</v>
      </c>
      <c r="W95" s="36"/>
      <c r="X95" s="38">
        <v>30000</v>
      </c>
      <c r="Y95" s="38" t="str">
        <f t="shared" si="5"/>
        <v>无需保养</v>
      </c>
      <c r="Z95" s="38">
        <f t="shared" si="6"/>
        <v>2</v>
      </c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</row>
    <row r="96" spans="1:56" s="1" customFormat="1" ht="14.25" customHeight="1">
      <c r="A96" s="2">
        <v>94</v>
      </c>
      <c r="B96" s="43" t="s">
        <v>250</v>
      </c>
      <c r="C96" s="42">
        <v>68003134</v>
      </c>
      <c r="D96" s="133" t="s">
        <v>251</v>
      </c>
      <c r="E96" s="35">
        <v>2</v>
      </c>
      <c r="F96" s="35">
        <v>2</v>
      </c>
      <c r="G96" s="35" t="s">
        <v>163</v>
      </c>
      <c r="H96" s="36"/>
      <c r="I96" s="37">
        <f t="shared" si="7"/>
        <v>0</v>
      </c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>
        <f t="shared" si="4"/>
        <v>0</v>
      </c>
      <c r="W96" s="36"/>
      <c r="X96" s="38">
        <v>30000</v>
      </c>
      <c r="Y96" s="38" t="str">
        <f t="shared" si="5"/>
        <v>无需保养</v>
      </c>
      <c r="Z96" s="38">
        <f t="shared" si="6"/>
        <v>2</v>
      </c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</row>
    <row r="97" spans="1:56" s="1" customFormat="1" ht="14.25" customHeight="1">
      <c r="A97" s="2">
        <v>95</v>
      </c>
      <c r="B97" s="43" t="s">
        <v>252</v>
      </c>
      <c r="C97" s="42">
        <v>68003134</v>
      </c>
      <c r="D97" s="134" t="s">
        <v>253</v>
      </c>
      <c r="E97" s="35">
        <v>2</v>
      </c>
      <c r="F97" s="35">
        <v>2</v>
      </c>
      <c r="G97" s="35" t="s">
        <v>163</v>
      </c>
      <c r="H97" s="36"/>
      <c r="I97" s="37">
        <f t="shared" si="7"/>
        <v>0</v>
      </c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>
        <f t="shared" si="4"/>
        <v>0</v>
      </c>
      <c r="W97" s="36"/>
      <c r="X97" s="38">
        <v>30000</v>
      </c>
      <c r="Y97" s="38" t="str">
        <f t="shared" si="5"/>
        <v>无需保养</v>
      </c>
      <c r="Z97" s="38">
        <f t="shared" si="6"/>
        <v>2</v>
      </c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  <c r="BB97" s="163"/>
      <c r="BC97" s="163"/>
      <c r="BD97" s="163"/>
    </row>
    <row r="98" spans="1:56" s="1" customFormat="1" ht="14.25" customHeight="1">
      <c r="A98" s="2">
        <v>96</v>
      </c>
      <c r="B98" s="43" t="s">
        <v>254</v>
      </c>
      <c r="C98" s="42">
        <v>68003136</v>
      </c>
      <c r="D98" s="135" t="s">
        <v>255</v>
      </c>
      <c r="E98" s="35">
        <v>2</v>
      </c>
      <c r="F98" s="35">
        <v>2</v>
      </c>
      <c r="G98" s="35" t="s">
        <v>226</v>
      </c>
      <c r="H98" s="36"/>
      <c r="I98" s="37">
        <f t="shared" si="7"/>
        <v>0</v>
      </c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>
        <f t="shared" si="4"/>
        <v>0</v>
      </c>
      <c r="W98" s="36"/>
      <c r="X98" s="38">
        <v>30000</v>
      </c>
      <c r="Y98" s="38" t="str">
        <f t="shared" si="5"/>
        <v>无需保养</v>
      </c>
      <c r="Z98" s="38">
        <f t="shared" si="6"/>
        <v>1</v>
      </c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  <c r="BB98" s="163"/>
      <c r="BC98" s="163"/>
      <c r="BD98" s="163"/>
    </row>
    <row r="99" spans="1:56" s="1" customFormat="1" ht="14.25" customHeight="1">
      <c r="A99" s="2">
        <v>97</v>
      </c>
      <c r="B99" s="43" t="s">
        <v>256</v>
      </c>
      <c r="C99" s="42">
        <v>68003139</v>
      </c>
      <c r="D99" s="135" t="s">
        <v>257</v>
      </c>
      <c r="E99" s="35">
        <v>2</v>
      </c>
      <c r="F99" s="35">
        <v>2</v>
      </c>
      <c r="G99" s="35" t="s">
        <v>226</v>
      </c>
      <c r="H99" s="36"/>
      <c r="I99" s="37">
        <f t="shared" si="7"/>
        <v>0</v>
      </c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>
        <f t="shared" si="4"/>
        <v>0</v>
      </c>
      <c r="W99" s="36"/>
      <c r="X99" s="38">
        <v>30000</v>
      </c>
      <c r="Y99" s="38" t="str">
        <f t="shared" si="5"/>
        <v>无需保养</v>
      </c>
      <c r="Z99" s="38">
        <f t="shared" si="6"/>
        <v>1</v>
      </c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  <c r="BB99" s="163"/>
      <c r="BC99" s="163"/>
      <c r="BD99" s="163"/>
    </row>
    <row r="100" spans="1:56" s="1" customFormat="1" ht="14.25" customHeight="1">
      <c r="A100" s="2">
        <v>98</v>
      </c>
      <c r="B100" s="43" t="s">
        <v>258</v>
      </c>
      <c r="C100" s="42">
        <v>68003154</v>
      </c>
      <c r="D100" s="133" t="s">
        <v>259</v>
      </c>
      <c r="E100" s="35">
        <v>4</v>
      </c>
      <c r="F100" s="35">
        <v>4</v>
      </c>
      <c r="G100" s="35" t="s">
        <v>163</v>
      </c>
      <c r="H100" s="36"/>
      <c r="I100" s="37">
        <f t="shared" si="7"/>
        <v>0</v>
      </c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>
        <f t="shared" si="4"/>
        <v>0</v>
      </c>
      <c r="W100" s="36"/>
      <c r="X100" s="38">
        <v>30000</v>
      </c>
      <c r="Y100" s="38" t="str">
        <f t="shared" si="5"/>
        <v>无需保养</v>
      </c>
      <c r="Z100" s="38">
        <f t="shared" si="6"/>
        <v>2</v>
      </c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  <c r="BB100" s="163"/>
      <c r="BC100" s="163"/>
      <c r="BD100" s="163"/>
    </row>
    <row r="101" spans="1:56" s="1" customFormat="1" ht="14.25" customHeight="1">
      <c r="A101" s="2">
        <v>99</v>
      </c>
      <c r="B101" s="105" t="s">
        <v>260</v>
      </c>
      <c r="C101" s="42">
        <v>68003154</v>
      </c>
      <c r="D101" s="133" t="s">
        <v>261</v>
      </c>
      <c r="E101" s="35">
        <v>4</v>
      </c>
      <c r="F101" s="35">
        <v>4</v>
      </c>
      <c r="G101" s="35" t="s">
        <v>163</v>
      </c>
      <c r="H101" s="36"/>
      <c r="I101" s="37">
        <f t="shared" si="7"/>
        <v>0</v>
      </c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>
        <f t="shared" si="4"/>
        <v>0</v>
      </c>
      <c r="W101" s="36"/>
      <c r="X101" s="38">
        <v>30000</v>
      </c>
      <c r="Y101" s="38" t="str">
        <f t="shared" si="5"/>
        <v>无需保养</v>
      </c>
      <c r="Z101" s="38">
        <f t="shared" si="6"/>
        <v>2</v>
      </c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  <c r="BB101" s="163"/>
      <c r="BC101" s="163"/>
      <c r="BD101" s="163"/>
    </row>
    <row r="102" spans="1:56" s="1" customFormat="1" ht="14.25" customHeight="1">
      <c r="A102" s="2">
        <v>100</v>
      </c>
      <c r="B102" s="43">
        <v>2582</v>
      </c>
      <c r="C102" s="42">
        <v>68003239</v>
      </c>
      <c r="D102" s="133" t="s">
        <v>262</v>
      </c>
      <c r="E102" s="35">
        <v>2</v>
      </c>
      <c r="F102" s="35">
        <v>2</v>
      </c>
      <c r="G102" s="35" t="s">
        <v>186</v>
      </c>
      <c r="H102" s="36"/>
      <c r="I102" s="37">
        <f t="shared" si="7"/>
        <v>0</v>
      </c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>
        <f t="shared" si="4"/>
        <v>0</v>
      </c>
      <c r="W102" s="36"/>
      <c r="X102" s="38">
        <v>30000</v>
      </c>
      <c r="Y102" s="38" t="str">
        <f t="shared" si="5"/>
        <v>无需保养</v>
      </c>
      <c r="Z102" s="38">
        <f t="shared" si="6"/>
        <v>1</v>
      </c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  <c r="BB102" s="163"/>
      <c r="BC102" s="163"/>
      <c r="BD102" s="163"/>
    </row>
    <row r="103" spans="1:56" s="1" customFormat="1" ht="14.25" customHeight="1">
      <c r="A103" s="2">
        <v>101</v>
      </c>
      <c r="B103" s="43" t="s">
        <v>263</v>
      </c>
      <c r="C103" s="42">
        <v>68003251</v>
      </c>
      <c r="D103" s="133" t="s">
        <v>264</v>
      </c>
      <c r="E103" s="35">
        <v>4</v>
      </c>
      <c r="F103" s="35">
        <v>4</v>
      </c>
      <c r="G103" s="35" t="s">
        <v>163</v>
      </c>
      <c r="H103" s="36"/>
      <c r="I103" s="37">
        <f t="shared" si="7"/>
        <v>0</v>
      </c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>
        <f t="shared" si="4"/>
        <v>0</v>
      </c>
      <c r="W103" s="36"/>
      <c r="X103" s="38">
        <v>30000</v>
      </c>
      <c r="Y103" s="38" t="str">
        <f t="shared" si="5"/>
        <v>无需保养</v>
      </c>
      <c r="Z103" s="38">
        <f t="shared" si="6"/>
        <v>1</v>
      </c>
      <c r="AA103" s="163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  <c r="BB103" s="163"/>
      <c r="BC103" s="163"/>
      <c r="BD103" s="163"/>
    </row>
    <row r="104" spans="1:56" s="1" customFormat="1" ht="14.25" customHeight="1">
      <c r="A104" s="2">
        <v>102</v>
      </c>
      <c r="B104" s="43" t="s">
        <v>265</v>
      </c>
      <c r="C104" s="42">
        <v>68003252</v>
      </c>
      <c r="D104" s="133" t="s">
        <v>266</v>
      </c>
      <c r="E104" s="35">
        <v>4</v>
      </c>
      <c r="F104" s="35">
        <v>4</v>
      </c>
      <c r="G104" s="35" t="s">
        <v>163</v>
      </c>
      <c r="H104" s="36"/>
      <c r="I104" s="37">
        <f t="shared" si="7"/>
        <v>0</v>
      </c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>
        <f t="shared" si="4"/>
        <v>0</v>
      </c>
      <c r="W104" s="36"/>
      <c r="X104" s="38">
        <v>30000</v>
      </c>
      <c r="Y104" s="38" t="str">
        <f t="shared" si="5"/>
        <v>无需保养</v>
      </c>
      <c r="Z104" s="38">
        <f t="shared" si="6"/>
        <v>1</v>
      </c>
      <c r="AA104" s="163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  <c r="BB104" s="163"/>
      <c r="BC104" s="163"/>
      <c r="BD104" s="163"/>
    </row>
    <row r="105" spans="1:56" s="1" customFormat="1" ht="14.25" customHeight="1">
      <c r="A105" s="2">
        <v>103</v>
      </c>
      <c r="B105" s="105" t="s">
        <v>267</v>
      </c>
      <c r="C105" s="42">
        <v>68003253</v>
      </c>
      <c r="D105" s="133" t="s">
        <v>268</v>
      </c>
      <c r="E105" s="35">
        <v>4</v>
      </c>
      <c r="F105" s="35">
        <v>4</v>
      </c>
      <c r="G105" s="35" t="s">
        <v>163</v>
      </c>
      <c r="H105" s="36"/>
      <c r="I105" s="37">
        <f t="shared" si="7"/>
        <v>0</v>
      </c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>
        <f t="shared" si="4"/>
        <v>0</v>
      </c>
      <c r="W105" s="36"/>
      <c r="X105" s="38">
        <v>30000</v>
      </c>
      <c r="Y105" s="38" t="str">
        <f t="shared" si="5"/>
        <v>无需保养</v>
      </c>
      <c r="Z105" s="38">
        <f t="shared" si="6"/>
        <v>1</v>
      </c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  <c r="BB105" s="163"/>
      <c r="BC105" s="163"/>
      <c r="BD105" s="163"/>
    </row>
    <row r="106" spans="1:56" s="1" customFormat="1" ht="14.25" customHeight="1">
      <c r="A106" s="2">
        <v>104</v>
      </c>
      <c r="B106" s="43" t="s">
        <v>269</v>
      </c>
      <c r="C106" s="42">
        <v>68003254</v>
      </c>
      <c r="D106" s="133" t="s">
        <v>270</v>
      </c>
      <c r="E106" s="35">
        <v>4</v>
      </c>
      <c r="F106" s="35">
        <v>4</v>
      </c>
      <c r="G106" s="35" t="s">
        <v>163</v>
      </c>
      <c r="H106" s="36"/>
      <c r="I106" s="37">
        <f t="shared" si="7"/>
        <v>0</v>
      </c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>
        <f t="shared" si="4"/>
        <v>0</v>
      </c>
      <c r="W106" s="36"/>
      <c r="X106" s="38">
        <v>30000</v>
      </c>
      <c r="Y106" s="38" t="str">
        <f t="shared" si="5"/>
        <v>无需保养</v>
      </c>
      <c r="Z106" s="38">
        <f t="shared" si="6"/>
        <v>1</v>
      </c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  <c r="BB106" s="163"/>
      <c r="BC106" s="163"/>
      <c r="BD106" s="163"/>
    </row>
    <row r="107" spans="1:56" s="1" customFormat="1" ht="14.25" customHeight="1">
      <c r="A107" s="2">
        <v>105</v>
      </c>
      <c r="B107" s="43" t="s">
        <v>271</v>
      </c>
      <c r="C107" s="42">
        <v>68003255</v>
      </c>
      <c r="D107" s="133" t="s">
        <v>272</v>
      </c>
      <c r="E107" s="35">
        <v>4</v>
      </c>
      <c r="F107" s="35">
        <v>4</v>
      </c>
      <c r="G107" s="35" t="s">
        <v>163</v>
      </c>
      <c r="H107" s="36"/>
      <c r="I107" s="37">
        <f t="shared" si="7"/>
        <v>0</v>
      </c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>
        <f t="shared" si="4"/>
        <v>0</v>
      </c>
      <c r="W107" s="36"/>
      <c r="X107" s="38">
        <v>30000</v>
      </c>
      <c r="Y107" s="38" t="str">
        <f t="shared" si="5"/>
        <v>无需保养</v>
      </c>
      <c r="Z107" s="38">
        <f t="shared" si="6"/>
        <v>1</v>
      </c>
      <c r="AA107" s="163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  <c r="BB107" s="163"/>
      <c r="BC107" s="163"/>
      <c r="BD107" s="163"/>
    </row>
    <row r="108" spans="1:56" s="1" customFormat="1" ht="14.25" customHeight="1">
      <c r="A108" s="2">
        <v>106</v>
      </c>
      <c r="B108" s="43" t="s">
        <v>273</v>
      </c>
      <c r="C108" s="42">
        <v>68003256</v>
      </c>
      <c r="D108" s="133" t="s">
        <v>274</v>
      </c>
      <c r="E108" s="35">
        <v>4</v>
      </c>
      <c r="F108" s="35">
        <v>4</v>
      </c>
      <c r="G108" s="35" t="s">
        <v>163</v>
      </c>
      <c r="H108" s="36"/>
      <c r="I108" s="37">
        <f t="shared" si="7"/>
        <v>0</v>
      </c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>
        <f t="shared" si="4"/>
        <v>0</v>
      </c>
      <c r="W108" s="36"/>
      <c r="X108" s="38">
        <v>30000</v>
      </c>
      <c r="Y108" s="38" t="str">
        <f t="shared" si="5"/>
        <v>无需保养</v>
      </c>
      <c r="Z108" s="38">
        <f t="shared" si="6"/>
        <v>1</v>
      </c>
      <c r="AA108" s="163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  <c r="BB108" s="163"/>
      <c r="BC108" s="163"/>
      <c r="BD108" s="163"/>
    </row>
    <row r="109" spans="1:56" s="1" customFormat="1" ht="14.25" customHeight="1">
      <c r="A109" s="2">
        <v>107</v>
      </c>
      <c r="B109" s="105" t="s">
        <v>275</v>
      </c>
      <c r="C109" s="42">
        <v>68003449</v>
      </c>
      <c r="D109" s="133" t="s">
        <v>276</v>
      </c>
      <c r="E109" s="35">
        <v>4</v>
      </c>
      <c r="F109" s="35">
        <v>4</v>
      </c>
      <c r="G109" s="35" t="s">
        <v>163</v>
      </c>
      <c r="H109" s="36"/>
      <c r="I109" s="37">
        <f t="shared" si="7"/>
        <v>0</v>
      </c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>
        <f t="shared" si="4"/>
        <v>0</v>
      </c>
      <c r="W109" s="36"/>
      <c r="X109" s="38">
        <v>30000</v>
      </c>
      <c r="Y109" s="38" t="str">
        <f t="shared" si="5"/>
        <v>无需保养</v>
      </c>
      <c r="Z109" s="38">
        <f t="shared" si="6"/>
        <v>1</v>
      </c>
      <c r="AA109" s="163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  <c r="BB109" s="163"/>
      <c r="BC109" s="163"/>
      <c r="BD109" s="163"/>
    </row>
    <row r="110" spans="1:56" s="1" customFormat="1" ht="14.25" customHeight="1">
      <c r="A110" s="2">
        <v>108</v>
      </c>
      <c r="B110" s="43" t="s">
        <v>277</v>
      </c>
      <c r="C110" s="42">
        <v>68003450</v>
      </c>
      <c r="D110" s="133" t="s">
        <v>278</v>
      </c>
      <c r="E110" s="35">
        <v>4</v>
      </c>
      <c r="F110" s="35">
        <v>4</v>
      </c>
      <c r="G110" s="35" t="s">
        <v>163</v>
      </c>
      <c r="H110" s="36"/>
      <c r="I110" s="37">
        <f t="shared" si="7"/>
        <v>0</v>
      </c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>
        <f t="shared" si="4"/>
        <v>0</v>
      </c>
      <c r="W110" s="36"/>
      <c r="X110" s="38">
        <v>30000</v>
      </c>
      <c r="Y110" s="38" t="str">
        <f t="shared" si="5"/>
        <v>无需保养</v>
      </c>
      <c r="Z110" s="38">
        <f t="shared" si="6"/>
        <v>1</v>
      </c>
      <c r="AA110" s="163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  <c r="BB110" s="163"/>
      <c r="BC110" s="163"/>
      <c r="BD110" s="163"/>
    </row>
    <row r="111" spans="1:56" s="1" customFormat="1" ht="14.25" customHeight="1">
      <c r="A111" s="2">
        <v>109</v>
      </c>
      <c r="B111" s="43" t="s">
        <v>279</v>
      </c>
      <c r="C111" s="42">
        <v>68003451</v>
      </c>
      <c r="D111" s="133" t="s">
        <v>280</v>
      </c>
      <c r="E111" s="35">
        <v>4</v>
      </c>
      <c r="F111" s="35">
        <v>4</v>
      </c>
      <c r="G111" s="35" t="s">
        <v>163</v>
      </c>
      <c r="H111" s="36"/>
      <c r="I111" s="37">
        <f t="shared" si="7"/>
        <v>0</v>
      </c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>
        <f t="shared" si="4"/>
        <v>0</v>
      </c>
      <c r="W111" s="36"/>
      <c r="X111" s="38">
        <v>30000</v>
      </c>
      <c r="Y111" s="38" t="str">
        <f t="shared" si="5"/>
        <v>无需保养</v>
      </c>
      <c r="Z111" s="38">
        <f t="shared" si="6"/>
        <v>1</v>
      </c>
      <c r="AA111" s="163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  <c r="BB111" s="163"/>
      <c r="BC111" s="163"/>
      <c r="BD111" s="163"/>
    </row>
    <row r="112" spans="1:56" s="1" customFormat="1" ht="14.25" customHeight="1">
      <c r="A112" s="2">
        <v>110</v>
      </c>
      <c r="B112" s="43" t="s">
        <v>281</v>
      </c>
      <c r="C112" s="42">
        <v>68003452</v>
      </c>
      <c r="D112" s="133" t="s">
        <v>282</v>
      </c>
      <c r="E112" s="35">
        <v>4</v>
      </c>
      <c r="F112" s="35">
        <v>4</v>
      </c>
      <c r="G112" s="35" t="s">
        <v>163</v>
      </c>
      <c r="H112" s="36"/>
      <c r="I112" s="37">
        <f t="shared" si="7"/>
        <v>0</v>
      </c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>
        <f t="shared" si="4"/>
        <v>0</v>
      </c>
      <c r="W112" s="36"/>
      <c r="X112" s="38">
        <v>30000</v>
      </c>
      <c r="Y112" s="38" t="str">
        <f t="shared" si="5"/>
        <v>无需保养</v>
      </c>
      <c r="Z112" s="38">
        <f t="shared" si="6"/>
        <v>1</v>
      </c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</row>
    <row r="113" spans="1:56" s="1" customFormat="1" ht="14.25" customHeight="1">
      <c r="A113" s="2">
        <v>111</v>
      </c>
      <c r="B113" s="43" t="s">
        <v>283</v>
      </c>
      <c r="C113" s="42">
        <v>68003453</v>
      </c>
      <c r="D113" s="133" t="s">
        <v>284</v>
      </c>
      <c r="E113" s="35">
        <v>4</v>
      </c>
      <c r="F113" s="35">
        <v>4</v>
      </c>
      <c r="G113" s="35" t="s">
        <v>163</v>
      </c>
      <c r="H113" s="36"/>
      <c r="I113" s="37">
        <f t="shared" si="7"/>
        <v>0</v>
      </c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>
        <f t="shared" si="4"/>
        <v>0</v>
      </c>
      <c r="W113" s="36"/>
      <c r="X113" s="38">
        <v>30000</v>
      </c>
      <c r="Y113" s="38" t="str">
        <f t="shared" si="5"/>
        <v>无需保养</v>
      </c>
      <c r="Z113" s="38">
        <f t="shared" si="6"/>
        <v>1</v>
      </c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  <c r="BB113" s="163"/>
      <c r="BC113" s="163"/>
      <c r="BD113" s="163"/>
    </row>
    <row r="114" spans="1:56" s="1" customFormat="1" ht="14.25" customHeight="1">
      <c r="A114" s="2">
        <v>112</v>
      </c>
      <c r="B114" s="43" t="s">
        <v>285</v>
      </c>
      <c r="C114" s="42">
        <v>68003454</v>
      </c>
      <c r="D114" s="133" t="s">
        <v>286</v>
      </c>
      <c r="E114" s="35">
        <v>4</v>
      </c>
      <c r="F114" s="35">
        <v>4</v>
      </c>
      <c r="G114" s="35" t="s">
        <v>163</v>
      </c>
      <c r="H114" s="36"/>
      <c r="I114" s="37">
        <f t="shared" si="7"/>
        <v>0</v>
      </c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>
        <f t="shared" si="4"/>
        <v>0</v>
      </c>
      <c r="W114" s="36"/>
      <c r="X114" s="38">
        <v>30000</v>
      </c>
      <c r="Y114" s="38" t="str">
        <f t="shared" si="5"/>
        <v>无需保养</v>
      </c>
      <c r="Z114" s="38">
        <f t="shared" si="6"/>
        <v>1</v>
      </c>
      <c r="AA114" s="163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  <c r="BB114" s="163"/>
      <c r="BC114" s="163"/>
      <c r="BD114" s="163"/>
    </row>
    <row r="115" spans="1:56" s="1" customFormat="1" ht="14.25" customHeight="1">
      <c r="A115" s="2">
        <v>113</v>
      </c>
      <c r="B115" s="43" t="s">
        <v>287</v>
      </c>
      <c r="C115" s="42">
        <v>68003455</v>
      </c>
      <c r="D115" s="133" t="s">
        <v>288</v>
      </c>
      <c r="E115" s="35">
        <v>4</v>
      </c>
      <c r="F115" s="35">
        <v>4</v>
      </c>
      <c r="G115" s="35" t="s">
        <v>163</v>
      </c>
      <c r="H115" s="36"/>
      <c r="I115" s="37">
        <f t="shared" si="7"/>
        <v>0</v>
      </c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>
        <f t="shared" si="4"/>
        <v>0</v>
      </c>
      <c r="W115" s="36"/>
      <c r="X115" s="38">
        <v>30000</v>
      </c>
      <c r="Y115" s="38" t="str">
        <f t="shared" si="5"/>
        <v>无需保养</v>
      </c>
      <c r="Z115" s="38">
        <f t="shared" si="6"/>
        <v>1</v>
      </c>
      <c r="AA115" s="163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  <c r="BB115" s="163"/>
      <c r="BC115" s="163"/>
      <c r="BD115" s="163"/>
    </row>
    <row r="116" spans="1:56" s="1" customFormat="1" ht="14.25" customHeight="1">
      <c r="A116" s="2">
        <v>114</v>
      </c>
      <c r="B116" s="43" t="s">
        <v>289</v>
      </c>
      <c r="C116" s="42">
        <v>68003456</v>
      </c>
      <c r="D116" s="133" t="s">
        <v>290</v>
      </c>
      <c r="E116" s="35">
        <v>4</v>
      </c>
      <c r="F116" s="35">
        <v>4</v>
      </c>
      <c r="G116" s="35" t="s">
        <v>163</v>
      </c>
      <c r="H116" s="36"/>
      <c r="I116" s="37">
        <f t="shared" si="7"/>
        <v>0</v>
      </c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>
        <f t="shared" si="4"/>
        <v>0</v>
      </c>
      <c r="W116" s="36"/>
      <c r="X116" s="38">
        <v>30000</v>
      </c>
      <c r="Y116" s="38" t="str">
        <f t="shared" si="5"/>
        <v>无需保养</v>
      </c>
      <c r="Z116" s="38">
        <f t="shared" si="6"/>
        <v>1</v>
      </c>
      <c r="AA116" s="163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  <c r="BB116" s="163"/>
      <c r="BC116" s="163"/>
      <c r="BD116" s="163"/>
    </row>
    <row r="117" spans="1:56" s="1" customFormat="1" ht="14.25" customHeight="1">
      <c r="A117" s="2">
        <v>115</v>
      </c>
      <c r="B117" s="43" t="s">
        <v>291</v>
      </c>
      <c r="C117" s="42">
        <v>68003457</v>
      </c>
      <c r="D117" s="133" t="s">
        <v>292</v>
      </c>
      <c r="E117" s="35">
        <v>4</v>
      </c>
      <c r="F117" s="35">
        <v>4</v>
      </c>
      <c r="G117" s="35" t="s">
        <v>163</v>
      </c>
      <c r="H117" s="36"/>
      <c r="I117" s="37">
        <f t="shared" si="7"/>
        <v>0</v>
      </c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>
        <f t="shared" si="4"/>
        <v>0</v>
      </c>
      <c r="W117" s="36"/>
      <c r="X117" s="38">
        <v>30000</v>
      </c>
      <c r="Y117" s="38" t="str">
        <f t="shared" si="5"/>
        <v>无需保养</v>
      </c>
      <c r="Z117" s="38">
        <f t="shared" si="6"/>
        <v>1</v>
      </c>
      <c r="AA117" s="163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  <c r="BB117" s="163"/>
      <c r="BC117" s="163"/>
      <c r="BD117" s="163"/>
    </row>
    <row r="118" spans="1:56" s="1" customFormat="1" ht="14.25" customHeight="1">
      <c r="A118" s="2">
        <v>116</v>
      </c>
      <c r="B118" s="43" t="s">
        <v>293</v>
      </c>
      <c r="C118" s="42">
        <v>68003458</v>
      </c>
      <c r="D118" s="133" t="s">
        <v>294</v>
      </c>
      <c r="E118" s="35">
        <v>2</v>
      </c>
      <c r="F118" s="35">
        <v>2</v>
      </c>
      <c r="G118" s="35" t="s">
        <v>163</v>
      </c>
      <c r="H118" s="36"/>
      <c r="I118" s="37">
        <f t="shared" si="7"/>
        <v>0</v>
      </c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>
        <f t="shared" si="4"/>
        <v>0</v>
      </c>
      <c r="W118" s="36"/>
      <c r="X118" s="38">
        <v>30000</v>
      </c>
      <c r="Y118" s="38" t="str">
        <f t="shared" si="5"/>
        <v>无需保养</v>
      </c>
      <c r="Z118" s="38">
        <f t="shared" si="6"/>
        <v>1</v>
      </c>
      <c r="AA118" s="163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  <c r="BB118" s="163"/>
      <c r="BC118" s="163"/>
      <c r="BD118" s="163"/>
    </row>
    <row r="119" spans="1:56" s="1" customFormat="1" ht="14.25" customHeight="1">
      <c r="A119" s="2">
        <v>117</v>
      </c>
      <c r="B119" s="43" t="s">
        <v>295</v>
      </c>
      <c r="C119" s="42">
        <v>68003459</v>
      </c>
      <c r="D119" s="133" t="s">
        <v>296</v>
      </c>
      <c r="E119" s="35">
        <v>2</v>
      </c>
      <c r="F119" s="35">
        <v>2</v>
      </c>
      <c r="G119" s="35" t="s">
        <v>163</v>
      </c>
      <c r="H119" s="36"/>
      <c r="I119" s="37">
        <f t="shared" si="7"/>
        <v>0</v>
      </c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>
        <f t="shared" si="4"/>
        <v>0</v>
      </c>
      <c r="W119" s="36"/>
      <c r="X119" s="38">
        <v>30000</v>
      </c>
      <c r="Y119" s="38" t="str">
        <f t="shared" si="5"/>
        <v>无需保养</v>
      </c>
      <c r="Z119" s="38">
        <f t="shared" si="6"/>
        <v>1</v>
      </c>
      <c r="AA119" s="163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  <c r="BB119" s="163"/>
      <c r="BC119" s="163"/>
      <c r="BD119" s="163"/>
    </row>
    <row r="120" spans="1:56" s="1" customFormat="1" ht="14.25" customHeight="1">
      <c r="A120" s="2">
        <v>118</v>
      </c>
      <c r="B120" s="43" t="s">
        <v>297</v>
      </c>
      <c r="C120" s="42">
        <v>68003460</v>
      </c>
      <c r="D120" s="133" t="s">
        <v>298</v>
      </c>
      <c r="E120" s="35">
        <v>2</v>
      </c>
      <c r="F120" s="35">
        <v>2</v>
      </c>
      <c r="G120" s="35" t="s">
        <v>163</v>
      </c>
      <c r="H120" s="36"/>
      <c r="I120" s="37">
        <f t="shared" si="7"/>
        <v>0</v>
      </c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>
        <f t="shared" si="4"/>
        <v>0</v>
      </c>
      <c r="W120" s="36"/>
      <c r="X120" s="38">
        <v>30000</v>
      </c>
      <c r="Y120" s="38" t="str">
        <f t="shared" si="5"/>
        <v>无需保养</v>
      </c>
      <c r="Z120" s="38">
        <f t="shared" si="6"/>
        <v>1</v>
      </c>
      <c r="AA120" s="163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  <c r="BB120" s="163"/>
      <c r="BC120" s="163"/>
      <c r="BD120" s="163"/>
    </row>
    <row r="121" spans="1:56" s="1" customFormat="1" ht="14.25" customHeight="1">
      <c r="A121" s="2">
        <v>119</v>
      </c>
      <c r="B121" s="43" t="s">
        <v>299</v>
      </c>
      <c r="C121" s="42">
        <v>68003461</v>
      </c>
      <c r="D121" s="133" t="s">
        <v>300</v>
      </c>
      <c r="E121" s="35">
        <v>2</v>
      </c>
      <c r="F121" s="35">
        <v>2</v>
      </c>
      <c r="G121" s="35" t="s">
        <v>163</v>
      </c>
      <c r="H121" s="36"/>
      <c r="I121" s="37">
        <f t="shared" si="7"/>
        <v>0</v>
      </c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>
        <f t="shared" si="4"/>
        <v>0</v>
      </c>
      <c r="W121" s="36"/>
      <c r="X121" s="38">
        <v>30000</v>
      </c>
      <c r="Y121" s="38" t="str">
        <f t="shared" si="5"/>
        <v>无需保养</v>
      </c>
      <c r="Z121" s="38">
        <f t="shared" si="6"/>
        <v>1</v>
      </c>
      <c r="AA121" s="163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  <c r="BB121" s="163"/>
      <c r="BC121" s="163"/>
      <c r="BD121" s="163"/>
    </row>
    <row r="122" spans="1:56" s="1" customFormat="1" ht="14.25" customHeight="1">
      <c r="A122" s="2">
        <v>120</v>
      </c>
      <c r="B122" s="43" t="s">
        <v>301</v>
      </c>
      <c r="C122" s="42">
        <v>68003462</v>
      </c>
      <c r="D122" s="133" t="s">
        <v>302</v>
      </c>
      <c r="E122" s="35">
        <v>2</v>
      </c>
      <c r="F122" s="35">
        <v>2</v>
      </c>
      <c r="G122" s="35" t="s">
        <v>163</v>
      </c>
      <c r="H122" s="36"/>
      <c r="I122" s="37">
        <f t="shared" si="7"/>
        <v>0</v>
      </c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>
        <f t="shared" si="4"/>
        <v>0</v>
      </c>
      <c r="W122" s="36"/>
      <c r="X122" s="38">
        <v>30000</v>
      </c>
      <c r="Y122" s="38" t="str">
        <f t="shared" si="5"/>
        <v>无需保养</v>
      </c>
      <c r="Z122" s="38">
        <f t="shared" si="6"/>
        <v>1</v>
      </c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  <c r="BB122" s="163"/>
      <c r="BC122" s="163"/>
      <c r="BD122" s="163"/>
    </row>
    <row r="123" spans="1:56" s="1" customFormat="1" ht="14.25" customHeight="1">
      <c r="A123" s="2">
        <v>121</v>
      </c>
      <c r="B123" s="43" t="s">
        <v>303</v>
      </c>
      <c r="C123" s="42">
        <v>68003463</v>
      </c>
      <c r="D123" s="133" t="s">
        <v>304</v>
      </c>
      <c r="E123" s="35">
        <v>4</v>
      </c>
      <c r="F123" s="35">
        <v>4</v>
      </c>
      <c r="G123" s="35" t="s">
        <v>163</v>
      </c>
      <c r="H123" s="36"/>
      <c r="I123" s="37">
        <f t="shared" si="7"/>
        <v>0</v>
      </c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>
        <f t="shared" si="4"/>
        <v>0</v>
      </c>
      <c r="W123" s="36"/>
      <c r="X123" s="38">
        <v>30000</v>
      </c>
      <c r="Y123" s="38" t="str">
        <f t="shared" si="5"/>
        <v>无需保养</v>
      </c>
      <c r="Z123" s="38">
        <f t="shared" si="6"/>
        <v>1</v>
      </c>
      <c r="AA123" s="163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  <c r="BB123" s="163"/>
      <c r="BC123" s="163"/>
      <c r="BD123" s="163"/>
    </row>
    <row r="124" spans="1:56" s="1" customFormat="1" ht="14.25" customHeight="1">
      <c r="A124" s="2">
        <v>122</v>
      </c>
      <c r="B124" s="43" t="s">
        <v>305</v>
      </c>
      <c r="C124" s="42">
        <v>68003464</v>
      </c>
      <c r="D124" s="133" t="s">
        <v>306</v>
      </c>
      <c r="E124" s="35">
        <v>4</v>
      </c>
      <c r="F124" s="35">
        <v>4</v>
      </c>
      <c r="G124" s="35" t="s">
        <v>163</v>
      </c>
      <c r="H124" s="36"/>
      <c r="I124" s="37">
        <f t="shared" si="7"/>
        <v>0</v>
      </c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>
        <f t="shared" si="4"/>
        <v>0</v>
      </c>
      <c r="W124" s="36"/>
      <c r="X124" s="38">
        <v>30000</v>
      </c>
      <c r="Y124" s="38" t="str">
        <f t="shared" si="5"/>
        <v>无需保养</v>
      </c>
      <c r="Z124" s="38">
        <f t="shared" si="6"/>
        <v>1</v>
      </c>
      <c r="AA124" s="163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  <c r="BB124" s="163"/>
      <c r="BC124" s="163"/>
      <c r="BD124" s="163"/>
    </row>
    <row r="125" spans="1:56" s="1" customFormat="1" ht="14.25" customHeight="1">
      <c r="A125" s="2">
        <v>123</v>
      </c>
      <c r="B125" s="43" t="s">
        <v>307</v>
      </c>
      <c r="C125" s="42">
        <v>68003465</v>
      </c>
      <c r="D125" s="133" t="s">
        <v>308</v>
      </c>
      <c r="E125" s="35">
        <v>4</v>
      </c>
      <c r="F125" s="35">
        <v>4</v>
      </c>
      <c r="G125" s="35" t="s">
        <v>163</v>
      </c>
      <c r="H125" s="36"/>
      <c r="I125" s="37">
        <f t="shared" si="7"/>
        <v>0</v>
      </c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>
        <f t="shared" si="4"/>
        <v>0</v>
      </c>
      <c r="W125" s="36"/>
      <c r="X125" s="38">
        <v>30000</v>
      </c>
      <c r="Y125" s="38" t="str">
        <f t="shared" si="5"/>
        <v>无需保养</v>
      </c>
      <c r="Z125" s="38">
        <f t="shared" si="6"/>
        <v>1</v>
      </c>
      <c r="AA125" s="163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  <c r="BB125" s="163"/>
      <c r="BC125" s="163"/>
      <c r="BD125" s="163"/>
    </row>
    <row r="126" spans="1:56" s="1" customFormat="1" ht="14.25" customHeight="1">
      <c r="A126" s="2">
        <v>124</v>
      </c>
      <c r="B126" s="43" t="s">
        <v>309</v>
      </c>
      <c r="C126" s="42">
        <v>68003468</v>
      </c>
      <c r="D126" s="133" t="s">
        <v>310</v>
      </c>
      <c r="E126" s="35">
        <v>2</v>
      </c>
      <c r="F126" s="35">
        <v>2</v>
      </c>
      <c r="G126" s="35" t="s">
        <v>166</v>
      </c>
      <c r="H126" s="36"/>
      <c r="I126" s="37">
        <f t="shared" si="7"/>
        <v>0</v>
      </c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>
        <f t="shared" si="4"/>
        <v>0</v>
      </c>
      <c r="W126" s="36"/>
      <c r="X126" s="38">
        <v>30000</v>
      </c>
      <c r="Y126" s="38" t="str">
        <f t="shared" si="5"/>
        <v>无需保养</v>
      </c>
      <c r="Z126" s="38">
        <f t="shared" si="6"/>
        <v>1</v>
      </c>
      <c r="AA126" s="163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  <c r="BB126" s="163"/>
      <c r="BC126" s="163"/>
      <c r="BD126" s="163"/>
    </row>
    <row r="127" spans="1:56" s="1" customFormat="1" ht="14.25" customHeight="1">
      <c r="A127" s="2">
        <v>125</v>
      </c>
      <c r="B127" s="43" t="s">
        <v>311</v>
      </c>
      <c r="C127" s="42">
        <v>68003469</v>
      </c>
      <c r="D127" s="133" t="s">
        <v>312</v>
      </c>
      <c r="E127" s="35">
        <v>2</v>
      </c>
      <c r="F127" s="35">
        <v>2</v>
      </c>
      <c r="G127" s="35" t="s">
        <v>163</v>
      </c>
      <c r="H127" s="36"/>
      <c r="I127" s="37">
        <f t="shared" si="7"/>
        <v>0</v>
      </c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>
        <f t="shared" si="4"/>
        <v>0</v>
      </c>
      <c r="W127" s="36"/>
      <c r="X127" s="38">
        <v>30000</v>
      </c>
      <c r="Y127" s="38" t="str">
        <f t="shared" si="5"/>
        <v>无需保养</v>
      </c>
      <c r="Z127" s="38">
        <f t="shared" si="6"/>
        <v>1</v>
      </c>
      <c r="AA127" s="163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  <c r="BB127" s="163"/>
      <c r="BC127" s="163"/>
      <c r="BD127" s="163"/>
    </row>
    <row r="128" spans="1:56" s="1" customFormat="1" ht="14.25" customHeight="1">
      <c r="A128" s="2">
        <v>126</v>
      </c>
      <c r="B128" s="43" t="s">
        <v>313</v>
      </c>
      <c r="C128" s="42">
        <v>68003470</v>
      </c>
      <c r="D128" s="133" t="s">
        <v>314</v>
      </c>
      <c r="E128" s="35">
        <v>2</v>
      </c>
      <c r="F128" s="35">
        <v>2</v>
      </c>
      <c r="G128" s="35" t="s">
        <v>163</v>
      </c>
      <c r="H128" s="36"/>
      <c r="I128" s="37">
        <f t="shared" si="7"/>
        <v>0</v>
      </c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>
        <f t="shared" si="4"/>
        <v>0</v>
      </c>
      <c r="W128" s="36"/>
      <c r="X128" s="38">
        <v>30000</v>
      </c>
      <c r="Y128" s="38" t="str">
        <f t="shared" si="5"/>
        <v>无需保养</v>
      </c>
      <c r="Z128" s="38">
        <f t="shared" si="6"/>
        <v>1</v>
      </c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  <c r="BB128" s="163"/>
      <c r="BC128" s="163"/>
      <c r="BD128" s="163"/>
    </row>
    <row r="129" spans="1:56" s="1" customFormat="1" ht="14.25" customHeight="1">
      <c r="A129" s="2">
        <v>127</v>
      </c>
      <c r="B129" s="43" t="s">
        <v>315</v>
      </c>
      <c r="C129" s="42">
        <v>68003520</v>
      </c>
      <c r="D129" s="42" t="s">
        <v>316</v>
      </c>
      <c r="E129" s="35">
        <v>8</v>
      </c>
      <c r="F129" s="35">
        <v>8</v>
      </c>
      <c r="G129" s="35" t="s">
        <v>174</v>
      </c>
      <c r="H129" s="36"/>
      <c r="I129" s="37">
        <f t="shared" si="7"/>
        <v>0</v>
      </c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>
        <f t="shared" si="4"/>
        <v>0</v>
      </c>
      <c r="W129" s="36"/>
      <c r="X129" s="38">
        <v>30000</v>
      </c>
      <c r="Y129" s="38" t="str">
        <f t="shared" si="5"/>
        <v>无需保养</v>
      </c>
      <c r="Z129" s="38">
        <f t="shared" si="6"/>
        <v>1</v>
      </c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  <c r="BB129" s="163"/>
      <c r="BC129" s="163"/>
      <c r="BD129" s="163"/>
    </row>
    <row r="130" spans="1:56" s="1" customFormat="1" ht="14.25" customHeight="1">
      <c r="A130" s="2">
        <v>128</v>
      </c>
      <c r="B130" s="43" t="s">
        <v>317</v>
      </c>
      <c r="C130" s="42">
        <v>68003524</v>
      </c>
      <c r="D130" s="42" t="s">
        <v>318</v>
      </c>
      <c r="E130" s="35">
        <v>8</v>
      </c>
      <c r="F130" s="35">
        <v>8</v>
      </c>
      <c r="G130" s="35" t="s">
        <v>174</v>
      </c>
      <c r="H130" s="36"/>
      <c r="I130" s="37">
        <f t="shared" si="7"/>
        <v>0</v>
      </c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>
        <f t="shared" si="4"/>
        <v>0</v>
      </c>
      <c r="W130" s="36"/>
      <c r="X130" s="38">
        <v>30000</v>
      </c>
      <c r="Y130" s="38" t="str">
        <f t="shared" si="5"/>
        <v>无需保养</v>
      </c>
      <c r="Z130" s="38">
        <f t="shared" si="6"/>
        <v>1</v>
      </c>
      <c r="AA130" s="163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  <c r="BB130" s="163"/>
      <c r="BC130" s="163"/>
      <c r="BD130" s="163"/>
    </row>
    <row r="131" spans="1:56" s="1" customFormat="1" ht="14.25" customHeight="1">
      <c r="A131" s="2">
        <v>129</v>
      </c>
      <c r="B131" s="43" t="s">
        <v>319</v>
      </c>
      <c r="C131" s="42">
        <v>68003528</v>
      </c>
      <c r="D131" s="133" t="s">
        <v>320</v>
      </c>
      <c r="E131" s="35">
        <v>8</v>
      </c>
      <c r="F131" s="35">
        <v>8</v>
      </c>
      <c r="G131" s="35" t="s">
        <v>174</v>
      </c>
      <c r="H131" s="36"/>
      <c r="I131" s="37">
        <f t="shared" si="7"/>
        <v>0</v>
      </c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>
        <f t="shared" si="4"/>
        <v>0</v>
      </c>
      <c r="W131" s="36"/>
      <c r="X131" s="38">
        <v>30000</v>
      </c>
      <c r="Y131" s="38" t="str">
        <f t="shared" si="5"/>
        <v>无需保养</v>
      </c>
      <c r="Z131" s="38">
        <f t="shared" si="6"/>
        <v>1</v>
      </c>
      <c r="AA131" s="163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  <c r="BB131" s="163"/>
      <c r="BC131" s="163"/>
      <c r="BD131" s="163"/>
    </row>
    <row r="132" spans="1:56" s="1" customFormat="1" ht="14.25" customHeight="1">
      <c r="A132" s="2">
        <v>130</v>
      </c>
      <c r="B132" s="43" t="s">
        <v>321</v>
      </c>
      <c r="C132" s="42">
        <v>68003613</v>
      </c>
      <c r="D132" s="136" t="s">
        <v>322</v>
      </c>
      <c r="E132" s="35">
        <v>2</v>
      </c>
      <c r="F132" s="35">
        <v>2</v>
      </c>
      <c r="G132" s="35" t="s">
        <v>174</v>
      </c>
      <c r="H132" s="36"/>
      <c r="I132" s="37">
        <f t="shared" si="7"/>
        <v>0</v>
      </c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>
        <f t="shared" si="4"/>
        <v>0</v>
      </c>
      <c r="W132" s="36"/>
      <c r="X132" s="38">
        <v>30000</v>
      </c>
      <c r="Y132" s="38" t="str">
        <f t="shared" si="5"/>
        <v>无需保养</v>
      </c>
      <c r="Z132" s="38">
        <f t="shared" si="6"/>
        <v>1</v>
      </c>
      <c r="AA132" s="163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  <c r="BB132" s="163"/>
      <c r="BC132" s="163"/>
      <c r="BD132" s="163"/>
    </row>
    <row r="133" spans="1:56" s="1" customFormat="1" ht="14.25" customHeight="1">
      <c r="A133" s="2">
        <v>131</v>
      </c>
      <c r="B133" s="43" t="s">
        <v>323</v>
      </c>
      <c r="C133" s="42">
        <v>68003614</v>
      </c>
      <c r="D133" s="136" t="s">
        <v>324</v>
      </c>
      <c r="E133" s="35">
        <v>2</v>
      </c>
      <c r="F133" s="35">
        <v>2</v>
      </c>
      <c r="G133" s="35" t="s">
        <v>174</v>
      </c>
      <c r="H133" s="36"/>
      <c r="I133" s="37">
        <f t="shared" si="7"/>
        <v>0</v>
      </c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>
        <f t="shared" ref="V133:V196" si="8">I133/F133</f>
        <v>0</v>
      </c>
      <c r="W133" s="36"/>
      <c r="X133" s="38">
        <v>30000</v>
      </c>
      <c r="Y133" s="38" t="str">
        <f t="shared" ref="Y133:Y196" si="9">IF(OR(AND(W133&lt;&gt;0,QUOTIENT(V133,X133)&gt;=1,(MOD(V133,X133)/X133)&gt;=0.9,(QUOTIENT(V133,X133)+1)&gt;W133),AND(QUOTIENT(V133,X133)=0,MOD(V133,X133)/X133&gt;=0.9,(QUOTIENT(V133,X133)+1)&gt;W133),QUOTIENT(V133,X133)&gt;W133),"保养","无需保养")</f>
        <v>无需保养</v>
      </c>
      <c r="Z133" s="38">
        <f t="shared" ref="Z133:Z196" si="10">COUNTIF($C$5:$C$542,C133)</f>
        <v>1</v>
      </c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  <c r="BB133" s="163"/>
      <c r="BC133" s="163"/>
      <c r="BD133" s="163"/>
    </row>
    <row r="134" spans="1:56" s="1" customFormat="1" ht="14.25" customHeight="1">
      <c r="A134" s="2">
        <v>132</v>
      </c>
      <c r="B134" s="43" t="s">
        <v>325</v>
      </c>
      <c r="C134" s="42">
        <v>68003615</v>
      </c>
      <c r="D134" s="136" t="s">
        <v>326</v>
      </c>
      <c r="E134" s="35">
        <v>2</v>
      </c>
      <c r="F134" s="35">
        <v>2</v>
      </c>
      <c r="G134" s="35" t="s">
        <v>174</v>
      </c>
      <c r="H134" s="36"/>
      <c r="I134" s="37">
        <f t="shared" ref="I134:I197" si="11">J134+K134+L134+M134+N134+O134+P134+Q134+R134+S134+T134+U134</f>
        <v>0</v>
      </c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>
        <f t="shared" si="8"/>
        <v>0</v>
      </c>
      <c r="W134" s="36"/>
      <c r="X134" s="38">
        <v>30000</v>
      </c>
      <c r="Y134" s="38" t="str">
        <f t="shared" si="9"/>
        <v>无需保养</v>
      </c>
      <c r="Z134" s="38">
        <f t="shared" si="10"/>
        <v>1</v>
      </c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  <c r="BB134" s="163"/>
      <c r="BC134" s="163"/>
      <c r="BD134" s="163"/>
    </row>
    <row r="135" spans="1:56" s="1" customFormat="1" ht="14.25" customHeight="1">
      <c r="A135" s="2">
        <v>133</v>
      </c>
      <c r="B135" s="43" t="s">
        <v>327</v>
      </c>
      <c r="C135" s="42">
        <v>68003616</v>
      </c>
      <c r="D135" s="136" t="s">
        <v>328</v>
      </c>
      <c r="E135" s="35">
        <v>2</v>
      </c>
      <c r="F135" s="35">
        <v>2</v>
      </c>
      <c r="G135" s="35" t="s">
        <v>174</v>
      </c>
      <c r="H135" s="36"/>
      <c r="I135" s="37">
        <f t="shared" si="11"/>
        <v>0</v>
      </c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>
        <f t="shared" si="8"/>
        <v>0</v>
      </c>
      <c r="W135" s="36"/>
      <c r="X135" s="38">
        <v>30000</v>
      </c>
      <c r="Y135" s="38" t="str">
        <f t="shared" si="9"/>
        <v>无需保养</v>
      </c>
      <c r="Z135" s="38">
        <f t="shared" si="10"/>
        <v>1</v>
      </c>
      <c r="AA135" s="163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  <c r="BB135" s="163"/>
      <c r="BC135" s="163"/>
      <c r="BD135" s="163"/>
    </row>
    <row r="136" spans="1:56" s="1" customFormat="1" ht="14.25" customHeight="1">
      <c r="A136" s="2">
        <v>134</v>
      </c>
      <c r="B136" s="43" t="s">
        <v>329</v>
      </c>
      <c r="C136" s="42">
        <v>68003617</v>
      </c>
      <c r="D136" s="136" t="s">
        <v>330</v>
      </c>
      <c r="E136" s="35">
        <v>2</v>
      </c>
      <c r="F136" s="35">
        <v>2</v>
      </c>
      <c r="G136" s="35" t="s">
        <v>174</v>
      </c>
      <c r="H136" s="36"/>
      <c r="I136" s="37">
        <f t="shared" si="11"/>
        <v>0</v>
      </c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>
        <f t="shared" si="8"/>
        <v>0</v>
      </c>
      <c r="W136" s="36"/>
      <c r="X136" s="38">
        <v>30000</v>
      </c>
      <c r="Y136" s="38" t="str">
        <f t="shared" si="9"/>
        <v>无需保养</v>
      </c>
      <c r="Z136" s="38">
        <f t="shared" si="10"/>
        <v>1</v>
      </c>
      <c r="AA136" s="163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  <c r="BB136" s="163"/>
      <c r="BC136" s="163"/>
      <c r="BD136" s="163"/>
    </row>
    <row r="137" spans="1:56" s="1" customFormat="1" ht="14.25" customHeight="1">
      <c r="A137" s="2">
        <v>135</v>
      </c>
      <c r="B137" s="43" t="s">
        <v>331</v>
      </c>
      <c r="C137" s="42">
        <v>68003618</v>
      </c>
      <c r="D137" s="136" t="s">
        <v>332</v>
      </c>
      <c r="E137" s="35">
        <v>2</v>
      </c>
      <c r="F137" s="35">
        <v>2</v>
      </c>
      <c r="G137" s="35" t="s">
        <v>174</v>
      </c>
      <c r="H137" s="36"/>
      <c r="I137" s="37">
        <f t="shared" si="11"/>
        <v>0</v>
      </c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>
        <f t="shared" si="8"/>
        <v>0</v>
      </c>
      <c r="W137" s="36"/>
      <c r="X137" s="38">
        <v>30000</v>
      </c>
      <c r="Y137" s="38" t="str">
        <f t="shared" si="9"/>
        <v>无需保养</v>
      </c>
      <c r="Z137" s="38">
        <f t="shared" si="10"/>
        <v>1</v>
      </c>
      <c r="AA137" s="163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3"/>
      <c r="BD137" s="163"/>
    </row>
    <row r="138" spans="1:56" s="1" customFormat="1" ht="14.25" customHeight="1">
      <c r="A138" s="2">
        <v>136</v>
      </c>
      <c r="B138" s="43" t="s">
        <v>333</v>
      </c>
      <c r="C138" s="42">
        <v>68003619</v>
      </c>
      <c r="D138" s="136" t="s">
        <v>334</v>
      </c>
      <c r="E138" s="35">
        <v>2</v>
      </c>
      <c r="F138" s="35">
        <v>2</v>
      </c>
      <c r="G138" s="35" t="s">
        <v>174</v>
      </c>
      <c r="H138" s="36"/>
      <c r="I138" s="37">
        <f t="shared" si="11"/>
        <v>0</v>
      </c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>
        <f t="shared" si="8"/>
        <v>0</v>
      </c>
      <c r="W138" s="36"/>
      <c r="X138" s="38">
        <v>30000</v>
      </c>
      <c r="Y138" s="38" t="str">
        <f t="shared" si="9"/>
        <v>无需保养</v>
      </c>
      <c r="Z138" s="38">
        <f t="shared" si="10"/>
        <v>1</v>
      </c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  <c r="BB138" s="163"/>
      <c r="BC138" s="163"/>
      <c r="BD138" s="163"/>
    </row>
    <row r="139" spans="1:56" s="1" customFormat="1" ht="14.25" customHeight="1">
      <c r="A139" s="2">
        <v>137</v>
      </c>
      <c r="B139" s="43" t="s">
        <v>335</v>
      </c>
      <c r="C139" s="42">
        <v>68003620</v>
      </c>
      <c r="D139" s="136" t="s">
        <v>336</v>
      </c>
      <c r="E139" s="35">
        <v>2</v>
      </c>
      <c r="F139" s="35">
        <v>2</v>
      </c>
      <c r="G139" s="35" t="s">
        <v>174</v>
      </c>
      <c r="H139" s="36"/>
      <c r="I139" s="37">
        <f t="shared" si="11"/>
        <v>0</v>
      </c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>
        <f t="shared" si="8"/>
        <v>0</v>
      </c>
      <c r="W139" s="36"/>
      <c r="X139" s="38">
        <v>30000</v>
      </c>
      <c r="Y139" s="38" t="str">
        <f t="shared" si="9"/>
        <v>无需保养</v>
      </c>
      <c r="Z139" s="38">
        <f t="shared" si="10"/>
        <v>1</v>
      </c>
      <c r="AA139" s="163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  <c r="BB139" s="163"/>
      <c r="BC139" s="163"/>
      <c r="BD139" s="163"/>
    </row>
    <row r="140" spans="1:56" s="1" customFormat="1" ht="14.25" customHeight="1">
      <c r="A140" s="2">
        <v>138</v>
      </c>
      <c r="B140" s="43" t="s">
        <v>337</v>
      </c>
      <c r="C140" s="42">
        <v>68003626</v>
      </c>
      <c r="D140" s="133" t="s">
        <v>338</v>
      </c>
      <c r="E140" s="35">
        <v>4</v>
      </c>
      <c r="F140" s="35">
        <v>4</v>
      </c>
      <c r="G140" s="35" t="s">
        <v>174</v>
      </c>
      <c r="H140" s="36"/>
      <c r="I140" s="37">
        <f t="shared" si="11"/>
        <v>0</v>
      </c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>
        <f t="shared" si="8"/>
        <v>0</v>
      </c>
      <c r="W140" s="36"/>
      <c r="X140" s="38">
        <v>30000</v>
      </c>
      <c r="Y140" s="38" t="str">
        <f t="shared" si="9"/>
        <v>无需保养</v>
      </c>
      <c r="Z140" s="38">
        <f t="shared" si="10"/>
        <v>1</v>
      </c>
      <c r="AA140" s="163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  <c r="BB140" s="163"/>
      <c r="BC140" s="163"/>
      <c r="BD140" s="163"/>
    </row>
    <row r="141" spans="1:56" s="1" customFormat="1" ht="14.25" customHeight="1">
      <c r="A141" s="2">
        <v>139</v>
      </c>
      <c r="B141" s="43" t="s">
        <v>339</v>
      </c>
      <c r="C141" s="42">
        <v>68003642</v>
      </c>
      <c r="D141" s="133" t="s">
        <v>340</v>
      </c>
      <c r="E141" s="35">
        <v>4</v>
      </c>
      <c r="F141" s="35">
        <v>4</v>
      </c>
      <c r="G141" s="35" t="s">
        <v>174</v>
      </c>
      <c r="H141" s="36"/>
      <c r="I141" s="37">
        <f t="shared" si="11"/>
        <v>0</v>
      </c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>
        <f t="shared" si="8"/>
        <v>0</v>
      </c>
      <c r="W141" s="36"/>
      <c r="X141" s="38">
        <v>30000</v>
      </c>
      <c r="Y141" s="38" t="str">
        <f t="shared" si="9"/>
        <v>无需保养</v>
      </c>
      <c r="Z141" s="38">
        <f t="shared" si="10"/>
        <v>1</v>
      </c>
      <c r="AA141" s="163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  <c r="BB141" s="163"/>
      <c r="BC141" s="163"/>
      <c r="BD141" s="163"/>
    </row>
    <row r="142" spans="1:56" s="1" customFormat="1" ht="14.25" customHeight="1">
      <c r="A142" s="2">
        <v>140</v>
      </c>
      <c r="B142" s="43" t="s">
        <v>341</v>
      </c>
      <c r="C142" s="42">
        <v>68003643</v>
      </c>
      <c r="D142" s="133" t="s">
        <v>342</v>
      </c>
      <c r="E142" s="35">
        <v>4</v>
      </c>
      <c r="F142" s="35">
        <v>4</v>
      </c>
      <c r="G142" s="35" t="s">
        <v>174</v>
      </c>
      <c r="H142" s="36"/>
      <c r="I142" s="37">
        <f t="shared" si="11"/>
        <v>0</v>
      </c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>
        <f t="shared" si="8"/>
        <v>0</v>
      </c>
      <c r="W142" s="36"/>
      <c r="X142" s="38">
        <v>30000</v>
      </c>
      <c r="Y142" s="38" t="str">
        <f t="shared" si="9"/>
        <v>无需保养</v>
      </c>
      <c r="Z142" s="38">
        <f t="shared" si="10"/>
        <v>1</v>
      </c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  <c r="BB142" s="163"/>
      <c r="BC142" s="163"/>
      <c r="BD142" s="163"/>
    </row>
    <row r="143" spans="1:56" s="1" customFormat="1" ht="14.25" customHeight="1">
      <c r="A143" s="2">
        <v>141</v>
      </c>
      <c r="B143" s="43" t="s">
        <v>343</v>
      </c>
      <c r="C143" s="42">
        <v>68003644</v>
      </c>
      <c r="D143" s="133" t="s">
        <v>344</v>
      </c>
      <c r="E143" s="35">
        <v>4</v>
      </c>
      <c r="F143" s="35">
        <v>4</v>
      </c>
      <c r="G143" s="35" t="s">
        <v>174</v>
      </c>
      <c r="H143" s="36"/>
      <c r="I143" s="37">
        <f t="shared" si="11"/>
        <v>0</v>
      </c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>
        <f t="shared" si="8"/>
        <v>0</v>
      </c>
      <c r="W143" s="36"/>
      <c r="X143" s="38">
        <v>30000</v>
      </c>
      <c r="Y143" s="38" t="str">
        <f t="shared" si="9"/>
        <v>无需保养</v>
      </c>
      <c r="Z143" s="38">
        <f t="shared" si="10"/>
        <v>1</v>
      </c>
      <c r="AA143" s="163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  <c r="BB143" s="163"/>
      <c r="BC143" s="163"/>
      <c r="BD143" s="163"/>
    </row>
    <row r="144" spans="1:56" s="1" customFormat="1" ht="14.25" customHeight="1">
      <c r="A144" s="2">
        <v>142</v>
      </c>
      <c r="B144" s="43" t="s">
        <v>345</v>
      </c>
      <c r="C144" s="42">
        <v>68003645</v>
      </c>
      <c r="D144" s="133" t="s">
        <v>346</v>
      </c>
      <c r="E144" s="35">
        <v>8</v>
      </c>
      <c r="F144" s="35">
        <v>8</v>
      </c>
      <c r="G144" s="35" t="s">
        <v>174</v>
      </c>
      <c r="H144" s="36"/>
      <c r="I144" s="37">
        <f t="shared" si="11"/>
        <v>0</v>
      </c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>
        <f t="shared" si="8"/>
        <v>0</v>
      </c>
      <c r="W144" s="36"/>
      <c r="X144" s="38">
        <v>30000</v>
      </c>
      <c r="Y144" s="38" t="str">
        <f t="shared" si="9"/>
        <v>无需保养</v>
      </c>
      <c r="Z144" s="38">
        <f t="shared" si="10"/>
        <v>1</v>
      </c>
      <c r="AA144" s="163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  <c r="BB144" s="163"/>
      <c r="BC144" s="163"/>
      <c r="BD144" s="163"/>
    </row>
    <row r="145" spans="1:56" s="1" customFormat="1" ht="14.25" customHeight="1">
      <c r="A145" s="2">
        <v>143</v>
      </c>
      <c r="B145" s="43" t="s">
        <v>347</v>
      </c>
      <c r="C145" s="42">
        <v>68003646</v>
      </c>
      <c r="D145" s="133" t="s">
        <v>348</v>
      </c>
      <c r="E145" s="35">
        <v>4</v>
      </c>
      <c r="F145" s="35">
        <v>4</v>
      </c>
      <c r="G145" s="35" t="s">
        <v>174</v>
      </c>
      <c r="H145" s="36"/>
      <c r="I145" s="37">
        <f t="shared" si="11"/>
        <v>0</v>
      </c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>
        <f t="shared" si="8"/>
        <v>0</v>
      </c>
      <c r="W145" s="36"/>
      <c r="X145" s="38">
        <v>30000</v>
      </c>
      <c r="Y145" s="38" t="str">
        <f t="shared" si="9"/>
        <v>无需保养</v>
      </c>
      <c r="Z145" s="38">
        <f t="shared" si="10"/>
        <v>1</v>
      </c>
      <c r="AA145" s="163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  <c r="BB145" s="163"/>
      <c r="BC145" s="163"/>
      <c r="BD145" s="163"/>
    </row>
    <row r="146" spans="1:56" s="1" customFormat="1" ht="14.25" customHeight="1">
      <c r="A146" s="2">
        <v>144</v>
      </c>
      <c r="B146" s="43" t="s">
        <v>349</v>
      </c>
      <c r="C146" s="42">
        <v>68003648</v>
      </c>
      <c r="D146" s="133" t="s">
        <v>350</v>
      </c>
      <c r="E146" s="35">
        <v>4</v>
      </c>
      <c r="F146" s="35">
        <v>4</v>
      </c>
      <c r="G146" s="35" t="s">
        <v>174</v>
      </c>
      <c r="H146" s="36"/>
      <c r="I146" s="37">
        <f t="shared" si="11"/>
        <v>0</v>
      </c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>
        <f t="shared" si="8"/>
        <v>0</v>
      </c>
      <c r="W146" s="36"/>
      <c r="X146" s="38">
        <v>30000</v>
      </c>
      <c r="Y146" s="38" t="str">
        <f t="shared" si="9"/>
        <v>无需保养</v>
      </c>
      <c r="Z146" s="38">
        <f t="shared" si="10"/>
        <v>1</v>
      </c>
      <c r="AA146" s="163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  <c r="BB146" s="163"/>
      <c r="BC146" s="163"/>
      <c r="BD146" s="163"/>
    </row>
    <row r="147" spans="1:56" s="1" customFormat="1" ht="14.25" customHeight="1">
      <c r="A147" s="2">
        <v>145</v>
      </c>
      <c r="B147" s="43" t="s">
        <v>351</v>
      </c>
      <c r="C147" s="42">
        <v>68003649</v>
      </c>
      <c r="D147" s="133" t="s">
        <v>352</v>
      </c>
      <c r="E147" s="35">
        <v>4</v>
      </c>
      <c r="F147" s="35">
        <v>4</v>
      </c>
      <c r="G147" s="35" t="s">
        <v>174</v>
      </c>
      <c r="H147" s="36"/>
      <c r="I147" s="37">
        <f t="shared" si="11"/>
        <v>0</v>
      </c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>
        <f t="shared" si="8"/>
        <v>0</v>
      </c>
      <c r="W147" s="36"/>
      <c r="X147" s="38">
        <v>30000</v>
      </c>
      <c r="Y147" s="38" t="str">
        <f t="shared" si="9"/>
        <v>无需保养</v>
      </c>
      <c r="Z147" s="38">
        <f t="shared" si="10"/>
        <v>1</v>
      </c>
      <c r="AA147" s="163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  <c r="BB147" s="163"/>
      <c r="BC147" s="163"/>
      <c r="BD147" s="163"/>
    </row>
    <row r="148" spans="1:56" s="1" customFormat="1" ht="14.25" customHeight="1">
      <c r="A148" s="2">
        <v>146</v>
      </c>
      <c r="B148" s="43" t="s">
        <v>353</v>
      </c>
      <c r="C148" s="42">
        <v>68003677</v>
      </c>
      <c r="D148" s="133" t="s">
        <v>354</v>
      </c>
      <c r="E148" s="35">
        <v>8</v>
      </c>
      <c r="F148" s="35">
        <v>8</v>
      </c>
      <c r="G148" s="35" t="s">
        <v>158</v>
      </c>
      <c r="H148" s="36"/>
      <c r="I148" s="37">
        <f t="shared" si="11"/>
        <v>0</v>
      </c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>
        <f t="shared" si="8"/>
        <v>0</v>
      </c>
      <c r="W148" s="36"/>
      <c r="X148" s="38">
        <v>30000</v>
      </c>
      <c r="Y148" s="38" t="str">
        <f t="shared" si="9"/>
        <v>无需保养</v>
      </c>
      <c r="Z148" s="38">
        <f t="shared" si="10"/>
        <v>1</v>
      </c>
      <c r="AA148" s="163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  <c r="BB148" s="163"/>
      <c r="BC148" s="163"/>
      <c r="BD148" s="163"/>
    </row>
    <row r="149" spans="1:56" s="1" customFormat="1" ht="14.25" customHeight="1">
      <c r="A149" s="2">
        <v>147</v>
      </c>
      <c r="B149" s="43" t="s">
        <v>355</v>
      </c>
      <c r="C149" s="42">
        <v>68003678</v>
      </c>
      <c r="D149" s="133" t="s">
        <v>356</v>
      </c>
      <c r="E149" s="35">
        <v>8</v>
      </c>
      <c r="F149" s="35">
        <v>8</v>
      </c>
      <c r="G149" s="35" t="s">
        <v>158</v>
      </c>
      <c r="H149" s="36"/>
      <c r="I149" s="37">
        <f t="shared" si="11"/>
        <v>0</v>
      </c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>
        <f t="shared" si="8"/>
        <v>0</v>
      </c>
      <c r="W149" s="36"/>
      <c r="X149" s="38">
        <v>30000</v>
      </c>
      <c r="Y149" s="38" t="str">
        <f t="shared" si="9"/>
        <v>无需保养</v>
      </c>
      <c r="Z149" s="38">
        <f t="shared" si="10"/>
        <v>1</v>
      </c>
      <c r="AA149" s="163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  <c r="BB149" s="163"/>
      <c r="BC149" s="163"/>
      <c r="BD149" s="163"/>
    </row>
    <row r="150" spans="1:56" s="1" customFormat="1" ht="14.25" customHeight="1">
      <c r="A150" s="2">
        <v>148</v>
      </c>
      <c r="B150" s="43" t="s">
        <v>357</v>
      </c>
      <c r="C150" s="42">
        <v>68003679</v>
      </c>
      <c r="D150" s="133" t="s">
        <v>358</v>
      </c>
      <c r="E150" s="35">
        <v>8</v>
      </c>
      <c r="F150" s="35">
        <v>8</v>
      </c>
      <c r="G150" s="35" t="s">
        <v>158</v>
      </c>
      <c r="H150" s="36"/>
      <c r="I150" s="37">
        <f t="shared" si="11"/>
        <v>0</v>
      </c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>
        <f t="shared" si="8"/>
        <v>0</v>
      </c>
      <c r="W150" s="36"/>
      <c r="X150" s="38">
        <v>30000</v>
      </c>
      <c r="Y150" s="38" t="str">
        <f t="shared" si="9"/>
        <v>无需保养</v>
      </c>
      <c r="Z150" s="38">
        <f t="shared" si="10"/>
        <v>1</v>
      </c>
      <c r="AA150" s="163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  <c r="BB150" s="163"/>
      <c r="BC150" s="163"/>
      <c r="BD150" s="163"/>
    </row>
    <row r="151" spans="1:56" s="1" customFormat="1" ht="14.25" customHeight="1">
      <c r="A151" s="2">
        <v>149</v>
      </c>
      <c r="B151" s="43" t="s">
        <v>359</v>
      </c>
      <c r="C151" s="42">
        <v>68003680</v>
      </c>
      <c r="D151" s="134" t="s">
        <v>360</v>
      </c>
      <c r="E151" s="35">
        <v>4</v>
      </c>
      <c r="F151" s="35">
        <v>4</v>
      </c>
      <c r="G151" s="35" t="s">
        <v>158</v>
      </c>
      <c r="H151" s="36"/>
      <c r="I151" s="37">
        <f t="shared" si="11"/>
        <v>0</v>
      </c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>
        <f t="shared" si="8"/>
        <v>0</v>
      </c>
      <c r="W151" s="36"/>
      <c r="X151" s="38">
        <v>30000</v>
      </c>
      <c r="Y151" s="38" t="str">
        <f t="shared" si="9"/>
        <v>无需保养</v>
      </c>
      <c r="Z151" s="38">
        <f t="shared" si="10"/>
        <v>2</v>
      </c>
      <c r="AA151" s="163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  <c r="BB151" s="163"/>
      <c r="BC151" s="163"/>
      <c r="BD151" s="163"/>
    </row>
    <row r="152" spans="1:56" s="1" customFormat="1" ht="14.25" customHeight="1">
      <c r="A152" s="2">
        <v>150</v>
      </c>
      <c r="B152" s="43" t="s">
        <v>361</v>
      </c>
      <c r="C152" s="42">
        <v>68003680</v>
      </c>
      <c r="D152" s="133" t="s">
        <v>362</v>
      </c>
      <c r="E152" s="35">
        <v>4</v>
      </c>
      <c r="F152" s="35">
        <v>4</v>
      </c>
      <c r="G152" s="35" t="s">
        <v>163</v>
      </c>
      <c r="H152" s="36"/>
      <c r="I152" s="37">
        <f t="shared" si="11"/>
        <v>0</v>
      </c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>
        <f t="shared" si="8"/>
        <v>0</v>
      </c>
      <c r="W152" s="36"/>
      <c r="X152" s="38">
        <v>30000</v>
      </c>
      <c r="Y152" s="38" t="str">
        <f t="shared" si="9"/>
        <v>无需保养</v>
      </c>
      <c r="Z152" s="38">
        <f t="shared" si="10"/>
        <v>2</v>
      </c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</row>
    <row r="153" spans="1:56" s="1" customFormat="1" ht="14.25" customHeight="1">
      <c r="A153" s="2">
        <v>151</v>
      </c>
      <c r="B153" s="43" t="s">
        <v>363</v>
      </c>
      <c r="C153" s="42">
        <v>68003681</v>
      </c>
      <c r="D153" s="134" t="s">
        <v>364</v>
      </c>
      <c r="E153" s="35">
        <v>32</v>
      </c>
      <c r="F153" s="35">
        <v>32</v>
      </c>
      <c r="G153" s="35" t="s">
        <v>158</v>
      </c>
      <c r="H153" s="36"/>
      <c r="I153" s="37">
        <f t="shared" si="11"/>
        <v>0</v>
      </c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>
        <f t="shared" si="8"/>
        <v>0</v>
      </c>
      <c r="W153" s="36"/>
      <c r="X153" s="38">
        <v>30000</v>
      </c>
      <c r="Y153" s="38" t="str">
        <f t="shared" si="9"/>
        <v>无需保养</v>
      </c>
      <c r="Z153" s="38">
        <f t="shared" si="10"/>
        <v>2</v>
      </c>
      <c r="AA153" s="163"/>
      <c r="AB153" s="163"/>
      <c r="AC153" s="163"/>
      <c r="AD153" s="163"/>
      <c r="AE153" s="163"/>
      <c r="AF153" s="163"/>
      <c r="AG153" s="163"/>
      <c r="AH153" s="163"/>
      <c r="AI153" s="163"/>
      <c r="AJ153" s="163"/>
      <c r="AK153" s="163"/>
      <c r="AL153" s="163"/>
      <c r="AM153" s="163"/>
      <c r="AN153" s="163"/>
      <c r="AO153" s="163"/>
      <c r="AP153" s="163"/>
      <c r="AQ153" s="163"/>
      <c r="AR153" s="163"/>
      <c r="AS153" s="163"/>
      <c r="AT153" s="163"/>
      <c r="AU153" s="163"/>
      <c r="AV153" s="163"/>
      <c r="AW153" s="163"/>
      <c r="AX153" s="163"/>
      <c r="AY153" s="163"/>
      <c r="AZ153" s="163"/>
      <c r="BA153" s="163"/>
      <c r="BB153" s="163"/>
      <c r="BC153" s="163"/>
      <c r="BD153" s="163"/>
    </row>
    <row r="154" spans="1:56" s="1" customFormat="1" ht="14.25" customHeight="1">
      <c r="A154" s="2">
        <v>152</v>
      </c>
      <c r="B154" s="43" t="s">
        <v>365</v>
      </c>
      <c r="C154" s="42">
        <v>68003681</v>
      </c>
      <c r="D154" s="133" t="s">
        <v>366</v>
      </c>
      <c r="E154" s="35">
        <v>16</v>
      </c>
      <c r="F154" s="35">
        <v>16</v>
      </c>
      <c r="G154" s="35" t="s">
        <v>158</v>
      </c>
      <c r="H154" s="36"/>
      <c r="I154" s="37">
        <f t="shared" si="11"/>
        <v>0</v>
      </c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>
        <f t="shared" si="8"/>
        <v>0</v>
      </c>
      <c r="W154" s="36"/>
      <c r="X154" s="38">
        <v>30000</v>
      </c>
      <c r="Y154" s="38" t="str">
        <f t="shared" si="9"/>
        <v>无需保养</v>
      </c>
      <c r="Z154" s="38">
        <f t="shared" si="10"/>
        <v>2</v>
      </c>
      <c r="AA154" s="163"/>
      <c r="AB154" s="163"/>
      <c r="AC154" s="163"/>
      <c r="AD154" s="163"/>
      <c r="AE154" s="163"/>
      <c r="AF154" s="163"/>
      <c r="AG154" s="163"/>
      <c r="AH154" s="163"/>
      <c r="AI154" s="163"/>
      <c r="AJ154" s="163"/>
      <c r="AK154" s="163"/>
      <c r="AL154" s="163"/>
      <c r="AM154" s="163"/>
      <c r="AN154" s="163"/>
      <c r="AO154" s="163"/>
      <c r="AP154" s="163"/>
      <c r="AQ154" s="163"/>
      <c r="AR154" s="163"/>
      <c r="AS154" s="163"/>
      <c r="AT154" s="163"/>
      <c r="AU154" s="163"/>
      <c r="AV154" s="163"/>
      <c r="AW154" s="163"/>
      <c r="AX154" s="163"/>
      <c r="AY154" s="163"/>
      <c r="AZ154" s="163"/>
      <c r="BA154" s="163"/>
      <c r="BB154" s="163"/>
      <c r="BC154" s="163"/>
      <c r="BD154" s="163"/>
    </row>
    <row r="155" spans="1:56" s="1" customFormat="1" ht="14.25" customHeight="1">
      <c r="A155" s="2">
        <v>153</v>
      </c>
      <c r="B155" s="43" t="s">
        <v>367</v>
      </c>
      <c r="C155" s="42">
        <v>68003682</v>
      </c>
      <c r="D155" s="133" t="s">
        <v>368</v>
      </c>
      <c r="E155" s="35">
        <v>8</v>
      </c>
      <c r="F155" s="35">
        <v>8</v>
      </c>
      <c r="G155" s="35" t="s">
        <v>158</v>
      </c>
      <c r="H155" s="36"/>
      <c r="I155" s="37">
        <f t="shared" si="11"/>
        <v>0</v>
      </c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>
        <f t="shared" si="8"/>
        <v>0</v>
      </c>
      <c r="W155" s="36"/>
      <c r="X155" s="38">
        <v>30000</v>
      </c>
      <c r="Y155" s="38" t="str">
        <f t="shared" si="9"/>
        <v>无需保养</v>
      </c>
      <c r="Z155" s="38">
        <f t="shared" si="10"/>
        <v>1</v>
      </c>
      <c r="AA155" s="163"/>
      <c r="AB155" s="163"/>
      <c r="AC155" s="163"/>
      <c r="AD155" s="163"/>
      <c r="AE155" s="163"/>
      <c r="AF155" s="163"/>
      <c r="AG155" s="163"/>
      <c r="AH155" s="163"/>
      <c r="AI155" s="163"/>
      <c r="AJ155" s="163"/>
      <c r="AK155" s="163"/>
      <c r="AL155" s="163"/>
      <c r="AM155" s="163"/>
      <c r="AN155" s="163"/>
      <c r="AO155" s="163"/>
      <c r="AP155" s="163"/>
      <c r="AQ155" s="163"/>
      <c r="AR155" s="163"/>
      <c r="AS155" s="163"/>
      <c r="AT155" s="163"/>
      <c r="AU155" s="163"/>
      <c r="AV155" s="163"/>
      <c r="AW155" s="163"/>
      <c r="AX155" s="163"/>
      <c r="AY155" s="163"/>
      <c r="AZ155" s="163"/>
      <c r="BA155" s="163"/>
      <c r="BB155" s="163"/>
      <c r="BC155" s="163"/>
      <c r="BD155" s="163"/>
    </row>
    <row r="156" spans="1:56" s="1" customFormat="1" ht="14.25" customHeight="1">
      <c r="A156" s="2">
        <v>154</v>
      </c>
      <c r="B156" s="43" t="s">
        <v>369</v>
      </c>
      <c r="C156" s="42">
        <v>68003683</v>
      </c>
      <c r="D156" s="133" t="s">
        <v>370</v>
      </c>
      <c r="E156" s="35">
        <v>8</v>
      </c>
      <c r="F156" s="35">
        <v>8</v>
      </c>
      <c r="G156" s="35" t="s">
        <v>158</v>
      </c>
      <c r="H156" s="36"/>
      <c r="I156" s="37">
        <f t="shared" si="11"/>
        <v>0</v>
      </c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>
        <f t="shared" si="8"/>
        <v>0</v>
      </c>
      <c r="W156" s="36"/>
      <c r="X156" s="38">
        <v>30000</v>
      </c>
      <c r="Y156" s="38" t="str">
        <f t="shared" si="9"/>
        <v>无需保养</v>
      </c>
      <c r="Z156" s="38">
        <f t="shared" si="10"/>
        <v>1</v>
      </c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  <c r="AR156" s="163"/>
      <c r="AS156" s="163"/>
      <c r="AT156" s="163"/>
      <c r="AU156" s="163"/>
      <c r="AV156" s="163"/>
      <c r="AW156" s="163"/>
      <c r="AX156" s="163"/>
      <c r="AY156" s="163"/>
      <c r="AZ156" s="163"/>
      <c r="BA156" s="163"/>
      <c r="BB156" s="163"/>
      <c r="BC156" s="163"/>
      <c r="BD156" s="163"/>
    </row>
    <row r="157" spans="1:56" s="1" customFormat="1" ht="14.25" customHeight="1">
      <c r="A157" s="2">
        <v>155</v>
      </c>
      <c r="B157" s="43" t="s">
        <v>371</v>
      </c>
      <c r="C157" s="42">
        <v>68003684</v>
      </c>
      <c r="D157" s="133" t="s">
        <v>372</v>
      </c>
      <c r="E157" s="35">
        <v>8</v>
      </c>
      <c r="F157" s="35">
        <v>8</v>
      </c>
      <c r="G157" s="35" t="s">
        <v>158</v>
      </c>
      <c r="H157" s="36"/>
      <c r="I157" s="37">
        <f t="shared" si="11"/>
        <v>0</v>
      </c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>
        <f t="shared" si="8"/>
        <v>0</v>
      </c>
      <c r="W157" s="36"/>
      <c r="X157" s="38">
        <v>30000</v>
      </c>
      <c r="Y157" s="38" t="str">
        <f t="shared" si="9"/>
        <v>无需保养</v>
      </c>
      <c r="Z157" s="38">
        <f t="shared" si="10"/>
        <v>1</v>
      </c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63"/>
      <c r="AR157" s="163"/>
      <c r="AS157" s="163"/>
      <c r="AT157" s="163"/>
      <c r="AU157" s="163"/>
      <c r="AV157" s="163"/>
      <c r="AW157" s="163"/>
      <c r="AX157" s="163"/>
      <c r="AY157" s="163"/>
      <c r="AZ157" s="163"/>
      <c r="BA157" s="163"/>
      <c r="BB157" s="163"/>
      <c r="BC157" s="163"/>
      <c r="BD157" s="163"/>
    </row>
    <row r="158" spans="1:56" s="1" customFormat="1" ht="14.25" customHeight="1">
      <c r="A158" s="2">
        <v>156</v>
      </c>
      <c r="B158" s="43" t="s">
        <v>373</v>
      </c>
      <c r="C158" s="42">
        <v>68003685</v>
      </c>
      <c r="D158" s="134" t="s">
        <v>374</v>
      </c>
      <c r="E158" s="35">
        <v>8</v>
      </c>
      <c r="F158" s="35">
        <v>8</v>
      </c>
      <c r="G158" s="35" t="s">
        <v>158</v>
      </c>
      <c r="H158" s="36"/>
      <c r="I158" s="37">
        <f t="shared" si="11"/>
        <v>0</v>
      </c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>
        <f t="shared" si="8"/>
        <v>0</v>
      </c>
      <c r="W158" s="36"/>
      <c r="X158" s="38">
        <v>30000</v>
      </c>
      <c r="Y158" s="38" t="str">
        <f t="shared" si="9"/>
        <v>无需保养</v>
      </c>
      <c r="Z158" s="38">
        <f t="shared" si="10"/>
        <v>1</v>
      </c>
      <c r="AA158" s="163"/>
      <c r="AB158" s="163"/>
      <c r="AC158" s="163"/>
      <c r="AD158" s="163"/>
      <c r="AE158" s="163"/>
      <c r="AF158" s="163"/>
      <c r="AG158" s="163"/>
      <c r="AH158" s="163"/>
      <c r="AI158" s="163"/>
      <c r="AJ158" s="163"/>
      <c r="AK158" s="163"/>
      <c r="AL158" s="163"/>
      <c r="AM158" s="163"/>
      <c r="AN158" s="163"/>
      <c r="AO158" s="163"/>
      <c r="AP158" s="163"/>
      <c r="AQ158" s="163"/>
      <c r="AR158" s="163"/>
      <c r="AS158" s="163"/>
      <c r="AT158" s="163"/>
      <c r="AU158" s="163"/>
      <c r="AV158" s="163"/>
      <c r="AW158" s="163"/>
      <c r="AX158" s="163"/>
      <c r="AY158" s="163"/>
      <c r="AZ158" s="163"/>
      <c r="BA158" s="163"/>
      <c r="BB158" s="163"/>
      <c r="BC158" s="163"/>
      <c r="BD158" s="163"/>
    </row>
    <row r="159" spans="1:56" s="1" customFormat="1" ht="14.25" customHeight="1">
      <c r="A159" s="2">
        <v>157</v>
      </c>
      <c r="B159" s="43" t="s">
        <v>375</v>
      </c>
      <c r="C159" s="42">
        <v>68003686</v>
      </c>
      <c r="D159" s="134" t="s">
        <v>376</v>
      </c>
      <c r="E159" s="35">
        <v>8</v>
      </c>
      <c r="F159" s="35">
        <v>8</v>
      </c>
      <c r="G159" s="35" t="s">
        <v>158</v>
      </c>
      <c r="H159" s="36"/>
      <c r="I159" s="37">
        <f t="shared" si="11"/>
        <v>0</v>
      </c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>
        <f t="shared" si="8"/>
        <v>0</v>
      </c>
      <c r="W159" s="36"/>
      <c r="X159" s="38">
        <v>30000</v>
      </c>
      <c r="Y159" s="38" t="str">
        <f t="shared" si="9"/>
        <v>无需保养</v>
      </c>
      <c r="Z159" s="38">
        <f t="shared" si="10"/>
        <v>1</v>
      </c>
      <c r="AA159" s="163"/>
      <c r="AB159" s="163"/>
      <c r="AC159" s="163"/>
      <c r="AD159" s="163"/>
      <c r="AE159" s="163"/>
      <c r="AF159" s="163"/>
      <c r="AG159" s="163"/>
      <c r="AH159" s="163"/>
      <c r="AI159" s="163"/>
      <c r="AJ159" s="163"/>
      <c r="AK159" s="163"/>
      <c r="AL159" s="163"/>
      <c r="AM159" s="163"/>
      <c r="AN159" s="163"/>
      <c r="AO159" s="163"/>
      <c r="AP159" s="163"/>
      <c r="AQ159" s="163"/>
      <c r="AR159" s="163"/>
      <c r="AS159" s="163"/>
      <c r="AT159" s="163"/>
      <c r="AU159" s="163"/>
      <c r="AV159" s="163"/>
      <c r="AW159" s="163"/>
      <c r="AX159" s="163"/>
      <c r="AY159" s="163"/>
      <c r="AZ159" s="163"/>
      <c r="BA159" s="163"/>
      <c r="BB159" s="163"/>
      <c r="BC159" s="163"/>
      <c r="BD159" s="163"/>
    </row>
    <row r="160" spans="1:56" s="1" customFormat="1" ht="14.25" customHeight="1">
      <c r="A160" s="2">
        <v>158</v>
      </c>
      <c r="B160" s="43" t="s">
        <v>377</v>
      </c>
      <c r="C160" s="42">
        <v>68003687</v>
      </c>
      <c r="D160" s="133" t="s">
        <v>378</v>
      </c>
      <c r="E160" s="35">
        <v>8</v>
      </c>
      <c r="F160" s="35">
        <v>8</v>
      </c>
      <c r="G160" s="35" t="s">
        <v>158</v>
      </c>
      <c r="H160" s="36"/>
      <c r="I160" s="37">
        <f t="shared" si="11"/>
        <v>0</v>
      </c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>
        <f t="shared" si="8"/>
        <v>0</v>
      </c>
      <c r="W160" s="36"/>
      <c r="X160" s="38">
        <v>30000</v>
      </c>
      <c r="Y160" s="38" t="str">
        <f t="shared" si="9"/>
        <v>无需保养</v>
      </c>
      <c r="Z160" s="38">
        <f t="shared" si="10"/>
        <v>1</v>
      </c>
      <c r="AA160" s="163"/>
      <c r="AB160" s="163"/>
      <c r="AC160" s="163"/>
      <c r="AD160" s="163"/>
      <c r="AE160" s="163"/>
      <c r="AF160" s="163"/>
      <c r="AG160" s="163"/>
      <c r="AH160" s="163"/>
      <c r="AI160" s="163"/>
      <c r="AJ160" s="163"/>
      <c r="AK160" s="163"/>
      <c r="AL160" s="163"/>
      <c r="AM160" s="163"/>
      <c r="AN160" s="163"/>
      <c r="AO160" s="163"/>
      <c r="AP160" s="163"/>
      <c r="AQ160" s="163"/>
      <c r="AR160" s="163"/>
      <c r="AS160" s="163"/>
      <c r="AT160" s="163"/>
      <c r="AU160" s="163"/>
      <c r="AV160" s="163"/>
      <c r="AW160" s="163"/>
      <c r="AX160" s="163"/>
      <c r="AY160" s="163"/>
      <c r="AZ160" s="163"/>
      <c r="BA160" s="163"/>
      <c r="BB160" s="163"/>
      <c r="BC160" s="163"/>
      <c r="BD160" s="163"/>
    </row>
    <row r="161" spans="1:56" s="1" customFormat="1" ht="14.25" customHeight="1">
      <c r="A161" s="2">
        <v>159</v>
      </c>
      <c r="B161" s="43" t="s">
        <v>379</v>
      </c>
      <c r="C161" s="42">
        <v>68003688</v>
      </c>
      <c r="D161" s="42" t="s">
        <v>380</v>
      </c>
      <c r="E161" s="35">
        <v>3</v>
      </c>
      <c r="F161" s="35">
        <v>3</v>
      </c>
      <c r="G161" s="35" t="s">
        <v>158</v>
      </c>
      <c r="H161" s="36"/>
      <c r="I161" s="37">
        <f t="shared" si="11"/>
        <v>0</v>
      </c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>
        <f t="shared" si="8"/>
        <v>0</v>
      </c>
      <c r="W161" s="36"/>
      <c r="X161" s="38">
        <v>30000</v>
      </c>
      <c r="Y161" s="38" t="str">
        <f t="shared" si="9"/>
        <v>无需保养</v>
      </c>
      <c r="Z161" s="38">
        <f t="shared" si="10"/>
        <v>1</v>
      </c>
      <c r="AA161" s="163"/>
      <c r="AB161" s="163"/>
      <c r="AC161" s="163"/>
      <c r="AD161" s="163"/>
      <c r="AE161" s="163"/>
      <c r="AF161" s="163"/>
      <c r="AG161" s="163"/>
      <c r="AH161" s="163"/>
      <c r="AI161" s="163"/>
      <c r="AJ161" s="163"/>
      <c r="AK161" s="163"/>
      <c r="AL161" s="163"/>
      <c r="AM161" s="163"/>
      <c r="AN161" s="163"/>
      <c r="AO161" s="163"/>
      <c r="AP161" s="163"/>
      <c r="AQ161" s="163"/>
      <c r="AR161" s="163"/>
      <c r="AS161" s="163"/>
      <c r="AT161" s="163"/>
      <c r="AU161" s="163"/>
      <c r="AV161" s="163"/>
      <c r="AW161" s="163"/>
      <c r="AX161" s="163"/>
      <c r="AY161" s="163"/>
      <c r="AZ161" s="163"/>
      <c r="BA161" s="163"/>
      <c r="BB161" s="163"/>
      <c r="BC161" s="163"/>
      <c r="BD161" s="163"/>
    </row>
    <row r="162" spans="1:56" s="1" customFormat="1" ht="14.25" customHeight="1">
      <c r="A162" s="2">
        <v>160</v>
      </c>
      <c r="B162" s="43" t="s">
        <v>381</v>
      </c>
      <c r="C162" s="42">
        <v>68003689</v>
      </c>
      <c r="D162" s="42" t="s">
        <v>382</v>
      </c>
      <c r="E162" s="35">
        <v>3</v>
      </c>
      <c r="F162" s="35">
        <v>3</v>
      </c>
      <c r="G162" s="35" t="s">
        <v>158</v>
      </c>
      <c r="H162" s="36"/>
      <c r="I162" s="37">
        <f t="shared" si="11"/>
        <v>0</v>
      </c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>
        <f t="shared" si="8"/>
        <v>0</v>
      </c>
      <c r="W162" s="36"/>
      <c r="X162" s="38">
        <v>30000</v>
      </c>
      <c r="Y162" s="38" t="str">
        <f t="shared" si="9"/>
        <v>无需保养</v>
      </c>
      <c r="Z162" s="38">
        <f t="shared" si="10"/>
        <v>1</v>
      </c>
      <c r="AA162" s="163"/>
      <c r="AB162" s="163"/>
      <c r="AC162" s="163"/>
      <c r="AD162" s="163"/>
      <c r="AE162" s="163"/>
      <c r="AF162" s="163"/>
      <c r="AG162" s="163"/>
      <c r="AH162" s="163"/>
      <c r="AI162" s="163"/>
      <c r="AJ162" s="163"/>
      <c r="AK162" s="163"/>
      <c r="AL162" s="163"/>
      <c r="AM162" s="163"/>
      <c r="AN162" s="163"/>
      <c r="AO162" s="163"/>
      <c r="AP162" s="163"/>
      <c r="AQ162" s="163"/>
      <c r="AR162" s="163"/>
      <c r="AS162" s="163"/>
      <c r="AT162" s="163"/>
      <c r="AU162" s="163"/>
      <c r="AV162" s="163"/>
      <c r="AW162" s="163"/>
      <c r="AX162" s="163"/>
      <c r="AY162" s="163"/>
      <c r="AZ162" s="163"/>
      <c r="BA162" s="163"/>
      <c r="BB162" s="163"/>
      <c r="BC162" s="163"/>
      <c r="BD162" s="163"/>
    </row>
    <row r="163" spans="1:56" s="1" customFormat="1" ht="14.25" customHeight="1">
      <c r="A163" s="2">
        <v>161</v>
      </c>
      <c r="B163" s="43" t="s">
        <v>383</v>
      </c>
      <c r="C163" s="42">
        <v>68003690</v>
      </c>
      <c r="D163" s="42" t="s">
        <v>384</v>
      </c>
      <c r="E163" s="35">
        <v>2</v>
      </c>
      <c r="F163" s="35">
        <v>2</v>
      </c>
      <c r="G163" s="35" t="s">
        <v>158</v>
      </c>
      <c r="H163" s="36"/>
      <c r="I163" s="37">
        <f t="shared" si="11"/>
        <v>0</v>
      </c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>
        <f t="shared" si="8"/>
        <v>0</v>
      </c>
      <c r="W163" s="36"/>
      <c r="X163" s="38">
        <v>30000</v>
      </c>
      <c r="Y163" s="38" t="str">
        <f t="shared" si="9"/>
        <v>无需保养</v>
      </c>
      <c r="Z163" s="38">
        <f t="shared" si="10"/>
        <v>1</v>
      </c>
      <c r="AA163" s="163"/>
      <c r="AB163" s="163"/>
      <c r="AC163" s="163"/>
      <c r="AD163" s="163"/>
      <c r="AE163" s="163"/>
      <c r="AF163" s="163"/>
      <c r="AG163" s="163"/>
      <c r="AH163" s="163"/>
      <c r="AI163" s="163"/>
      <c r="AJ163" s="163"/>
      <c r="AK163" s="163"/>
      <c r="AL163" s="163"/>
      <c r="AM163" s="163"/>
      <c r="AN163" s="163"/>
      <c r="AO163" s="163"/>
      <c r="AP163" s="163"/>
      <c r="AQ163" s="163"/>
      <c r="AR163" s="163"/>
      <c r="AS163" s="163"/>
      <c r="AT163" s="163"/>
      <c r="AU163" s="163"/>
      <c r="AV163" s="163"/>
      <c r="AW163" s="163"/>
      <c r="AX163" s="163"/>
      <c r="AY163" s="163"/>
      <c r="AZ163" s="163"/>
      <c r="BA163" s="163"/>
      <c r="BB163" s="163"/>
      <c r="BC163" s="163"/>
      <c r="BD163" s="163"/>
    </row>
    <row r="164" spans="1:56" s="1" customFormat="1" ht="14.25" customHeight="1">
      <c r="A164" s="2">
        <v>162</v>
      </c>
      <c r="B164" s="43" t="s">
        <v>385</v>
      </c>
      <c r="C164" s="42">
        <v>68003693</v>
      </c>
      <c r="D164" s="133" t="s">
        <v>386</v>
      </c>
      <c r="E164" s="35">
        <v>8</v>
      </c>
      <c r="F164" s="35">
        <v>8</v>
      </c>
      <c r="G164" s="35" t="s">
        <v>158</v>
      </c>
      <c r="H164" s="36"/>
      <c r="I164" s="37">
        <f t="shared" si="11"/>
        <v>0</v>
      </c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>
        <f t="shared" si="8"/>
        <v>0</v>
      </c>
      <c r="W164" s="36"/>
      <c r="X164" s="38">
        <v>30000</v>
      </c>
      <c r="Y164" s="38" t="str">
        <f t="shared" si="9"/>
        <v>无需保养</v>
      </c>
      <c r="Z164" s="38">
        <f t="shared" si="10"/>
        <v>1</v>
      </c>
      <c r="AA164" s="163"/>
      <c r="AB164" s="163"/>
      <c r="AC164" s="163"/>
      <c r="AD164" s="163"/>
      <c r="AE164" s="163"/>
      <c r="AF164" s="163"/>
      <c r="AG164" s="163"/>
      <c r="AH164" s="163"/>
      <c r="AI164" s="163"/>
      <c r="AJ164" s="163"/>
      <c r="AK164" s="163"/>
      <c r="AL164" s="163"/>
      <c r="AM164" s="163"/>
      <c r="AN164" s="163"/>
      <c r="AO164" s="163"/>
      <c r="AP164" s="163"/>
      <c r="AQ164" s="163"/>
      <c r="AR164" s="163"/>
      <c r="AS164" s="163"/>
      <c r="AT164" s="163"/>
      <c r="AU164" s="163"/>
      <c r="AV164" s="163"/>
      <c r="AW164" s="163"/>
      <c r="AX164" s="163"/>
      <c r="AY164" s="163"/>
      <c r="AZ164" s="163"/>
      <c r="BA164" s="163"/>
      <c r="BB164" s="163"/>
      <c r="BC164" s="163"/>
      <c r="BD164" s="163"/>
    </row>
    <row r="165" spans="1:56" s="1" customFormat="1" ht="14.25" customHeight="1">
      <c r="A165" s="2">
        <v>163</v>
      </c>
      <c r="B165" s="43" t="s">
        <v>387</v>
      </c>
      <c r="C165" s="42">
        <v>68003694</v>
      </c>
      <c r="D165" s="42" t="s">
        <v>388</v>
      </c>
      <c r="E165" s="35">
        <v>3</v>
      </c>
      <c r="F165" s="35">
        <v>3</v>
      </c>
      <c r="G165" s="35" t="s">
        <v>158</v>
      </c>
      <c r="H165" s="36"/>
      <c r="I165" s="37">
        <f t="shared" si="11"/>
        <v>0</v>
      </c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>
        <f t="shared" si="8"/>
        <v>0</v>
      </c>
      <c r="W165" s="36"/>
      <c r="X165" s="38">
        <v>30000</v>
      </c>
      <c r="Y165" s="38" t="str">
        <f t="shared" si="9"/>
        <v>无需保养</v>
      </c>
      <c r="Z165" s="38">
        <f t="shared" si="10"/>
        <v>1</v>
      </c>
      <c r="AA165" s="163"/>
      <c r="AB165" s="163"/>
      <c r="AC165" s="163"/>
      <c r="AD165" s="163"/>
      <c r="AE165" s="163"/>
      <c r="AF165" s="163"/>
      <c r="AG165" s="163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63"/>
      <c r="AR165" s="163"/>
      <c r="AS165" s="163"/>
      <c r="AT165" s="163"/>
      <c r="AU165" s="163"/>
      <c r="AV165" s="163"/>
      <c r="AW165" s="163"/>
      <c r="AX165" s="163"/>
      <c r="AY165" s="163"/>
      <c r="AZ165" s="163"/>
      <c r="BA165" s="163"/>
      <c r="BB165" s="163"/>
      <c r="BC165" s="163"/>
      <c r="BD165" s="163"/>
    </row>
    <row r="166" spans="1:56" s="1" customFormat="1" ht="14.25" customHeight="1">
      <c r="A166" s="2">
        <v>164</v>
      </c>
      <c r="B166" s="43" t="s">
        <v>389</v>
      </c>
      <c r="C166" s="42">
        <v>68003695</v>
      </c>
      <c r="D166" s="42" t="s">
        <v>390</v>
      </c>
      <c r="E166" s="35">
        <v>3</v>
      </c>
      <c r="F166" s="35">
        <v>3</v>
      </c>
      <c r="G166" s="35" t="s">
        <v>158</v>
      </c>
      <c r="H166" s="36"/>
      <c r="I166" s="37">
        <f t="shared" si="11"/>
        <v>0</v>
      </c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>
        <f t="shared" si="8"/>
        <v>0</v>
      </c>
      <c r="W166" s="36"/>
      <c r="X166" s="38">
        <v>30000</v>
      </c>
      <c r="Y166" s="38" t="str">
        <f t="shared" si="9"/>
        <v>无需保养</v>
      </c>
      <c r="Z166" s="38">
        <f t="shared" si="10"/>
        <v>1</v>
      </c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  <c r="AQ166" s="163"/>
      <c r="AR166" s="163"/>
      <c r="AS166" s="163"/>
      <c r="AT166" s="163"/>
      <c r="AU166" s="163"/>
      <c r="AV166" s="163"/>
      <c r="AW166" s="163"/>
      <c r="AX166" s="163"/>
      <c r="AY166" s="163"/>
      <c r="AZ166" s="163"/>
      <c r="BA166" s="163"/>
      <c r="BB166" s="163"/>
      <c r="BC166" s="163"/>
      <c r="BD166" s="163"/>
    </row>
    <row r="167" spans="1:56" s="1" customFormat="1" ht="14.25" customHeight="1">
      <c r="A167" s="2">
        <v>165</v>
      </c>
      <c r="B167" s="43" t="s">
        <v>391</v>
      </c>
      <c r="C167" s="42">
        <v>68003696</v>
      </c>
      <c r="D167" s="133" t="s">
        <v>392</v>
      </c>
      <c r="E167" s="35">
        <v>4</v>
      </c>
      <c r="F167" s="35">
        <v>4</v>
      </c>
      <c r="G167" s="35" t="s">
        <v>158</v>
      </c>
      <c r="H167" s="36"/>
      <c r="I167" s="37">
        <f t="shared" si="11"/>
        <v>0</v>
      </c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>
        <f t="shared" si="8"/>
        <v>0</v>
      </c>
      <c r="W167" s="36"/>
      <c r="X167" s="38">
        <v>30000</v>
      </c>
      <c r="Y167" s="38" t="str">
        <f t="shared" si="9"/>
        <v>无需保养</v>
      </c>
      <c r="Z167" s="38">
        <f t="shared" si="10"/>
        <v>1</v>
      </c>
      <c r="AA167" s="163"/>
      <c r="AB167" s="163"/>
      <c r="AC167" s="163"/>
      <c r="AD167" s="163"/>
      <c r="AE167" s="163"/>
      <c r="AF167" s="163"/>
      <c r="AG167" s="163"/>
      <c r="AH167" s="163"/>
      <c r="AI167" s="163"/>
      <c r="AJ167" s="163"/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3"/>
      <c r="BD167" s="163"/>
    </row>
    <row r="168" spans="1:56" s="1" customFormat="1" ht="14.25" customHeight="1">
      <c r="A168" s="2">
        <v>166</v>
      </c>
      <c r="B168" s="43" t="s">
        <v>393</v>
      </c>
      <c r="C168" s="42">
        <v>68003697</v>
      </c>
      <c r="D168" s="42" t="s">
        <v>394</v>
      </c>
      <c r="E168" s="35">
        <v>2</v>
      </c>
      <c r="F168" s="35">
        <v>2</v>
      </c>
      <c r="G168" s="35" t="s">
        <v>158</v>
      </c>
      <c r="H168" s="36"/>
      <c r="I168" s="37">
        <f t="shared" si="11"/>
        <v>0</v>
      </c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>
        <f t="shared" si="8"/>
        <v>0</v>
      </c>
      <c r="W168" s="36"/>
      <c r="X168" s="38">
        <v>30000</v>
      </c>
      <c r="Y168" s="38" t="str">
        <f t="shared" si="9"/>
        <v>无需保养</v>
      </c>
      <c r="Z168" s="38">
        <f t="shared" si="10"/>
        <v>1</v>
      </c>
      <c r="AA168" s="163"/>
      <c r="AB168" s="163"/>
      <c r="AC168" s="163"/>
      <c r="AD168" s="163"/>
      <c r="AE168" s="163"/>
      <c r="AF168" s="163"/>
      <c r="AG168" s="163"/>
      <c r="AH168" s="163"/>
      <c r="AI168" s="163"/>
      <c r="AJ168" s="163"/>
      <c r="AK168" s="163"/>
      <c r="AL168" s="163"/>
      <c r="AM168" s="163"/>
      <c r="AN168" s="163"/>
      <c r="AO168" s="163"/>
      <c r="AP168" s="163"/>
      <c r="AQ168" s="163"/>
      <c r="AR168" s="163"/>
      <c r="AS168" s="163"/>
      <c r="AT168" s="163"/>
      <c r="AU168" s="163"/>
      <c r="AV168" s="163"/>
      <c r="AW168" s="163"/>
      <c r="AX168" s="163"/>
      <c r="AY168" s="163"/>
      <c r="AZ168" s="163"/>
      <c r="BA168" s="163"/>
      <c r="BB168" s="163"/>
      <c r="BC168" s="163"/>
      <c r="BD168" s="163"/>
    </row>
    <row r="169" spans="1:56" s="1" customFormat="1" ht="14.25" customHeight="1">
      <c r="A169" s="2">
        <v>167</v>
      </c>
      <c r="B169" s="43" t="s">
        <v>395</v>
      </c>
      <c r="C169" s="42">
        <v>68003701</v>
      </c>
      <c r="D169" s="42" t="s">
        <v>396</v>
      </c>
      <c r="E169" s="35">
        <v>3</v>
      </c>
      <c r="F169" s="35">
        <v>3</v>
      </c>
      <c r="G169" s="35" t="s">
        <v>158</v>
      </c>
      <c r="H169" s="36"/>
      <c r="I169" s="37">
        <f t="shared" si="11"/>
        <v>0</v>
      </c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>
        <f t="shared" si="8"/>
        <v>0</v>
      </c>
      <c r="W169" s="36"/>
      <c r="X169" s="38">
        <v>30000</v>
      </c>
      <c r="Y169" s="38" t="str">
        <f t="shared" si="9"/>
        <v>无需保养</v>
      </c>
      <c r="Z169" s="38">
        <f t="shared" si="10"/>
        <v>1</v>
      </c>
      <c r="AA169" s="163"/>
      <c r="AB169" s="163"/>
      <c r="AC169" s="163"/>
      <c r="AD169" s="163"/>
      <c r="AE169" s="163"/>
      <c r="AF169" s="163"/>
      <c r="AG169" s="163"/>
      <c r="AH169" s="163"/>
      <c r="AI169" s="163"/>
      <c r="AJ169" s="163"/>
      <c r="AK169" s="163"/>
      <c r="AL169" s="163"/>
      <c r="AM169" s="163"/>
      <c r="AN169" s="163"/>
      <c r="AO169" s="163"/>
      <c r="AP169" s="163"/>
      <c r="AQ169" s="163"/>
      <c r="AR169" s="163"/>
      <c r="AS169" s="163"/>
      <c r="AT169" s="163"/>
      <c r="AU169" s="163"/>
      <c r="AV169" s="163"/>
      <c r="AW169" s="163"/>
      <c r="AX169" s="163"/>
      <c r="AY169" s="163"/>
      <c r="AZ169" s="163"/>
      <c r="BA169" s="163"/>
      <c r="BB169" s="163"/>
      <c r="BC169" s="163"/>
      <c r="BD169" s="163"/>
    </row>
    <row r="170" spans="1:56" s="1" customFormat="1" ht="14.25" customHeight="1">
      <c r="A170" s="2">
        <v>168</v>
      </c>
      <c r="B170" s="43" t="s">
        <v>397</v>
      </c>
      <c r="C170" s="42">
        <v>68003702</v>
      </c>
      <c r="D170" s="134" t="s">
        <v>398</v>
      </c>
      <c r="E170" s="35">
        <v>4</v>
      </c>
      <c r="F170" s="35">
        <v>4</v>
      </c>
      <c r="G170" s="35" t="s">
        <v>158</v>
      </c>
      <c r="H170" s="36"/>
      <c r="I170" s="37">
        <f t="shared" si="11"/>
        <v>0</v>
      </c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>
        <f t="shared" si="8"/>
        <v>0</v>
      </c>
      <c r="W170" s="36"/>
      <c r="X170" s="38">
        <v>30000</v>
      </c>
      <c r="Y170" s="38" t="str">
        <f t="shared" si="9"/>
        <v>无需保养</v>
      </c>
      <c r="Z170" s="38">
        <f t="shared" si="10"/>
        <v>2</v>
      </c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  <c r="AN170" s="163"/>
      <c r="AO170" s="163"/>
      <c r="AP170" s="163"/>
      <c r="AQ170" s="163"/>
      <c r="AR170" s="163"/>
      <c r="AS170" s="163"/>
      <c r="AT170" s="163"/>
      <c r="AU170" s="163"/>
      <c r="AV170" s="163"/>
      <c r="AW170" s="163"/>
      <c r="AX170" s="163"/>
      <c r="AY170" s="163"/>
      <c r="AZ170" s="163"/>
      <c r="BA170" s="163"/>
      <c r="BB170" s="163"/>
      <c r="BC170" s="163"/>
      <c r="BD170" s="163"/>
    </row>
    <row r="171" spans="1:56" s="1" customFormat="1" ht="14.25" customHeight="1">
      <c r="A171" s="2">
        <v>169</v>
      </c>
      <c r="B171" s="43" t="s">
        <v>399</v>
      </c>
      <c r="C171" s="42">
        <v>68003702</v>
      </c>
      <c r="D171" s="134" t="s">
        <v>400</v>
      </c>
      <c r="E171" s="35">
        <v>4</v>
      </c>
      <c r="F171" s="35">
        <v>4</v>
      </c>
      <c r="G171" s="35" t="s">
        <v>158</v>
      </c>
      <c r="H171" s="36"/>
      <c r="I171" s="37">
        <f t="shared" si="11"/>
        <v>0</v>
      </c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>
        <f t="shared" si="8"/>
        <v>0</v>
      </c>
      <c r="W171" s="36"/>
      <c r="X171" s="38">
        <v>30000</v>
      </c>
      <c r="Y171" s="38" t="str">
        <f t="shared" si="9"/>
        <v>无需保养</v>
      </c>
      <c r="Z171" s="38">
        <f t="shared" si="10"/>
        <v>2</v>
      </c>
      <c r="AA171" s="163"/>
      <c r="AB171" s="163"/>
      <c r="AC171" s="163"/>
      <c r="AD171" s="163"/>
      <c r="AE171" s="163"/>
      <c r="AF171" s="163"/>
      <c r="AG171" s="163"/>
      <c r="AH171" s="163"/>
      <c r="AI171" s="163"/>
      <c r="AJ171" s="163"/>
      <c r="AK171" s="163"/>
      <c r="AL171" s="163"/>
      <c r="AM171" s="163"/>
      <c r="AN171" s="163"/>
      <c r="AO171" s="163"/>
      <c r="AP171" s="163"/>
      <c r="AQ171" s="163"/>
      <c r="AR171" s="163"/>
      <c r="AS171" s="163"/>
      <c r="AT171" s="163"/>
      <c r="AU171" s="163"/>
      <c r="AV171" s="163"/>
      <c r="AW171" s="163"/>
      <c r="AX171" s="163"/>
      <c r="AY171" s="163"/>
      <c r="AZ171" s="163"/>
      <c r="BA171" s="163"/>
      <c r="BB171" s="163"/>
      <c r="BC171" s="163"/>
      <c r="BD171" s="163"/>
    </row>
    <row r="172" spans="1:56" s="1" customFormat="1" ht="14.25" customHeight="1">
      <c r="A172" s="2">
        <v>170</v>
      </c>
      <c r="B172" s="43" t="s">
        <v>401</v>
      </c>
      <c r="C172" s="42">
        <v>68003703</v>
      </c>
      <c r="D172" s="133" t="s">
        <v>402</v>
      </c>
      <c r="E172" s="35">
        <v>4</v>
      </c>
      <c r="F172" s="35">
        <v>4</v>
      </c>
      <c r="G172" s="35" t="s">
        <v>158</v>
      </c>
      <c r="H172" s="36"/>
      <c r="I172" s="37">
        <f t="shared" si="11"/>
        <v>0</v>
      </c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>
        <f t="shared" si="8"/>
        <v>0</v>
      </c>
      <c r="W172" s="36"/>
      <c r="X172" s="38">
        <v>30000</v>
      </c>
      <c r="Y172" s="38" t="str">
        <f t="shared" si="9"/>
        <v>无需保养</v>
      </c>
      <c r="Z172" s="38">
        <f t="shared" si="10"/>
        <v>1</v>
      </c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  <c r="AV172" s="163"/>
      <c r="AW172" s="163"/>
      <c r="AX172" s="163"/>
      <c r="AY172" s="163"/>
      <c r="AZ172" s="163"/>
      <c r="BA172" s="163"/>
      <c r="BB172" s="163"/>
      <c r="BC172" s="163"/>
      <c r="BD172" s="163"/>
    </row>
    <row r="173" spans="1:56" s="1" customFormat="1" ht="14.25" customHeight="1">
      <c r="A173" s="2">
        <v>171</v>
      </c>
      <c r="B173" s="43" t="s">
        <v>403</v>
      </c>
      <c r="C173" s="42">
        <v>68003720</v>
      </c>
      <c r="D173" s="133" t="s">
        <v>404</v>
      </c>
      <c r="E173" s="35">
        <v>4</v>
      </c>
      <c r="F173" s="35">
        <v>4</v>
      </c>
      <c r="G173" s="35" t="s">
        <v>158</v>
      </c>
      <c r="H173" s="36"/>
      <c r="I173" s="37">
        <f t="shared" si="11"/>
        <v>0</v>
      </c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>
        <f t="shared" si="8"/>
        <v>0</v>
      </c>
      <c r="W173" s="36"/>
      <c r="X173" s="38">
        <v>30000</v>
      </c>
      <c r="Y173" s="38" t="str">
        <f t="shared" si="9"/>
        <v>无需保养</v>
      </c>
      <c r="Z173" s="38">
        <f t="shared" si="10"/>
        <v>1</v>
      </c>
      <c r="AA173" s="163"/>
      <c r="AB173" s="163"/>
      <c r="AC173" s="163"/>
      <c r="AD173" s="163"/>
      <c r="AE173" s="163"/>
      <c r="AF173" s="163"/>
      <c r="AG173" s="163"/>
      <c r="AH173" s="163"/>
      <c r="AI173" s="163"/>
      <c r="AJ173" s="163"/>
      <c r="AK173" s="163"/>
      <c r="AL173" s="163"/>
      <c r="AM173" s="163"/>
      <c r="AN173" s="163"/>
      <c r="AO173" s="163"/>
      <c r="AP173" s="163"/>
      <c r="AQ173" s="163"/>
      <c r="AR173" s="163"/>
      <c r="AS173" s="163"/>
      <c r="AT173" s="163"/>
      <c r="AU173" s="163"/>
      <c r="AV173" s="163"/>
      <c r="AW173" s="163"/>
      <c r="AX173" s="163"/>
      <c r="AY173" s="163"/>
      <c r="AZ173" s="163"/>
      <c r="BA173" s="163"/>
      <c r="BB173" s="163"/>
      <c r="BC173" s="163"/>
      <c r="BD173" s="163"/>
    </row>
    <row r="174" spans="1:56" s="1" customFormat="1" ht="14.25" customHeight="1">
      <c r="A174" s="2">
        <v>172</v>
      </c>
      <c r="B174" s="43" t="s">
        <v>405</v>
      </c>
      <c r="C174" s="42">
        <v>68003721</v>
      </c>
      <c r="D174" s="133" t="s">
        <v>406</v>
      </c>
      <c r="E174" s="35">
        <v>8</v>
      </c>
      <c r="F174" s="35">
        <v>8</v>
      </c>
      <c r="G174" s="35" t="s">
        <v>158</v>
      </c>
      <c r="H174" s="36"/>
      <c r="I174" s="37">
        <f t="shared" si="11"/>
        <v>0</v>
      </c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>
        <f t="shared" si="8"/>
        <v>0</v>
      </c>
      <c r="W174" s="36"/>
      <c r="X174" s="38">
        <v>30000</v>
      </c>
      <c r="Y174" s="38" t="str">
        <f t="shared" si="9"/>
        <v>无需保养</v>
      </c>
      <c r="Z174" s="38">
        <f t="shared" si="10"/>
        <v>4</v>
      </c>
      <c r="AA174" s="163"/>
      <c r="AB174" s="163"/>
      <c r="AC174" s="163"/>
      <c r="AD174" s="163"/>
      <c r="AE174" s="163"/>
      <c r="AF174" s="163"/>
      <c r="AG174" s="163"/>
      <c r="AH174" s="163"/>
      <c r="AI174" s="163"/>
      <c r="AJ174" s="163"/>
      <c r="AK174" s="163"/>
      <c r="AL174" s="163"/>
      <c r="AM174" s="163"/>
      <c r="AN174" s="163"/>
      <c r="AO174" s="163"/>
      <c r="AP174" s="163"/>
      <c r="AQ174" s="163"/>
      <c r="AR174" s="163"/>
      <c r="AS174" s="163"/>
      <c r="AT174" s="163"/>
      <c r="AU174" s="163"/>
      <c r="AV174" s="163"/>
      <c r="AW174" s="163"/>
      <c r="AX174" s="163"/>
      <c r="AY174" s="163"/>
      <c r="AZ174" s="163"/>
      <c r="BA174" s="163"/>
      <c r="BB174" s="163"/>
      <c r="BC174" s="163"/>
      <c r="BD174" s="163"/>
    </row>
    <row r="175" spans="1:56" s="1" customFormat="1" ht="14.25" customHeight="1">
      <c r="A175" s="2">
        <v>173</v>
      </c>
      <c r="B175" s="43" t="s">
        <v>407</v>
      </c>
      <c r="C175" s="42">
        <v>68003721</v>
      </c>
      <c r="D175" s="134" t="s">
        <v>408</v>
      </c>
      <c r="E175" s="35">
        <v>8</v>
      </c>
      <c r="F175" s="35">
        <v>8</v>
      </c>
      <c r="G175" s="35" t="s">
        <v>158</v>
      </c>
      <c r="H175" s="36"/>
      <c r="I175" s="37">
        <f t="shared" si="11"/>
        <v>0</v>
      </c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>
        <f t="shared" si="8"/>
        <v>0</v>
      </c>
      <c r="W175" s="36"/>
      <c r="X175" s="38">
        <v>30000</v>
      </c>
      <c r="Y175" s="38" t="str">
        <f t="shared" si="9"/>
        <v>无需保养</v>
      </c>
      <c r="Z175" s="38">
        <f t="shared" si="10"/>
        <v>4</v>
      </c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63"/>
      <c r="AM175" s="163"/>
      <c r="AN175" s="163"/>
      <c r="AO175" s="163"/>
      <c r="AP175" s="163"/>
      <c r="AQ175" s="163"/>
      <c r="AR175" s="163"/>
      <c r="AS175" s="163"/>
      <c r="AT175" s="163"/>
      <c r="AU175" s="163"/>
      <c r="AV175" s="163"/>
      <c r="AW175" s="163"/>
      <c r="AX175" s="163"/>
      <c r="AY175" s="163"/>
      <c r="AZ175" s="163"/>
      <c r="BA175" s="163"/>
      <c r="BB175" s="163"/>
      <c r="BC175" s="163"/>
      <c r="BD175" s="163"/>
    </row>
    <row r="176" spans="1:56" s="1" customFormat="1" ht="14.25" customHeight="1">
      <c r="A176" s="2">
        <v>174</v>
      </c>
      <c r="B176" s="43" t="s">
        <v>409</v>
      </c>
      <c r="C176" s="42">
        <v>68003721</v>
      </c>
      <c r="D176" s="134" t="s">
        <v>410</v>
      </c>
      <c r="E176" s="35">
        <v>8</v>
      </c>
      <c r="F176" s="35">
        <v>8</v>
      </c>
      <c r="G176" s="35" t="s">
        <v>158</v>
      </c>
      <c r="H176" s="36"/>
      <c r="I176" s="37">
        <f t="shared" si="11"/>
        <v>0</v>
      </c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>
        <f t="shared" si="8"/>
        <v>0</v>
      </c>
      <c r="W176" s="36"/>
      <c r="X176" s="38">
        <v>30000</v>
      </c>
      <c r="Y176" s="38" t="str">
        <f t="shared" si="9"/>
        <v>无需保养</v>
      </c>
      <c r="Z176" s="38">
        <f t="shared" si="10"/>
        <v>4</v>
      </c>
      <c r="AA176" s="163"/>
      <c r="AB176" s="163"/>
      <c r="AC176" s="163"/>
      <c r="AD176" s="163"/>
      <c r="AE176" s="163"/>
      <c r="AF176" s="163"/>
      <c r="AG176" s="163"/>
      <c r="AH176" s="163"/>
      <c r="AI176" s="163"/>
      <c r="AJ176" s="163"/>
      <c r="AK176" s="163"/>
      <c r="AL176" s="163"/>
      <c r="AM176" s="163"/>
      <c r="AN176" s="163"/>
      <c r="AO176" s="163"/>
      <c r="AP176" s="163"/>
      <c r="AQ176" s="163"/>
      <c r="AR176" s="163"/>
      <c r="AS176" s="163"/>
      <c r="AT176" s="163"/>
      <c r="AU176" s="163"/>
      <c r="AV176" s="163"/>
      <c r="AW176" s="163"/>
      <c r="AX176" s="163"/>
      <c r="AY176" s="163"/>
      <c r="AZ176" s="163"/>
      <c r="BA176" s="163"/>
      <c r="BB176" s="163"/>
      <c r="BC176" s="163"/>
      <c r="BD176" s="163"/>
    </row>
    <row r="177" spans="1:56" s="1" customFormat="1" ht="14.25" customHeight="1">
      <c r="A177" s="2">
        <v>175</v>
      </c>
      <c r="B177" s="43" t="s">
        <v>411</v>
      </c>
      <c r="C177" s="42">
        <v>68003721</v>
      </c>
      <c r="D177" s="134" t="s">
        <v>412</v>
      </c>
      <c r="E177" s="35">
        <v>8</v>
      </c>
      <c r="F177" s="35">
        <v>8</v>
      </c>
      <c r="G177" s="35" t="s">
        <v>158</v>
      </c>
      <c r="H177" s="36"/>
      <c r="I177" s="37">
        <f t="shared" si="11"/>
        <v>0</v>
      </c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>
        <f t="shared" si="8"/>
        <v>0</v>
      </c>
      <c r="W177" s="36"/>
      <c r="X177" s="38">
        <v>30000</v>
      </c>
      <c r="Y177" s="38" t="str">
        <f t="shared" si="9"/>
        <v>无需保养</v>
      </c>
      <c r="Z177" s="38">
        <f t="shared" si="10"/>
        <v>4</v>
      </c>
      <c r="AA177" s="163"/>
      <c r="AB177" s="163"/>
      <c r="AC177" s="163"/>
      <c r="AD177" s="163"/>
      <c r="AE177" s="163"/>
      <c r="AF177" s="163"/>
      <c r="AG177" s="163"/>
      <c r="AH177" s="163"/>
      <c r="AI177" s="163"/>
      <c r="AJ177" s="163"/>
      <c r="AK177" s="163"/>
      <c r="AL177" s="163"/>
      <c r="AM177" s="163"/>
      <c r="AN177" s="163"/>
      <c r="AO177" s="163"/>
      <c r="AP177" s="163"/>
      <c r="AQ177" s="163"/>
      <c r="AR177" s="163"/>
      <c r="AS177" s="163"/>
      <c r="AT177" s="163"/>
      <c r="AU177" s="163"/>
      <c r="AV177" s="163"/>
      <c r="AW177" s="163"/>
      <c r="AX177" s="163"/>
      <c r="AY177" s="163"/>
      <c r="AZ177" s="163"/>
      <c r="BA177" s="163"/>
      <c r="BB177" s="163"/>
      <c r="BC177" s="163"/>
      <c r="BD177" s="163"/>
    </row>
    <row r="178" spans="1:56" s="1" customFormat="1" ht="14.25" customHeight="1">
      <c r="A178" s="2">
        <v>176</v>
      </c>
      <c r="B178" s="43" t="s">
        <v>413</v>
      </c>
      <c r="C178" s="42">
        <v>68003722</v>
      </c>
      <c r="D178" s="133" t="s">
        <v>414</v>
      </c>
      <c r="E178" s="35">
        <v>4</v>
      </c>
      <c r="F178" s="35">
        <v>4</v>
      </c>
      <c r="G178" s="35" t="s">
        <v>158</v>
      </c>
      <c r="H178" s="36"/>
      <c r="I178" s="37">
        <f t="shared" si="11"/>
        <v>0</v>
      </c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>
        <f t="shared" si="8"/>
        <v>0</v>
      </c>
      <c r="W178" s="36"/>
      <c r="X178" s="38">
        <v>30000</v>
      </c>
      <c r="Y178" s="38" t="str">
        <f t="shared" si="9"/>
        <v>无需保养</v>
      </c>
      <c r="Z178" s="38">
        <f t="shared" si="10"/>
        <v>1</v>
      </c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3"/>
      <c r="BD178" s="163"/>
    </row>
    <row r="179" spans="1:56" s="1" customFormat="1" ht="14.25" customHeight="1">
      <c r="A179" s="2">
        <v>177</v>
      </c>
      <c r="B179" s="43" t="s">
        <v>415</v>
      </c>
      <c r="C179" s="42">
        <v>68003723</v>
      </c>
      <c r="D179" s="133" t="s">
        <v>416</v>
      </c>
      <c r="E179" s="35">
        <v>3</v>
      </c>
      <c r="F179" s="35">
        <v>3</v>
      </c>
      <c r="G179" s="35" t="s">
        <v>158</v>
      </c>
      <c r="H179" s="36"/>
      <c r="I179" s="37">
        <f t="shared" si="11"/>
        <v>0</v>
      </c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>
        <f t="shared" si="8"/>
        <v>0</v>
      </c>
      <c r="W179" s="36"/>
      <c r="X179" s="38">
        <v>30000</v>
      </c>
      <c r="Y179" s="38" t="str">
        <f t="shared" si="9"/>
        <v>无需保养</v>
      </c>
      <c r="Z179" s="38">
        <f t="shared" si="10"/>
        <v>1</v>
      </c>
      <c r="AA179" s="163"/>
      <c r="AB179" s="163"/>
      <c r="AC179" s="163"/>
      <c r="AD179" s="163"/>
      <c r="AE179" s="163"/>
      <c r="AF179" s="163"/>
      <c r="AG179" s="163"/>
      <c r="AH179" s="163"/>
      <c r="AI179" s="163"/>
      <c r="AJ179" s="163"/>
      <c r="AK179" s="163"/>
      <c r="AL179" s="163"/>
      <c r="AM179" s="163"/>
      <c r="AN179" s="163"/>
      <c r="AO179" s="163"/>
      <c r="AP179" s="163"/>
      <c r="AQ179" s="163"/>
      <c r="AR179" s="163"/>
      <c r="AS179" s="163"/>
      <c r="AT179" s="163"/>
      <c r="AU179" s="163"/>
      <c r="AV179" s="163"/>
      <c r="AW179" s="163"/>
      <c r="AX179" s="163"/>
      <c r="AY179" s="163"/>
      <c r="AZ179" s="163"/>
      <c r="BA179" s="163"/>
      <c r="BB179" s="163"/>
      <c r="BC179" s="163"/>
      <c r="BD179" s="163"/>
    </row>
    <row r="180" spans="1:56" s="1" customFormat="1" ht="14.25" customHeight="1">
      <c r="A180" s="2">
        <v>178</v>
      </c>
      <c r="B180" s="43" t="s">
        <v>417</v>
      </c>
      <c r="C180" s="42">
        <v>68003724</v>
      </c>
      <c r="D180" s="133" t="s">
        <v>418</v>
      </c>
      <c r="E180" s="35">
        <v>4</v>
      </c>
      <c r="F180" s="35">
        <v>4</v>
      </c>
      <c r="G180" s="35" t="s">
        <v>158</v>
      </c>
      <c r="H180" s="36"/>
      <c r="I180" s="37">
        <f t="shared" si="11"/>
        <v>0</v>
      </c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>
        <f t="shared" si="8"/>
        <v>0</v>
      </c>
      <c r="W180" s="36"/>
      <c r="X180" s="38">
        <v>30000</v>
      </c>
      <c r="Y180" s="38" t="str">
        <f t="shared" si="9"/>
        <v>无需保养</v>
      </c>
      <c r="Z180" s="38">
        <f t="shared" si="10"/>
        <v>1</v>
      </c>
      <c r="AA180" s="163"/>
      <c r="AB180" s="163"/>
      <c r="AC180" s="163"/>
      <c r="AD180" s="163"/>
      <c r="AE180" s="163"/>
      <c r="AF180" s="163"/>
      <c r="AG180" s="163"/>
      <c r="AH180" s="163"/>
      <c r="AI180" s="163"/>
      <c r="AJ180" s="163"/>
      <c r="AK180" s="163"/>
      <c r="AL180" s="163"/>
      <c r="AM180" s="163"/>
      <c r="AN180" s="163"/>
      <c r="AO180" s="163"/>
      <c r="AP180" s="163"/>
      <c r="AQ180" s="163"/>
      <c r="AR180" s="163"/>
      <c r="AS180" s="163"/>
      <c r="AT180" s="163"/>
      <c r="AU180" s="163"/>
      <c r="AV180" s="163"/>
      <c r="AW180" s="163"/>
      <c r="AX180" s="163"/>
      <c r="AY180" s="163"/>
      <c r="AZ180" s="163"/>
      <c r="BA180" s="163"/>
      <c r="BB180" s="163"/>
      <c r="BC180" s="163"/>
      <c r="BD180" s="163"/>
    </row>
    <row r="181" spans="1:56" s="1" customFormat="1" ht="14.25" customHeight="1">
      <c r="A181" s="2">
        <v>179</v>
      </c>
      <c r="B181" s="43" t="s">
        <v>419</v>
      </c>
      <c r="C181" s="42">
        <v>68003725</v>
      </c>
      <c r="D181" s="133" t="s">
        <v>420</v>
      </c>
      <c r="E181" s="35">
        <v>4</v>
      </c>
      <c r="F181" s="35">
        <v>4</v>
      </c>
      <c r="G181" s="35" t="s">
        <v>158</v>
      </c>
      <c r="H181" s="36"/>
      <c r="I181" s="37">
        <f t="shared" si="11"/>
        <v>0</v>
      </c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>
        <f t="shared" si="8"/>
        <v>0</v>
      </c>
      <c r="W181" s="36"/>
      <c r="X181" s="38">
        <v>30000</v>
      </c>
      <c r="Y181" s="38" t="str">
        <f t="shared" si="9"/>
        <v>无需保养</v>
      </c>
      <c r="Z181" s="38">
        <f t="shared" si="10"/>
        <v>1</v>
      </c>
      <c r="AA181" s="163"/>
      <c r="AB181" s="163"/>
      <c r="AC181" s="163"/>
      <c r="AD181" s="163"/>
      <c r="AE181" s="163"/>
      <c r="AF181" s="163"/>
      <c r="AG181" s="163"/>
      <c r="AH181" s="163"/>
      <c r="AI181" s="163"/>
      <c r="AJ181" s="163"/>
      <c r="AK181" s="163"/>
      <c r="AL181" s="163"/>
      <c r="AM181" s="163"/>
      <c r="AN181" s="163"/>
      <c r="AO181" s="163"/>
      <c r="AP181" s="163"/>
      <c r="AQ181" s="163"/>
      <c r="AR181" s="163"/>
      <c r="AS181" s="163"/>
      <c r="AT181" s="163"/>
      <c r="AU181" s="163"/>
      <c r="AV181" s="163"/>
      <c r="AW181" s="163"/>
      <c r="AX181" s="163"/>
      <c r="AY181" s="163"/>
      <c r="AZ181" s="163"/>
      <c r="BA181" s="163"/>
      <c r="BB181" s="163"/>
      <c r="BC181" s="163"/>
      <c r="BD181" s="163"/>
    </row>
    <row r="182" spans="1:56" s="1" customFormat="1" ht="14.25" customHeight="1">
      <c r="A182" s="2">
        <v>180</v>
      </c>
      <c r="B182" s="43" t="s">
        <v>421</v>
      </c>
      <c r="C182" s="42">
        <v>68003726</v>
      </c>
      <c r="D182" s="133" t="s">
        <v>422</v>
      </c>
      <c r="E182" s="35">
        <v>4</v>
      </c>
      <c r="F182" s="35">
        <v>4</v>
      </c>
      <c r="G182" s="35" t="s">
        <v>158</v>
      </c>
      <c r="H182" s="36"/>
      <c r="I182" s="37">
        <f t="shared" si="11"/>
        <v>0</v>
      </c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>
        <f t="shared" si="8"/>
        <v>0</v>
      </c>
      <c r="W182" s="36"/>
      <c r="X182" s="38">
        <v>30000</v>
      </c>
      <c r="Y182" s="38" t="str">
        <f t="shared" si="9"/>
        <v>无需保养</v>
      </c>
      <c r="Z182" s="38">
        <f t="shared" si="10"/>
        <v>1</v>
      </c>
      <c r="AA182" s="163"/>
      <c r="AB182" s="163"/>
      <c r="AC182" s="163"/>
      <c r="AD182" s="163"/>
      <c r="AE182" s="163"/>
      <c r="AF182" s="163"/>
      <c r="AG182" s="163"/>
      <c r="AH182" s="163"/>
      <c r="AI182" s="163"/>
      <c r="AJ182" s="163"/>
      <c r="AK182" s="163"/>
      <c r="AL182" s="163"/>
      <c r="AM182" s="163"/>
      <c r="AN182" s="163"/>
      <c r="AO182" s="163"/>
      <c r="AP182" s="163"/>
      <c r="AQ182" s="163"/>
      <c r="AR182" s="163"/>
      <c r="AS182" s="163"/>
      <c r="AT182" s="163"/>
      <c r="AU182" s="163"/>
      <c r="AV182" s="163"/>
      <c r="AW182" s="163"/>
      <c r="AX182" s="163"/>
      <c r="AY182" s="163"/>
      <c r="AZ182" s="163"/>
      <c r="BA182" s="163"/>
      <c r="BB182" s="163"/>
      <c r="BC182" s="163"/>
      <c r="BD182" s="163"/>
    </row>
    <row r="183" spans="1:56" s="1" customFormat="1" ht="14.25" customHeight="1">
      <c r="A183" s="2">
        <v>181</v>
      </c>
      <c r="B183" s="43" t="s">
        <v>423</v>
      </c>
      <c r="C183" s="42">
        <v>68003727</v>
      </c>
      <c r="D183" s="133" t="s">
        <v>424</v>
      </c>
      <c r="E183" s="35">
        <v>16</v>
      </c>
      <c r="F183" s="35">
        <v>16</v>
      </c>
      <c r="G183" s="35" t="s">
        <v>158</v>
      </c>
      <c r="H183" s="36"/>
      <c r="I183" s="37">
        <f t="shared" si="11"/>
        <v>0</v>
      </c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>
        <f t="shared" si="8"/>
        <v>0</v>
      </c>
      <c r="W183" s="36"/>
      <c r="X183" s="38">
        <v>30000</v>
      </c>
      <c r="Y183" s="38" t="str">
        <f t="shared" si="9"/>
        <v>无需保养</v>
      </c>
      <c r="Z183" s="38">
        <f t="shared" si="10"/>
        <v>3</v>
      </c>
      <c r="AA183" s="163"/>
      <c r="AB183" s="163"/>
      <c r="AC183" s="163"/>
      <c r="AD183" s="163"/>
      <c r="AE183" s="163"/>
      <c r="AF183" s="163"/>
      <c r="AG183" s="163"/>
      <c r="AH183" s="163"/>
      <c r="AI183" s="163"/>
      <c r="AJ183" s="163"/>
      <c r="AK183" s="163"/>
      <c r="AL183" s="163"/>
      <c r="AM183" s="163"/>
      <c r="AN183" s="163"/>
      <c r="AO183" s="163"/>
      <c r="AP183" s="163"/>
      <c r="AQ183" s="163"/>
      <c r="AR183" s="163"/>
      <c r="AS183" s="163"/>
      <c r="AT183" s="163"/>
      <c r="AU183" s="163"/>
      <c r="AV183" s="163"/>
      <c r="AW183" s="163"/>
      <c r="AX183" s="163"/>
      <c r="AY183" s="163"/>
      <c r="AZ183" s="163"/>
      <c r="BA183" s="163"/>
      <c r="BB183" s="163"/>
      <c r="BC183" s="163"/>
      <c r="BD183" s="163"/>
    </row>
    <row r="184" spans="1:56" s="1" customFormat="1" ht="14.25" customHeight="1">
      <c r="A184" s="2">
        <v>182</v>
      </c>
      <c r="B184" s="43" t="s">
        <v>425</v>
      </c>
      <c r="C184" s="42">
        <v>68003727</v>
      </c>
      <c r="D184" s="133" t="s">
        <v>426</v>
      </c>
      <c r="E184" s="35">
        <v>8</v>
      </c>
      <c r="F184" s="35">
        <v>8</v>
      </c>
      <c r="G184" s="35" t="s">
        <v>427</v>
      </c>
      <c r="H184" s="36"/>
      <c r="I184" s="37">
        <f t="shared" si="11"/>
        <v>0</v>
      </c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>
        <f t="shared" si="8"/>
        <v>0</v>
      </c>
      <c r="W184" s="36"/>
      <c r="X184" s="38">
        <v>30000</v>
      </c>
      <c r="Y184" s="38" t="str">
        <f t="shared" si="9"/>
        <v>无需保养</v>
      </c>
      <c r="Z184" s="38">
        <f t="shared" si="10"/>
        <v>3</v>
      </c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3"/>
      <c r="AU184" s="163"/>
      <c r="AV184" s="163"/>
      <c r="AW184" s="163"/>
      <c r="AX184" s="163"/>
      <c r="AY184" s="163"/>
      <c r="AZ184" s="163"/>
      <c r="BA184" s="163"/>
      <c r="BB184" s="163"/>
      <c r="BC184" s="163"/>
      <c r="BD184" s="163"/>
    </row>
    <row r="185" spans="1:56" s="1" customFormat="1" ht="14.25" customHeight="1">
      <c r="A185" s="2">
        <v>183</v>
      </c>
      <c r="B185" s="43" t="s">
        <v>428</v>
      </c>
      <c r="C185" s="42">
        <v>68003727</v>
      </c>
      <c r="D185" s="134" t="s">
        <v>429</v>
      </c>
      <c r="E185" s="35">
        <v>16</v>
      </c>
      <c r="F185" s="35">
        <v>16</v>
      </c>
      <c r="G185" s="35" t="s">
        <v>427</v>
      </c>
      <c r="H185" s="36"/>
      <c r="I185" s="37">
        <f t="shared" si="11"/>
        <v>0</v>
      </c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>
        <f t="shared" si="8"/>
        <v>0</v>
      </c>
      <c r="W185" s="36"/>
      <c r="X185" s="38">
        <v>30000</v>
      </c>
      <c r="Y185" s="38" t="str">
        <f t="shared" si="9"/>
        <v>无需保养</v>
      </c>
      <c r="Z185" s="38">
        <f t="shared" si="10"/>
        <v>3</v>
      </c>
      <c r="AA185" s="163"/>
      <c r="AB185" s="163"/>
      <c r="AC185" s="163"/>
      <c r="AD185" s="163"/>
      <c r="AE185" s="163"/>
      <c r="AF185" s="163"/>
      <c r="AG185" s="163"/>
      <c r="AH185" s="163"/>
      <c r="AI185" s="163"/>
      <c r="AJ185" s="163"/>
      <c r="AK185" s="163"/>
      <c r="AL185" s="163"/>
      <c r="AM185" s="163"/>
      <c r="AN185" s="163"/>
      <c r="AO185" s="163"/>
      <c r="AP185" s="163"/>
      <c r="AQ185" s="163"/>
      <c r="AR185" s="163"/>
      <c r="AS185" s="163"/>
      <c r="AT185" s="163"/>
      <c r="AU185" s="163"/>
      <c r="AV185" s="163"/>
      <c r="AW185" s="163"/>
      <c r="AX185" s="163"/>
      <c r="AY185" s="163"/>
      <c r="AZ185" s="163"/>
      <c r="BA185" s="163"/>
      <c r="BB185" s="163"/>
      <c r="BC185" s="163"/>
      <c r="BD185" s="163"/>
    </row>
    <row r="186" spans="1:56" s="1" customFormat="1" ht="14.25" customHeight="1">
      <c r="A186" s="2">
        <v>184</v>
      </c>
      <c r="B186" s="43" t="s">
        <v>430</v>
      </c>
      <c r="C186" s="42">
        <v>68003729</v>
      </c>
      <c r="D186" s="133" t="s">
        <v>431</v>
      </c>
      <c r="E186" s="35">
        <v>4</v>
      </c>
      <c r="F186" s="35">
        <v>4</v>
      </c>
      <c r="G186" s="35" t="s">
        <v>427</v>
      </c>
      <c r="H186" s="36"/>
      <c r="I186" s="37">
        <f t="shared" si="11"/>
        <v>0</v>
      </c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>
        <f t="shared" si="8"/>
        <v>0</v>
      </c>
      <c r="W186" s="36"/>
      <c r="X186" s="38">
        <v>30000</v>
      </c>
      <c r="Y186" s="38" t="str">
        <f t="shared" si="9"/>
        <v>无需保养</v>
      </c>
      <c r="Z186" s="38">
        <f t="shared" si="10"/>
        <v>2</v>
      </c>
      <c r="AA186" s="163"/>
      <c r="AB186" s="163"/>
      <c r="AC186" s="163"/>
      <c r="AD186" s="163"/>
      <c r="AE186" s="163"/>
      <c r="AF186" s="163"/>
      <c r="AG186" s="163"/>
      <c r="AH186" s="163"/>
      <c r="AI186" s="163"/>
      <c r="AJ186" s="163"/>
      <c r="AK186" s="163"/>
      <c r="AL186" s="163"/>
      <c r="AM186" s="163"/>
      <c r="AN186" s="163"/>
      <c r="AO186" s="163"/>
      <c r="AP186" s="163"/>
      <c r="AQ186" s="163"/>
      <c r="AR186" s="163"/>
      <c r="AS186" s="163"/>
      <c r="AT186" s="163"/>
      <c r="AU186" s="163"/>
      <c r="AV186" s="163"/>
      <c r="AW186" s="163"/>
      <c r="AX186" s="163"/>
      <c r="AY186" s="163"/>
      <c r="AZ186" s="163"/>
      <c r="BA186" s="163"/>
      <c r="BB186" s="163"/>
      <c r="BC186" s="163"/>
      <c r="BD186" s="163"/>
    </row>
    <row r="187" spans="1:56" s="1" customFormat="1" ht="14.25" customHeight="1">
      <c r="A187" s="2">
        <v>185</v>
      </c>
      <c r="B187" s="43" t="s">
        <v>432</v>
      </c>
      <c r="C187" s="42">
        <v>68003729</v>
      </c>
      <c r="D187" s="134" t="s">
        <v>433</v>
      </c>
      <c r="E187" s="35">
        <v>4</v>
      </c>
      <c r="F187" s="35">
        <v>4</v>
      </c>
      <c r="G187" s="35" t="s">
        <v>427</v>
      </c>
      <c r="H187" s="36"/>
      <c r="I187" s="37">
        <f t="shared" si="11"/>
        <v>0</v>
      </c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>
        <f t="shared" si="8"/>
        <v>0</v>
      </c>
      <c r="W187" s="36"/>
      <c r="X187" s="38">
        <v>30000</v>
      </c>
      <c r="Y187" s="38" t="str">
        <f t="shared" si="9"/>
        <v>无需保养</v>
      </c>
      <c r="Z187" s="38">
        <f t="shared" si="10"/>
        <v>2</v>
      </c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63"/>
      <c r="AR187" s="163"/>
      <c r="AS187" s="163"/>
      <c r="AT187" s="163"/>
      <c r="AU187" s="163"/>
      <c r="AV187" s="163"/>
      <c r="AW187" s="163"/>
      <c r="AX187" s="163"/>
      <c r="AY187" s="163"/>
      <c r="AZ187" s="163"/>
      <c r="BA187" s="163"/>
      <c r="BB187" s="163"/>
      <c r="BC187" s="163"/>
      <c r="BD187" s="163"/>
    </row>
    <row r="188" spans="1:56" s="1" customFormat="1" ht="14.25" customHeight="1">
      <c r="A188" s="2">
        <v>186</v>
      </c>
      <c r="B188" s="43" t="s">
        <v>434</v>
      </c>
      <c r="C188" s="42">
        <v>68003730</v>
      </c>
      <c r="D188" s="133" t="s">
        <v>435</v>
      </c>
      <c r="E188" s="35">
        <v>4</v>
      </c>
      <c r="F188" s="35">
        <v>4</v>
      </c>
      <c r="G188" s="35" t="s">
        <v>427</v>
      </c>
      <c r="H188" s="36"/>
      <c r="I188" s="37">
        <f t="shared" si="11"/>
        <v>0</v>
      </c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>
        <f t="shared" si="8"/>
        <v>0</v>
      </c>
      <c r="W188" s="36"/>
      <c r="X188" s="38">
        <v>30000</v>
      </c>
      <c r="Y188" s="38" t="str">
        <f t="shared" si="9"/>
        <v>无需保养</v>
      </c>
      <c r="Z188" s="38">
        <f t="shared" si="10"/>
        <v>2</v>
      </c>
      <c r="AA188" s="163"/>
      <c r="AB188" s="163"/>
      <c r="AC188" s="163"/>
      <c r="AD188" s="163"/>
      <c r="AE188" s="163"/>
      <c r="AF188" s="163"/>
      <c r="AG188" s="163"/>
      <c r="AH188" s="163"/>
      <c r="AI188" s="163"/>
      <c r="AJ188" s="163"/>
      <c r="AK188" s="163"/>
      <c r="AL188" s="163"/>
      <c r="AM188" s="163"/>
      <c r="AN188" s="163"/>
      <c r="AO188" s="163"/>
      <c r="AP188" s="163"/>
      <c r="AQ188" s="163"/>
      <c r="AR188" s="163"/>
      <c r="AS188" s="163"/>
      <c r="AT188" s="163"/>
      <c r="AU188" s="163"/>
      <c r="AV188" s="163"/>
      <c r="AW188" s="163"/>
      <c r="AX188" s="163"/>
      <c r="AY188" s="163"/>
      <c r="AZ188" s="163"/>
      <c r="BA188" s="163"/>
      <c r="BB188" s="163"/>
      <c r="BC188" s="163"/>
      <c r="BD188" s="163"/>
    </row>
    <row r="189" spans="1:56" s="1" customFormat="1" ht="14.25" customHeight="1">
      <c r="A189" s="2">
        <v>187</v>
      </c>
      <c r="B189" s="43" t="s">
        <v>436</v>
      </c>
      <c r="C189" s="42">
        <v>68003730</v>
      </c>
      <c r="D189" s="134" t="s">
        <v>437</v>
      </c>
      <c r="E189" s="35">
        <v>4</v>
      </c>
      <c r="F189" s="35">
        <v>4</v>
      </c>
      <c r="G189" s="35" t="s">
        <v>427</v>
      </c>
      <c r="H189" s="36"/>
      <c r="I189" s="37">
        <f t="shared" si="11"/>
        <v>0</v>
      </c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>
        <f t="shared" si="8"/>
        <v>0</v>
      </c>
      <c r="W189" s="36"/>
      <c r="X189" s="38">
        <v>30000</v>
      </c>
      <c r="Y189" s="38" t="str">
        <f t="shared" si="9"/>
        <v>无需保养</v>
      </c>
      <c r="Z189" s="38">
        <f t="shared" si="10"/>
        <v>2</v>
      </c>
      <c r="AA189" s="163"/>
      <c r="AB189" s="163"/>
      <c r="AC189" s="163"/>
      <c r="AD189" s="163"/>
      <c r="AE189" s="163"/>
      <c r="AF189" s="163"/>
      <c r="AG189" s="163"/>
      <c r="AH189" s="163"/>
      <c r="AI189" s="163"/>
      <c r="AJ189" s="163"/>
      <c r="AK189" s="163"/>
      <c r="AL189" s="163"/>
      <c r="AM189" s="163"/>
      <c r="AN189" s="163"/>
      <c r="AO189" s="163"/>
      <c r="AP189" s="163"/>
      <c r="AQ189" s="163"/>
      <c r="AR189" s="163"/>
      <c r="AS189" s="163"/>
      <c r="AT189" s="163"/>
      <c r="AU189" s="163"/>
      <c r="AV189" s="163"/>
      <c r="AW189" s="163"/>
      <c r="AX189" s="163"/>
      <c r="AY189" s="163"/>
      <c r="AZ189" s="163"/>
      <c r="BA189" s="163"/>
      <c r="BB189" s="163"/>
      <c r="BC189" s="163"/>
      <c r="BD189" s="163"/>
    </row>
    <row r="190" spans="1:56" s="1" customFormat="1" ht="14.25" customHeight="1">
      <c r="A190" s="2">
        <v>188</v>
      </c>
      <c r="B190" s="43" t="s">
        <v>438</v>
      </c>
      <c r="C190" s="42">
        <v>68003731</v>
      </c>
      <c r="D190" s="133" t="s">
        <v>439</v>
      </c>
      <c r="E190" s="35">
        <v>8</v>
      </c>
      <c r="F190" s="35">
        <v>8</v>
      </c>
      <c r="G190" s="35" t="s">
        <v>427</v>
      </c>
      <c r="H190" s="36"/>
      <c r="I190" s="37">
        <f t="shared" si="11"/>
        <v>0</v>
      </c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>
        <f t="shared" si="8"/>
        <v>0</v>
      </c>
      <c r="W190" s="36"/>
      <c r="X190" s="38">
        <v>30000</v>
      </c>
      <c r="Y190" s="38" t="str">
        <f t="shared" si="9"/>
        <v>无需保养</v>
      </c>
      <c r="Z190" s="38">
        <f t="shared" si="10"/>
        <v>1</v>
      </c>
      <c r="AA190" s="163"/>
      <c r="AB190" s="163"/>
      <c r="AC190" s="163"/>
      <c r="AD190" s="163"/>
      <c r="AE190" s="163"/>
      <c r="AF190" s="163"/>
      <c r="AG190" s="163"/>
      <c r="AH190" s="163"/>
      <c r="AI190" s="163"/>
      <c r="AJ190" s="163"/>
      <c r="AK190" s="163"/>
      <c r="AL190" s="163"/>
      <c r="AM190" s="163"/>
      <c r="AN190" s="163"/>
      <c r="AO190" s="163"/>
      <c r="AP190" s="163"/>
      <c r="AQ190" s="163"/>
      <c r="AR190" s="163"/>
      <c r="AS190" s="163"/>
      <c r="AT190" s="163"/>
      <c r="AU190" s="163"/>
      <c r="AV190" s="163"/>
      <c r="AW190" s="163"/>
      <c r="AX190" s="163"/>
      <c r="AY190" s="163"/>
      <c r="AZ190" s="163"/>
      <c r="BA190" s="163"/>
      <c r="BB190" s="163"/>
      <c r="BC190" s="163"/>
      <c r="BD190" s="163"/>
    </row>
    <row r="191" spans="1:56" s="1" customFormat="1" ht="14.25" customHeight="1">
      <c r="A191" s="2">
        <v>189</v>
      </c>
      <c r="B191" s="43" t="s">
        <v>440</v>
      </c>
      <c r="C191" s="42">
        <v>68003763</v>
      </c>
      <c r="D191" s="133" t="s">
        <v>441</v>
      </c>
      <c r="E191" s="35">
        <v>4</v>
      </c>
      <c r="F191" s="35">
        <v>4</v>
      </c>
      <c r="G191" s="35" t="s">
        <v>427</v>
      </c>
      <c r="H191" s="36"/>
      <c r="I191" s="37">
        <f t="shared" si="11"/>
        <v>0</v>
      </c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>
        <f t="shared" si="8"/>
        <v>0</v>
      </c>
      <c r="W191" s="36"/>
      <c r="X191" s="38">
        <v>30000</v>
      </c>
      <c r="Y191" s="38" t="str">
        <f t="shared" si="9"/>
        <v>无需保养</v>
      </c>
      <c r="Z191" s="38">
        <f t="shared" si="10"/>
        <v>1</v>
      </c>
      <c r="AA191" s="163"/>
      <c r="AB191" s="163"/>
      <c r="AC191" s="163"/>
      <c r="AD191" s="163"/>
      <c r="AE191" s="163"/>
      <c r="AF191" s="163"/>
      <c r="AG191" s="163"/>
      <c r="AH191" s="163"/>
      <c r="AI191" s="163"/>
      <c r="AJ191" s="163"/>
      <c r="AK191" s="163"/>
      <c r="AL191" s="163"/>
      <c r="AM191" s="163"/>
      <c r="AN191" s="163"/>
      <c r="AO191" s="163"/>
      <c r="AP191" s="163"/>
      <c r="AQ191" s="163"/>
      <c r="AR191" s="163"/>
      <c r="AS191" s="163"/>
      <c r="AT191" s="163"/>
      <c r="AU191" s="163"/>
      <c r="AV191" s="163"/>
      <c r="AW191" s="163"/>
      <c r="AX191" s="163"/>
      <c r="AY191" s="163"/>
      <c r="AZ191" s="163"/>
      <c r="BA191" s="163"/>
      <c r="BB191" s="163"/>
      <c r="BC191" s="163"/>
      <c r="BD191" s="163"/>
    </row>
    <row r="192" spans="1:56" s="1" customFormat="1" ht="14.25" customHeight="1">
      <c r="A192" s="2">
        <v>190</v>
      </c>
      <c r="B192" s="43" t="s">
        <v>442</v>
      </c>
      <c r="C192" s="42">
        <v>68003764</v>
      </c>
      <c r="D192" s="133" t="s">
        <v>443</v>
      </c>
      <c r="E192" s="35">
        <v>4</v>
      </c>
      <c r="F192" s="35">
        <v>4</v>
      </c>
      <c r="G192" s="35" t="s">
        <v>427</v>
      </c>
      <c r="H192" s="36"/>
      <c r="I192" s="37">
        <f t="shared" si="11"/>
        <v>0</v>
      </c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>
        <f t="shared" si="8"/>
        <v>0</v>
      </c>
      <c r="W192" s="36"/>
      <c r="X192" s="38">
        <v>30000</v>
      </c>
      <c r="Y192" s="38" t="str">
        <f t="shared" si="9"/>
        <v>无需保养</v>
      </c>
      <c r="Z192" s="38">
        <f t="shared" si="10"/>
        <v>2</v>
      </c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</row>
    <row r="193" spans="1:56" s="1" customFormat="1" ht="14.25" customHeight="1">
      <c r="A193" s="2">
        <v>191</v>
      </c>
      <c r="B193" s="43" t="s">
        <v>444</v>
      </c>
      <c r="C193" s="42">
        <v>68003764</v>
      </c>
      <c r="D193" s="134" t="s">
        <v>445</v>
      </c>
      <c r="E193" s="35">
        <v>4</v>
      </c>
      <c r="F193" s="35">
        <v>4</v>
      </c>
      <c r="G193" s="35" t="s">
        <v>427</v>
      </c>
      <c r="H193" s="36"/>
      <c r="I193" s="37">
        <f t="shared" si="11"/>
        <v>0</v>
      </c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>
        <f t="shared" si="8"/>
        <v>0</v>
      </c>
      <c r="W193" s="36"/>
      <c r="X193" s="38">
        <v>30000</v>
      </c>
      <c r="Y193" s="38" t="str">
        <f t="shared" si="9"/>
        <v>无需保养</v>
      </c>
      <c r="Z193" s="38">
        <f t="shared" si="10"/>
        <v>2</v>
      </c>
      <c r="AA193" s="163"/>
      <c r="AB193" s="163"/>
      <c r="AC193" s="163"/>
      <c r="AD193" s="163"/>
      <c r="AE193" s="163"/>
      <c r="AF193" s="163"/>
      <c r="AG193" s="163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63"/>
      <c r="AR193" s="163"/>
      <c r="AS193" s="163"/>
      <c r="AT193" s="163"/>
      <c r="AU193" s="163"/>
      <c r="AV193" s="163"/>
      <c r="AW193" s="163"/>
      <c r="AX193" s="163"/>
      <c r="AY193" s="163"/>
      <c r="AZ193" s="163"/>
      <c r="BA193" s="163"/>
      <c r="BB193" s="163"/>
      <c r="BC193" s="163"/>
      <c r="BD193" s="163"/>
    </row>
    <row r="194" spans="1:56" s="1" customFormat="1" ht="14.25" customHeight="1">
      <c r="A194" s="2">
        <v>192</v>
      </c>
      <c r="B194" s="43" t="s">
        <v>446</v>
      </c>
      <c r="C194" s="42">
        <v>68003765</v>
      </c>
      <c r="D194" s="133" t="s">
        <v>447</v>
      </c>
      <c r="E194" s="35">
        <v>4</v>
      </c>
      <c r="F194" s="35">
        <v>4</v>
      </c>
      <c r="G194" s="35" t="s">
        <v>427</v>
      </c>
      <c r="H194" s="36"/>
      <c r="I194" s="37">
        <f t="shared" si="11"/>
        <v>0</v>
      </c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>
        <f t="shared" si="8"/>
        <v>0</v>
      </c>
      <c r="W194" s="36"/>
      <c r="X194" s="38">
        <v>30000</v>
      </c>
      <c r="Y194" s="38" t="str">
        <f t="shared" si="9"/>
        <v>无需保养</v>
      </c>
      <c r="Z194" s="38">
        <f t="shared" si="10"/>
        <v>1</v>
      </c>
      <c r="AA194" s="163"/>
      <c r="AB194" s="163"/>
      <c r="AC194" s="163"/>
      <c r="AD194" s="163"/>
      <c r="AE194" s="163"/>
      <c r="AF194" s="163"/>
      <c r="AG194" s="163"/>
      <c r="AH194" s="163"/>
      <c r="AI194" s="163"/>
      <c r="AJ194" s="163"/>
      <c r="AK194" s="163"/>
      <c r="AL194" s="163"/>
      <c r="AM194" s="163"/>
      <c r="AN194" s="163"/>
      <c r="AO194" s="163"/>
      <c r="AP194" s="163"/>
      <c r="AQ194" s="163"/>
      <c r="AR194" s="163"/>
      <c r="AS194" s="163"/>
      <c r="AT194" s="163"/>
      <c r="AU194" s="163"/>
      <c r="AV194" s="163"/>
      <c r="AW194" s="163"/>
      <c r="AX194" s="163"/>
      <c r="AY194" s="163"/>
      <c r="AZ194" s="163"/>
      <c r="BA194" s="163"/>
      <c r="BB194" s="163"/>
      <c r="BC194" s="163"/>
      <c r="BD194" s="163"/>
    </row>
    <row r="195" spans="1:56" s="1" customFormat="1" ht="14.25" customHeight="1">
      <c r="A195" s="2">
        <v>193</v>
      </c>
      <c r="B195" s="43" t="s">
        <v>448</v>
      </c>
      <c r="C195" s="42">
        <v>68003766</v>
      </c>
      <c r="D195" s="133" t="s">
        <v>449</v>
      </c>
      <c r="E195" s="35">
        <v>4</v>
      </c>
      <c r="F195" s="35">
        <v>4</v>
      </c>
      <c r="G195" s="35" t="s">
        <v>427</v>
      </c>
      <c r="H195" s="36"/>
      <c r="I195" s="37">
        <f t="shared" si="11"/>
        <v>0</v>
      </c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>
        <f t="shared" si="8"/>
        <v>0</v>
      </c>
      <c r="W195" s="36"/>
      <c r="X195" s="38">
        <v>30000</v>
      </c>
      <c r="Y195" s="38" t="str">
        <f t="shared" si="9"/>
        <v>无需保养</v>
      </c>
      <c r="Z195" s="38">
        <f t="shared" si="10"/>
        <v>1</v>
      </c>
      <c r="AA195" s="163"/>
      <c r="AB195" s="163"/>
      <c r="AC195" s="163"/>
      <c r="AD195" s="163"/>
      <c r="AE195" s="163"/>
      <c r="AF195" s="163"/>
      <c r="AG195" s="163"/>
      <c r="AH195" s="163"/>
      <c r="AI195" s="163"/>
      <c r="AJ195" s="163"/>
      <c r="AK195" s="163"/>
      <c r="AL195" s="163"/>
      <c r="AM195" s="163"/>
      <c r="AN195" s="163"/>
      <c r="AO195" s="163"/>
      <c r="AP195" s="163"/>
      <c r="AQ195" s="163"/>
      <c r="AR195" s="163"/>
      <c r="AS195" s="163"/>
      <c r="AT195" s="163"/>
      <c r="AU195" s="163"/>
      <c r="AV195" s="163"/>
      <c r="AW195" s="163"/>
      <c r="AX195" s="163"/>
      <c r="AY195" s="163"/>
      <c r="AZ195" s="163"/>
      <c r="BA195" s="163"/>
      <c r="BB195" s="163"/>
      <c r="BC195" s="163"/>
      <c r="BD195" s="163"/>
    </row>
    <row r="196" spans="1:56" s="1" customFormat="1" ht="14.25" customHeight="1">
      <c r="A196" s="2">
        <v>194</v>
      </c>
      <c r="B196" s="43" t="s">
        <v>450</v>
      </c>
      <c r="C196" s="42">
        <v>68003767</v>
      </c>
      <c r="D196" s="133" t="s">
        <v>451</v>
      </c>
      <c r="E196" s="35">
        <v>4</v>
      </c>
      <c r="F196" s="35">
        <v>4</v>
      </c>
      <c r="G196" s="35" t="s">
        <v>427</v>
      </c>
      <c r="H196" s="36"/>
      <c r="I196" s="37">
        <f t="shared" si="11"/>
        <v>0</v>
      </c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>
        <f t="shared" si="8"/>
        <v>0</v>
      </c>
      <c r="W196" s="36"/>
      <c r="X196" s="38">
        <v>30000</v>
      </c>
      <c r="Y196" s="38" t="str">
        <f t="shared" si="9"/>
        <v>无需保养</v>
      </c>
      <c r="Z196" s="38">
        <f t="shared" si="10"/>
        <v>1</v>
      </c>
      <c r="AA196" s="163"/>
      <c r="AB196" s="163"/>
      <c r="AC196" s="163"/>
      <c r="AD196" s="163"/>
      <c r="AE196" s="163"/>
      <c r="AF196" s="163"/>
      <c r="AG196" s="163"/>
      <c r="AH196" s="163"/>
      <c r="AI196" s="163"/>
      <c r="AJ196" s="163"/>
      <c r="AK196" s="163"/>
      <c r="AL196" s="163"/>
      <c r="AM196" s="163"/>
      <c r="AN196" s="163"/>
      <c r="AO196" s="163"/>
      <c r="AP196" s="163"/>
      <c r="AQ196" s="163"/>
      <c r="AR196" s="163"/>
      <c r="AS196" s="163"/>
      <c r="AT196" s="163"/>
      <c r="AU196" s="163"/>
      <c r="AV196" s="163"/>
      <c r="AW196" s="163"/>
      <c r="AX196" s="163"/>
      <c r="AY196" s="163"/>
      <c r="AZ196" s="163"/>
      <c r="BA196" s="163"/>
      <c r="BB196" s="163"/>
      <c r="BC196" s="163"/>
      <c r="BD196" s="163"/>
    </row>
    <row r="197" spans="1:56" s="1" customFormat="1" ht="14.25" customHeight="1">
      <c r="A197" s="2">
        <v>195</v>
      </c>
      <c r="B197" s="43" t="s">
        <v>452</v>
      </c>
      <c r="C197" s="42">
        <v>68003768</v>
      </c>
      <c r="D197" s="133" t="s">
        <v>453</v>
      </c>
      <c r="E197" s="35">
        <v>4</v>
      </c>
      <c r="F197" s="35">
        <v>4</v>
      </c>
      <c r="G197" s="35" t="s">
        <v>427</v>
      </c>
      <c r="H197" s="36"/>
      <c r="I197" s="37">
        <f t="shared" si="11"/>
        <v>0</v>
      </c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>
        <f t="shared" ref="V197:V260" si="12">I197/F197</f>
        <v>0</v>
      </c>
      <c r="W197" s="36"/>
      <c r="X197" s="38">
        <v>30000</v>
      </c>
      <c r="Y197" s="38" t="str">
        <f t="shared" ref="Y197:Y260" si="13">IF(OR(AND(W197&lt;&gt;0,QUOTIENT(V197,X197)&gt;=1,(MOD(V197,X197)/X197)&gt;=0.9,(QUOTIENT(V197,X197)+1)&gt;W197),AND(QUOTIENT(V197,X197)=0,MOD(V197,X197)/X197&gt;=0.9,(QUOTIENT(V197,X197)+1)&gt;W197),QUOTIENT(V197,X197)&gt;W197),"保养","无需保养")</f>
        <v>无需保养</v>
      </c>
      <c r="Z197" s="38">
        <f t="shared" ref="Z197:Z260" si="14">COUNTIF($C$5:$C$542,C197)</f>
        <v>1</v>
      </c>
      <c r="AA197" s="163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</row>
    <row r="198" spans="1:56" s="1" customFormat="1" ht="14.25" customHeight="1">
      <c r="A198" s="2">
        <v>196</v>
      </c>
      <c r="B198" s="43" t="s">
        <v>454</v>
      </c>
      <c r="C198" s="42">
        <v>68003769</v>
      </c>
      <c r="D198" s="133" t="s">
        <v>455</v>
      </c>
      <c r="E198" s="35">
        <v>4</v>
      </c>
      <c r="F198" s="35">
        <v>4</v>
      </c>
      <c r="G198" s="35" t="s">
        <v>427</v>
      </c>
      <c r="H198" s="36"/>
      <c r="I198" s="37">
        <f t="shared" ref="I198:I261" si="15">J198+K198+L198+M198+N198+O198+P198+Q198+R198+S198+T198+U198</f>
        <v>0</v>
      </c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>
        <f t="shared" si="12"/>
        <v>0</v>
      </c>
      <c r="W198" s="36"/>
      <c r="X198" s="38">
        <v>30000</v>
      </c>
      <c r="Y198" s="38" t="str">
        <f t="shared" si="13"/>
        <v>无需保养</v>
      </c>
      <c r="Z198" s="38">
        <f t="shared" si="14"/>
        <v>1</v>
      </c>
      <c r="AA198" s="163"/>
      <c r="AB198" s="163"/>
      <c r="AC198" s="163"/>
      <c r="AD198" s="163"/>
      <c r="AE198" s="163"/>
      <c r="AF198" s="163"/>
      <c r="AG198" s="163"/>
      <c r="AH198" s="163"/>
      <c r="AI198" s="163"/>
      <c r="AJ198" s="163"/>
      <c r="AK198" s="163"/>
      <c r="AL198" s="163"/>
      <c r="AM198" s="163"/>
      <c r="AN198" s="163"/>
      <c r="AO198" s="163"/>
      <c r="AP198" s="163"/>
      <c r="AQ198" s="163"/>
      <c r="AR198" s="163"/>
      <c r="AS198" s="163"/>
      <c r="AT198" s="163"/>
      <c r="AU198" s="163"/>
      <c r="AV198" s="163"/>
      <c r="AW198" s="163"/>
      <c r="AX198" s="163"/>
      <c r="AY198" s="163"/>
      <c r="AZ198" s="163"/>
      <c r="BA198" s="163"/>
      <c r="BB198" s="163"/>
      <c r="BC198" s="163"/>
      <c r="BD198" s="163"/>
    </row>
    <row r="199" spans="1:56" s="1" customFormat="1" ht="14.25" customHeight="1">
      <c r="A199" s="2">
        <v>197</v>
      </c>
      <c r="B199" s="43" t="s">
        <v>456</v>
      </c>
      <c r="C199" s="42">
        <v>68003771</v>
      </c>
      <c r="D199" s="133" t="s">
        <v>457</v>
      </c>
      <c r="E199" s="35">
        <v>4</v>
      </c>
      <c r="F199" s="35">
        <v>4</v>
      </c>
      <c r="G199" s="35" t="s">
        <v>427</v>
      </c>
      <c r="H199" s="36"/>
      <c r="I199" s="37">
        <f t="shared" si="15"/>
        <v>0</v>
      </c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>
        <f t="shared" si="12"/>
        <v>0</v>
      </c>
      <c r="W199" s="36"/>
      <c r="X199" s="38">
        <v>30000</v>
      </c>
      <c r="Y199" s="38" t="str">
        <f t="shared" si="13"/>
        <v>无需保养</v>
      </c>
      <c r="Z199" s="38">
        <f t="shared" si="14"/>
        <v>1</v>
      </c>
      <c r="AA199" s="163"/>
      <c r="AB199" s="163"/>
      <c r="AC199" s="163"/>
      <c r="AD199" s="163"/>
      <c r="AE199" s="163"/>
      <c r="AF199" s="163"/>
      <c r="AG199" s="163"/>
      <c r="AH199" s="163"/>
      <c r="AI199" s="163"/>
      <c r="AJ199" s="163"/>
      <c r="AK199" s="163"/>
      <c r="AL199" s="163"/>
      <c r="AM199" s="163"/>
      <c r="AN199" s="163"/>
      <c r="AO199" s="163"/>
      <c r="AP199" s="163"/>
      <c r="AQ199" s="163"/>
      <c r="AR199" s="163"/>
      <c r="AS199" s="163"/>
      <c r="AT199" s="163"/>
      <c r="AU199" s="163"/>
      <c r="AV199" s="163"/>
      <c r="AW199" s="163"/>
      <c r="AX199" s="163"/>
      <c r="AY199" s="163"/>
      <c r="AZ199" s="163"/>
      <c r="BA199" s="163"/>
      <c r="BB199" s="163"/>
      <c r="BC199" s="163"/>
      <c r="BD199" s="163"/>
    </row>
    <row r="200" spans="1:56" s="1" customFormat="1" ht="14.25" customHeight="1">
      <c r="A200" s="2">
        <v>198</v>
      </c>
      <c r="B200" s="43" t="s">
        <v>458</v>
      </c>
      <c r="C200" s="42">
        <v>68003909</v>
      </c>
      <c r="D200" s="133" t="s">
        <v>459</v>
      </c>
      <c r="E200" s="35">
        <v>4</v>
      </c>
      <c r="F200" s="35">
        <v>4</v>
      </c>
      <c r="G200" s="35" t="s">
        <v>460</v>
      </c>
      <c r="H200" s="36"/>
      <c r="I200" s="37">
        <f t="shared" si="15"/>
        <v>0</v>
      </c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>
        <f t="shared" si="12"/>
        <v>0</v>
      </c>
      <c r="W200" s="36"/>
      <c r="X200" s="38">
        <v>30000</v>
      </c>
      <c r="Y200" s="38" t="str">
        <f t="shared" si="13"/>
        <v>无需保养</v>
      </c>
      <c r="Z200" s="38">
        <f t="shared" si="14"/>
        <v>1</v>
      </c>
      <c r="AA200" s="163"/>
      <c r="AB200" s="163"/>
      <c r="AC200" s="163"/>
      <c r="AD200" s="163"/>
      <c r="AE200" s="163"/>
      <c r="AF200" s="163"/>
      <c r="AG200" s="163"/>
      <c r="AH200" s="163"/>
      <c r="AI200" s="163"/>
      <c r="AJ200" s="163"/>
      <c r="AK200" s="163"/>
      <c r="AL200" s="163"/>
      <c r="AM200" s="163"/>
      <c r="AN200" s="163"/>
      <c r="AO200" s="163"/>
      <c r="AP200" s="163"/>
      <c r="AQ200" s="163"/>
      <c r="AR200" s="163"/>
      <c r="AS200" s="163"/>
      <c r="AT200" s="163"/>
      <c r="AU200" s="163"/>
      <c r="AV200" s="163"/>
      <c r="AW200" s="163"/>
      <c r="AX200" s="163"/>
      <c r="AY200" s="163"/>
      <c r="AZ200" s="163"/>
      <c r="BA200" s="163"/>
      <c r="BB200" s="163"/>
      <c r="BC200" s="163"/>
      <c r="BD200" s="163"/>
    </row>
    <row r="201" spans="1:56" s="1" customFormat="1" ht="14.25" customHeight="1">
      <c r="A201" s="2">
        <v>199</v>
      </c>
      <c r="B201" s="43" t="s">
        <v>461</v>
      </c>
      <c r="C201" s="42">
        <v>68003910</v>
      </c>
      <c r="D201" s="133" t="s">
        <v>462</v>
      </c>
      <c r="E201" s="35">
        <v>4</v>
      </c>
      <c r="F201" s="35">
        <v>4</v>
      </c>
      <c r="G201" s="35" t="s">
        <v>460</v>
      </c>
      <c r="H201" s="36"/>
      <c r="I201" s="37">
        <f t="shared" si="15"/>
        <v>0</v>
      </c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>
        <f t="shared" si="12"/>
        <v>0</v>
      </c>
      <c r="W201" s="36"/>
      <c r="X201" s="38">
        <v>30000</v>
      </c>
      <c r="Y201" s="38" t="str">
        <f t="shared" si="13"/>
        <v>无需保养</v>
      </c>
      <c r="Z201" s="38">
        <f t="shared" si="14"/>
        <v>1</v>
      </c>
      <c r="AA201" s="163"/>
      <c r="AB201" s="163"/>
      <c r="AC201" s="163"/>
      <c r="AD201" s="163"/>
      <c r="AE201" s="163"/>
      <c r="AF201" s="163"/>
      <c r="AG201" s="163"/>
      <c r="AH201" s="163"/>
      <c r="AI201" s="163"/>
      <c r="AJ201" s="163"/>
      <c r="AK201" s="163"/>
      <c r="AL201" s="163"/>
      <c r="AM201" s="163"/>
      <c r="AN201" s="163"/>
      <c r="AO201" s="163"/>
      <c r="AP201" s="163"/>
      <c r="AQ201" s="163"/>
      <c r="AR201" s="163"/>
      <c r="AS201" s="163"/>
      <c r="AT201" s="163"/>
      <c r="AU201" s="163"/>
      <c r="AV201" s="163"/>
      <c r="AW201" s="163"/>
      <c r="AX201" s="163"/>
      <c r="AY201" s="163"/>
      <c r="AZ201" s="163"/>
      <c r="BA201" s="163"/>
      <c r="BB201" s="163"/>
      <c r="BC201" s="163"/>
      <c r="BD201" s="163"/>
    </row>
    <row r="202" spans="1:56" s="1" customFormat="1" ht="14.25" customHeight="1">
      <c r="A202" s="2">
        <v>200</v>
      </c>
      <c r="B202" s="43" t="s">
        <v>463</v>
      </c>
      <c r="C202" s="42">
        <v>68003912</v>
      </c>
      <c r="D202" s="133" t="s">
        <v>464</v>
      </c>
      <c r="E202" s="35">
        <v>4</v>
      </c>
      <c r="F202" s="35">
        <v>4</v>
      </c>
      <c r="G202" s="35" t="s">
        <v>460</v>
      </c>
      <c r="H202" s="36"/>
      <c r="I202" s="37">
        <f t="shared" si="15"/>
        <v>0</v>
      </c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>
        <f t="shared" si="12"/>
        <v>0</v>
      </c>
      <c r="W202" s="36"/>
      <c r="X202" s="38">
        <v>30000</v>
      </c>
      <c r="Y202" s="38" t="str">
        <f t="shared" si="13"/>
        <v>无需保养</v>
      </c>
      <c r="Z202" s="38">
        <f t="shared" si="14"/>
        <v>1</v>
      </c>
      <c r="AA202" s="163"/>
      <c r="AB202" s="163"/>
      <c r="AC202" s="163"/>
      <c r="AD202" s="163"/>
      <c r="AE202" s="163"/>
      <c r="AF202" s="163"/>
      <c r="AG202" s="163"/>
      <c r="AH202" s="163"/>
      <c r="AI202" s="163"/>
      <c r="AJ202" s="163"/>
      <c r="AK202" s="163"/>
      <c r="AL202" s="163"/>
      <c r="AM202" s="163"/>
      <c r="AN202" s="163"/>
      <c r="AO202" s="163"/>
      <c r="AP202" s="163"/>
      <c r="AQ202" s="163"/>
      <c r="AR202" s="163"/>
      <c r="AS202" s="163"/>
      <c r="AT202" s="163"/>
      <c r="AU202" s="163"/>
      <c r="AV202" s="163"/>
      <c r="AW202" s="163"/>
      <c r="AX202" s="163"/>
      <c r="AY202" s="163"/>
      <c r="AZ202" s="163"/>
      <c r="BA202" s="163"/>
      <c r="BB202" s="163"/>
      <c r="BC202" s="163"/>
      <c r="BD202" s="163"/>
    </row>
    <row r="203" spans="1:56" s="1" customFormat="1" ht="14.25" customHeight="1">
      <c r="A203" s="2">
        <v>201</v>
      </c>
      <c r="B203" s="43" t="s">
        <v>465</v>
      </c>
      <c r="C203" s="42">
        <v>68003913</v>
      </c>
      <c r="D203" s="133" t="s">
        <v>466</v>
      </c>
      <c r="E203" s="35">
        <v>4</v>
      </c>
      <c r="F203" s="35">
        <v>4</v>
      </c>
      <c r="G203" s="35" t="s">
        <v>460</v>
      </c>
      <c r="H203" s="36"/>
      <c r="I203" s="37">
        <f t="shared" si="15"/>
        <v>0</v>
      </c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>
        <f t="shared" si="12"/>
        <v>0</v>
      </c>
      <c r="W203" s="36"/>
      <c r="X203" s="38">
        <v>30000</v>
      </c>
      <c r="Y203" s="38" t="str">
        <f t="shared" si="13"/>
        <v>无需保养</v>
      </c>
      <c r="Z203" s="38">
        <f t="shared" si="14"/>
        <v>1</v>
      </c>
      <c r="AA203" s="163"/>
      <c r="AB203" s="163"/>
      <c r="AC203" s="163"/>
      <c r="AD203" s="163"/>
      <c r="AE203" s="163"/>
      <c r="AF203" s="163"/>
      <c r="AG203" s="163"/>
      <c r="AH203" s="163"/>
      <c r="AI203" s="163"/>
      <c r="AJ203" s="163"/>
      <c r="AK203" s="163"/>
      <c r="AL203" s="163"/>
      <c r="AM203" s="163"/>
      <c r="AN203" s="163"/>
      <c r="AO203" s="163"/>
      <c r="AP203" s="163"/>
      <c r="AQ203" s="163"/>
      <c r="AR203" s="163"/>
      <c r="AS203" s="163"/>
      <c r="AT203" s="163"/>
      <c r="AU203" s="163"/>
      <c r="AV203" s="163"/>
      <c r="AW203" s="163"/>
      <c r="AX203" s="163"/>
      <c r="AY203" s="163"/>
      <c r="AZ203" s="163"/>
      <c r="BA203" s="163"/>
      <c r="BB203" s="163"/>
      <c r="BC203" s="163"/>
      <c r="BD203" s="163"/>
    </row>
    <row r="204" spans="1:56" s="1" customFormat="1" ht="14.25" customHeight="1">
      <c r="A204" s="2">
        <v>202</v>
      </c>
      <c r="B204" s="43" t="s">
        <v>467</v>
      </c>
      <c r="C204" s="42">
        <v>68004056</v>
      </c>
      <c r="D204" s="134" t="s">
        <v>468</v>
      </c>
      <c r="E204" s="35">
        <v>2</v>
      </c>
      <c r="F204" s="35">
        <v>2</v>
      </c>
      <c r="G204" s="35" t="s">
        <v>427</v>
      </c>
      <c r="H204" s="36"/>
      <c r="I204" s="37">
        <f t="shared" si="15"/>
        <v>0</v>
      </c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>
        <f t="shared" si="12"/>
        <v>0</v>
      </c>
      <c r="W204" s="36"/>
      <c r="X204" s="38">
        <v>30000</v>
      </c>
      <c r="Y204" s="38" t="str">
        <f t="shared" si="13"/>
        <v>无需保养</v>
      </c>
      <c r="Z204" s="38">
        <f t="shared" si="14"/>
        <v>1</v>
      </c>
      <c r="AA204" s="163"/>
      <c r="AB204" s="163"/>
      <c r="AC204" s="163"/>
      <c r="AD204" s="163"/>
      <c r="AE204" s="163"/>
      <c r="AF204" s="163"/>
      <c r="AG204" s="163"/>
      <c r="AH204" s="163"/>
      <c r="AI204" s="163"/>
      <c r="AJ204" s="163"/>
      <c r="AK204" s="163"/>
      <c r="AL204" s="163"/>
      <c r="AM204" s="163"/>
      <c r="AN204" s="163"/>
      <c r="AO204" s="163"/>
      <c r="AP204" s="163"/>
      <c r="AQ204" s="163"/>
      <c r="AR204" s="163"/>
      <c r="AS204" s="163"/>
      <c r="AT204" s="163"/>
      <c r="AU204" s="163"/>
      <c r="AV204" s="163"/>
      <c r="AW204" s="163"/>
      <c r="AX204" s="163"/>
      <c r="AY204" s="163"/>
      <c r="AZ204" s="163"/>
      <c r="BA204" s="163"/>
      <c r="BB204" s="163"/>
      <c r="BC204" s="163"/>
      <c r="BD204" s="163"/>
    </row>
    <row r="205" spans="1:56" s="1" customFormat="1" ht="14.25" customHeight="1">
      <c r="A205" s="2">
        <v>203</v>
      </c>
      <c r="B205" s="43" t="s">
        <v>469</v>
      </c>
      <c r="C205" s="42">
        <v>68004057</v>
      </c>
      <c r="D205" s="134" t="s">
        <v>470</v>
      </c>
      <c r="E205" s="35">
        <v>4</v>
      </c>
      <c r="F205" s="35">
        <v>4</v>
      </c>
      <c r="G205" s="35" t="s">
        <v>427</v>
      </c>
      <c r="H205" s="36"/>
      <c r="I205" s="37">
        <f t="shared" si="15"/>
        <v>0</v>
      </c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>
        <f t="shared" si="12"/>
        <v>0</v>
      </c>
      <c r="W205" s="36"/>
      <c r="X205" s="38">
        <v>30000</v>
      </c>
      <c r="Y205" s="38" t="str">
        <f t="shared" si="13"/>
        <v>无需保养</v>
      </c>
      <c r="Z205" s="38">
        <f t="shared" si="14"/>
        <v>1</v>
      </c>
      <c r="AA205" s="163"/>
      <c r="AB205" s="163"/>
      <c r="AC205" s="163"/>
      <c r="AD205" s="163"/>
      <c r="AE205" s="163"/>
      <c r="AF205" s="163"/>
      <c r="AG205" s="163"/>
      <c r="AH205" s="163"/>
      <c r="AI205" s="163"/>
      <c r="AJ205" s="163"/>
      <c r="AK205" s="163"/>
      <c r="AL205" s="163"/>
      <c r="AM205" s="163"/>
      <c r="AN205" s="163"/>
      <c r="AO205" s="163"/>
      <c r="AP205" s="163"/>
      <c r="AQ205" s="163"/>
      <c r="AR205" s="163"/>
      <c r="AS205" s="163"/>
      <c r="AT205" s="163"/>
      <c r="AU205" s="163"/>
      <c r="AV205" s="163"/>
      <c r="AW205" s="163"/>
      <c r="AX205" s="163"/>
      <c r="AY205" s="163"/>
      <c r="AZ205" s="163"/>
      <c r="BA205" s="163"/>
      <c r="BB205" s="163"/>
      <c r="BC205" s="163"/>
      <c r="BD205" s="163"/>
    </row>
    <row r="206" spans="1:56" s="1" customFormat="1" ht="14.25" customHeight="1">
      <c r="A206" s="2">
        <v>204</v>
      </c>
      <c r="B206" s="43" t="s">
        <v>471</v>
      </c>
      <c r="C206" s="42">
        <v>68004058</v>
      </c>
      <c r="D206" s="134" t="s">
        <v>472</v>
      </c>
      <c r="E206" s="35">
        <v>4</v>
      </c>
      <c r="F206" s="35">
        <v>4</v>
      </c>
      <c r="G206" s="35" t="s">
        <v>427</v>
      </c>
      <c r="H206" s="36"/>
      <c r="I206" s="37">
        <f t="shared" si="15"/>
        <v>0</v>
      </c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>
        <f t="shared" si="12"/>
        <v>0</v>
      </c>
      <c r="W206" s="36"/>
      <c r="X206" s="38">
        <v>30000</v>
      </c>
      <c r="Y206" s="38" t="str">
        <f t="shared" si="13"/>
        <v>无需保养</v>
      </c>
      <c r="Z206" s="38">
        <f t="shared" si="14"/>
        <v>1</v>
      </c>
      <c r="AA206" s="163"/>
      <c r="AB206" s="163"/>
      <c r="AC206" s="163"/>
      <c r="AD206" s="163"/>
      <c r="AE206" s="163"/>
      <c r="AF206" s="163"/>
      <c r="AG206" s="163"/>
      <c r="AH206" s="163"/>
      <c r="AI206" s="163"/>
      <c r="AJ206" s="163"/>
      <c r="AK206" s="163"/>
      <c r="AL206" s="163"/>
      <c r="AM206" s="163"/>
      <c r="AN206" s="163"/>
      <c r="AO206" s="163"/>
      <c r="AP206" s="163"/>
      <c r="AQ206" s="163"/>
      <c r="AR206" s="163"/>
      <c r="AS206" s="163"/>
      <c r="AT206" s="163"/>
      <c r="AU206" s="163"/>
      <c r="AV206" s="163"/>
      <c r="AW206" s="163"/>
      <c r="AX206" s="163"/>
      <c r="AY206" s="163"/>
      <c r="AZ206" s="163"/>
      <c r="BA206" s="163"/>
      <c r="BB206" s="163"/>
      <c r="BC206" s="163"/>
      <c r="BD206" s="163"/>
    </row>
    <row r="207" spans="1:56" s="1" customFormat="1" ht="14.25" customHeight="1">
      <c r="A207" s="2">
        <v>205</v>
      </c>
      <c r="B207" s="105" t="s">
        <v>473</v>
      </c>
      <c r="C207" s="42">
        <v>68004059</v>
      </c>
      <c r="D207" s="134" t="s">
        <v>474</v>
      </c>
      <c r="E207" s="35">
        <v>2</v>
      </c>
      <c r="F207" s="35">
        <v>2</v>
      </c>
      <c r="G207" s="35" t="s">
        <v>427</v>
      </c>
      <c r="H207" s="36"/>
      <c r="I207" s="37">
        <f t="shared" si="15"/>
        <v>0</v>
      </c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>
        <f t="shared" si="12"/>
        <v>0</v>
      </c>
      <c r="W207" s="36"/>
      <c r="X207" s="38">
        <v>30000</v>
      </c>
      <c r="Y207" s="38" t="str">
        <f t="shared" si="13"/>
        <v>无需保养</v>
      </c>
      <c r="Z207" s="38">
        <f t="shared" si="14"/>
        <v>1</v>
      </c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163"/>
      <c r="AM207" s="163"/>
      <c r="AN207" s="163"/>
      <c r="AO207" s="163"/>
      <c r="AP207" s="163"/>
      <c r="AQ207" s="163"/>
      <c r="AR207" s="163"/>
      <c r="AS207" s="163"/>
      <c r="AT207" s="163"/>
      <c r="AU207" s="163"/>
      <c r="AV207" s="163"/>
      <c r="AW207" s="163"/>
      <c r="AX207" s="163"/>
      <c r="AY207" s="163"/>
      <c r="AZ207" s="163"/>
      <c r="BA207" s="163"/>
      <c r="BB207" s="163"/>
      <c r="BC207" s="163"/>
      <c r="BD207" s="163"/>
    </row>
    <row r="208" spans="1:56" s="1" customFormat="1" ht="14.25" customHeight="1">
      <c r="A208" s="2">
        <v>206</v>
      </c>
      <c r="B208" s="43" t="s">
        <v>475</v>
      </c>
      <c r="C208" s="42">
        <v>68004060</v>
      </c>
      <c r="D208" s="134" t="s">
        <v>476</v>
      </c>
      <c r="E208" s="35">
        <v>2</v>
      </c>
      <c r="F208" s="35">
        <v>2</v>
      </c>
      <c r="G208" s="35" t="s">
        <v>427</v>
      </c>
      <c r="H208" s="36"/>
      <c r="I208" s="37">
        <f t="shared" si="15"/>
        <v>0</v>
      </c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>
        <f t="shared" si="12"/>
        <v>0</v>
      </c>
      <c r="W208" s="36"/>
      <c r="X208" s="38">
        <v>30000</v>
      </c>
      <c r="Y208" s="38" t="str">
        <f t="shared" si="13"/>
        <v>无需保养</v>
      </c>
      <c r="Z208" s="38">
        <f t="shared" si="14"/>
        <v>1</v>
      </c>
      <c r="AA208" s="163"/>
      <c r="AB208" s="163"/>
      <c r="AC208" s="163"/>
      <c r="AD208" s="163"/>
      <c r="AE208" s="163"/>
      <c r="AF208" s="163"/>
      <c r="AG208" s="163"/>
      <c r="AH208" s="163"/>
      <c r="AI208" s="163"/>
      <c r="AJ208" s="163"/>
      <c r="AK208" s="163"/>
      <c r="AL208" s="163"/>
      <c r="AM208" s="163"/>
      <c r="AN208" s="163"/>
      <c r="AO208" s="163"/>
      <c r="AP208" s="163"/>
      <c r="AQ208" s="163"/>
      <c r="AR208" s="163"/>
      <c r="AS208" s="163"/>
      <c r="AT208" s="163"/>
      <c r="AU208" s="163"/>
      <c r="AV208" s="163"/>
      <c r="AW208" s="163"/>
      <c r="AX208" s="163"/>
      <c r="AY208" s="163"/>
      <c r="AZ208" s="163"/>
      <c r="BA208" s="163"/>
      <c r="BB208" s="163"/>
      <c r="BC208" s="163"/>
      <c r="BD208" s="163"/>
    </row>
    <row r="209" spans="1:56" s="1" customFormat="1" ht="14.25" customHeight="1">
      <c r="A209" s="2">
        <v>207</v>
      </c>
      <c r="B209" s="43" t="s">
        <v>477</v>
      </c>
      <c r="C209" s="42">
        <v>68004061</v>
      </c>
      <c r="D209" s="134" t="s">
        <v>478</v>
      </c>
      <c r="E209" s="35">
        <v>4</v>
      </c>
      <c r="F209" s="35">
        <v>4</v>
      </c>
      <c r="G209" s="35" t="s">
        <v>427</v>
      </c>
      <c r="H209" s="36"/>
      <c r="I209" s="37">
        <f t="shared" si="15"/>
        <v>0</v>
      </c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>
        <f t="shared" si="12"/>
        <v>0</v>
      </c>
      <c r="W209" s="36"/>
      <c r="X209" s="38">
        <v>30000</v>
      </c>
      <c r="Y209" s="38" t="str">
        <f t="shared" si="13"/>
        <v>无需保养</v>
      </c>
      <c r="Z209" s="38">
        <f t="shared" si="14"/>
        <v>1</v>
      </c>
      <c r="AA209" s="163"/>
      <c r="AB209" s="163"/>
      <c r="AC209" s="163"/>
      <c r="AD209" s="163"/>
      <c r="AE209" s="163"/>
      <c r="AF209" s="163"/>
      <c r="AG209" s="163"/>
      <c r="AH209" s="163"/>
      <c r="AI209" s="163"/>
      <c r="AJ209" s="163"/>
      <c r="AK209" s="163"/>
      <c r="AL209" s="163"/>
      <c r="AM209" s="163"/>
      <c r="AN209" s="163"/>
      <c r="AO209" s="163"/>
      <c r="AP209" s="163"/>
      <c r="AQ209" s="163"/>
      <c r="AR209" s="163"/>
      <c r="AS209" s="163"/>
      <c r="AT209" s="163"/>
      <c r="AU209" s="163"/>
      <c r="AV209" s="163"/>
      <c r="AW209" s="163"/>
      <c r="AX209" s="163"/>
      <c r="AY209" s="163"/>
      <c r="AZ209" s="163"/>
      <c r="BA209" s="163"/>
      <c r="BB209" s="163"/>
      <c r="BC209" s="163"/>
      <c r="BD209" s="163"/>
    </row>
    <row r="210" spans="1:56" s="1" customFormat="1" ht="14.25" customHeight="1">
      <c r="A210" s="2">
        <v>208</v>
      </c>
      <c r="B210" s="43" t="s">
        <v>479</v>
      </c>
      <c r="C210" s="42">
        <v>68004062</v>
      </c>
      <c r="D210" s="134" t="s">
        <v>480</v>
      </c>
      <c r="E210" s="35">
        <v>4</v>
      </c>
      <c r="F210" s="35">
        <v>4</v>
      </c>
      <c r="G210" s="35" t="s">
        <v>427</v>
      </c>
      <c r="H210" s="36"/>
      <c r="I210" s="37">
        <f t="shared" si="15"/>
        <v>0</v>
      </c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>
        <f t="shared" si="12"/>
        <v>0</v>
      </c>
      <c r="W210" s="36"/>
      <c r="X210" s="38">
        <v>30000</v>
      </c>
      <c r="Y210" s="38" t="str">
        <f t="shared" si="13"/>
        <v>无需保养</v>
      </c>
      <c r="Z210" s="38">
        <f t="shared" si="14"/>
        <v>1</v>
      </c>
      <c r="AA210" s="163"/>
      <c r="AB210" s="163"/>
      <c r="AC210" s="163"/>
      <c r="AD210" s="163"/>
      <c r="AE210" s="163"/>
      <c r="AF210" s="163"/>
      <c r="AG210" s="163"/>
      <c r="AH210" s="163"/>
      <c r="AI210" s="163"/>
      <c r="AJ210" s="163"/>
      <c r="AK210" s="163"/>
      <c r="AL210" s="163"/>
      <c r="AM210" s="163"/>
      <c r="AN210" s="163"/>
      <c r="AO210" s="163"/>
      <c r="AP210" s="163"/>
      <c r="AQ210" s="163"/>
      <c r="AR210" s="163"/>
      <c r="AS210" s="163"/>
      <c r="AT210" s="163"/>
      <c r="AU210" s="163"/>
      <c r="AV210" s="163"/>
      <c r="AW210" s="163"/>
      <c r="AX210" s="163"/>
      <c r="AY210" s="163"/>
      <c r="AZ210" s="163"/>
      <c r="BA210" s="163"/>
      <c r="BB210" s="163"/>
      <c r="BC210" s="163"/>
      <c r="BD210" s="163"/>
    </row>
    <row r="211" spans="1:56" s="1" customFormat="1" ht="14.25" customHeight="1">
      <c r="A211" s="2">
        <v>209</v>
      </c>
      <c r="B211" s="43" t="s">
        <v>481</v>
      </c>
      <c r="C211" s="42">
        <v>68004063</v>
      </c>
      <c r="D211" s="134" t="s">
        <v>482</v>
      </c>
      <c r="E211" s="35">
        <v>4</v>
      </c>
      <c r="F211" s="35">
        <v>4</v>
      </c>
      <c r="G211" s="35" t="s">
        <v>427</v>
      </c>
      <c r="H211" s="36"/>
      <c r="I211" s="37">
        <f t="shared" si="15"/>
        <v>0</v>
      </c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>
        <f t="shared" si="12"/>
        <v>0</v>
      </c>
      <c r="W211" s="36"/>
      <c r="X211" s="38">
        <v>30000</v>
      </c>
      <c r="Y211" s="38" t="str">
        <f t="shared" si="13"/>
        <v>无需保养</v>
      </c>
      <c r="Z211" s="38">
        <f t="shared" si="14"/>
        <v>1</v>
      </c>
      <c r="AA211" s="163"/>
      <c r="AB211" s="163"/>
      <c r="AC211" s="163"/>
      <c r="AD211" s="163"/>
      <c r="AE211" s="163"/>
      <c r="AF211" s="163"/>
      <c r="AG211" s="163"/>
      <c r="AH211" s="163"/>
      <c r="AI211" s="163"/>
      <c r="AJ211" s="163"/>
      <c r="AK211" s="163"/>
      <c r="AL211" s="163"/>
      <c r="AM211" s="163"/>
      <c r="AN211" s="163"/>
      <c r="AO211" s="163"/>
      <c r="AP211" s="163"/>
      <c r="AQ211" s="163"/>
      <c r="AR211" s="163"/>
      <c r="AS211" s="163"/>
      <c r="AT211" s="163"/>
      <c r="AU211" s="163"/>
      <c r="AV211" s="163"/>
      <c r="AW211" s="163"/>
      <c r="AX211" s="163"/>
      <c r="AY211" s="163"/>
      <c r="AZ211" s="163"/>
      <c r="BA211" s="163"/>
      <c r="BB211" s="163"/>
      <c r="BC211" s="163"/>
      <c r="BD211" s="163"/>
    </row>
    <row r="212" spans="1:56" s="1" customFormat="1" ht="14.25" customHeight="1">
      <c r="A212" s="2">
        <v>210</v>
      </c>
      <c r="B212" s="43" t="s">
        <v>483</v>
      </c>
      <c r="C212" s="42">
        <v>68004077</v>
      </c>
      <c r="D212" s="134" t="s">
        <v>484</v>
      </c>
      <c r="E212" s="35">
        <v>4</v>
      </c>
      <c r="F212" s="35">
        <v>4</v>
      </c>
      <c r="G212" s="35" t="s">
        <v>427</v>
      </c>
      <c r="H212" s="36"/>
      <c r="I212" s="37">
        <f t="shared" si="15"/>
        <v>0</v>
      </c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>
        <f t="shared" si="12"/>
        <v>0</v>
      </c>
      <c r="W212" s="36"/>
      <c r="X212" s="38">
        <v>30000</v>
      </c>
      <c r="Y212" s="38" t="str">
        <f t="shared" si="13"/>
        <v>无需保养</v>
      </c>
      <c r="Z212" s="38">
        <f t="shared" si="14"/>
        <v>1</v>
      </c>
      <c r="AA212" s="163"/>
      <c r="AB212" s="163"/>
      <c r="AC212" s="163"/>
      <c r="AD212" s="163"/>
      <c r="AE212" s="163"/>
      <c r="AF212" s="163"/>
      <c r="AG212" s="163"/>
      <c r="AH212" s="163"/>
      <c r="AI212" s="163"/>
      <c r="AJ212" s="163"/>
      <c r="AK212" s="163"/>
      <c r="AL212" s="163"/>
      <c r="AM212" s="163"/>
      <c r="AN212" s="163"/>
      <c r="AO212" s="163"/>
      <c r="AP212" s="163"/>
      <c r="AQ212" s="163"/>
      <c r="AR212" s="163"/>
      <c r="AS212" s="163"/>
      <c r="AT212" s="163"/>
      <c r="AU212" s="163"/>
      <c r="AV212" s="163"/>
      <c r="AW212" s="163"/>
      <c r="AX212" s="163"/>
      <c r="AY212" s="163"/>
      <c r="AZ212" s="163"/>
      <c r="BA212" s="163"/>
      <c r="BB212" s="163"/>
      <c r="BC212" s="163"/>
      <c r="BD212" s="163"/>
    </row>
    <row r="213" spans="1:56" s="1" customFormat="1" ht="14.25" customHeight="1">
      <c r="A213" s="2">
        <v>211</v>
      </c>
      <c r="B213" s="43" t="s">
        <v>485</v>
      </c>
      <c r="C213" s="42">
        <v>68004078</v>
      </c>
      <c r="D213" s="134" t="s">
        <v>486</v>
      </c>
      <c r="E213" s="35">
        <v>4</v>
      </c>
      <c r="F213" s="35">
        <v>4</v>
      </c>
      <c r="G213" s="35" t="s">
        <v>427</v>
      </c>
      <c r="H213" s="36"/>
      <c r="I213" s="37">
        <f t="shared" si="15"/>
        <v>0</v>
      </c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>
        <f t="shared" si="12"/>
        <v>0</v>
      </c>
      <c r="W213" s="36"/>
      <c r="X213" s="38">
        <v>30000</v>
      </c>
      <c r="Y213" s="38" t="str">
        <f t="shared" si="13"/>
        <v>无需保养</v>
      </c>
      <c r="Z213" s="38">
        <f t="shared" si="14"/>
        <v>1</v>
      </c>
      <c r="AA213" s="163"/>
      <c r="AB213" s="163"/>
      <c r="AC213" s="163"/>
      <c r="AD213" s="163"/>
      <c r="AE213" s="163"/>
      <c r="AF213" s="163"/>
      <c r="AG213" s="163"/>
      <c r="AH213" s="163"/>
      <c r="AI213" s="163"/>
      <c r="AJ213" s="163"/>
      <c r="AK213" s="163"/>
      <c r="AL213" s="163"/>
      <c r="AM213" s="163"/>
      <c r="AN213" s="163"/>
      <c r="AO213" s="163"/>
      <c r="AP213" s="163"/>
      <c r="AQ213" s="163"/>
      <c r="AR213" s="163"/>
      <c r="AS213" s="163"/>
      <c r="AT213" s="163"/>
      <c r="AU213" s="163"/>
      <c r="AV213" s="163"/>
      <c r="AW213" s="163"/>
      <c r="AX213" s="163"/>
      <c r="AY213" s="163"/>
      <c r="AZ213" s="163"/>
      <c r="BA213" s="163"/>
      <c r="BB213" s="163"/>
      <c r="BC213" s="163"/>
      <c r="BD213" s="163"/>
    </row>
    <row r="214" spans="1:56" s="1" customFormat="1" ht="14.25" customHeight="1">
      <c r="A214" s="2">
        <v>212</v>
      </c>
      <c r="B214" s="43" t="s">
        <v>487</v>
      </c>
      <c r="C214" s="42">
        <v>68004079</v>
      </c>
      <c r="D214" s="134" t="s">
        <v>488</v>
      </c>
      <c r="E214" s="35">
        <v>2</v>
      </c>
      <c r="F214" s="35">
        <v>2</v>
      </c>
      <c r="G214" s="35" t="s">
        <v>427</v>
      </c>
      <c r="H214" s="36"/>
      <c r="I214" s="37">
        <f t="shared" si="15"/>
        <v>0</v>
      </c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>
        <f t="shared" si="12"/>
        <v>0</v>
      </c>
      <c r="W214" s="36"/>
      <c r="X214" s="38">
        <v>30000</v>
      </c>
      <c r="Y214" s="38" t="str">
        <f t="shared" si="13"/>
        <v>无需保养</v>
      </c>
      <c r="Z214" s="38">
        <f t="shared" si="14"/>
        <v>1</v>
      </c>
      <c r="AA214" s="163"/>
      <c r="AB214" s="163"/>
      <c r="AC214" s="163"/>
      <c r="AD214" s="163"/>
      <c r="AE214" s="163"/>
      <c r="AF214" s="163"/>
      <c r="AG214" s="163"/>
      <c r="AH214" s="163"/>
      <c r="AI214" s="163"/>
      <c r="AJ214" s="163"/>
      <c r="AK214" s="163"/>
      <c r="AL214" s="163"/>
      <c r="AM214" s="163"/>
      <c r="AN214" s="163"/>
      <c r="AO214" s="163"/>
      <c r="AP214" s="163"/>
      <c r="AQ214" s="163"/>
      <c r="AR214" s="163"/>
      <c r="AS214" s="163"/>
      <c r="AT214" s="163"/>
      <c r="AU214" s="163"/>
      <c r="AV214" s="163"/>
      <c r="AW214" s="163"/>
      <c r="AX214" s="163"/>
      <c r="AY214" s="163"/>
      <c r="AZ214" s="163"/>
      <c r="BA214" s="163"/>
      <c r="BB214" s="163"/>
      <c r="BC214" s="163"/>
      <c r="BD214" s="163"/>
    </row>
    <row r="215" spans="1:56" s="1" customFormat="1" ht="14.25" customHeight="1">
      <c r="A215" s="2">
        <v>213</v>
      </c>
      <c r="B215" s="43" t="s">
        <v>489</v>
      </c>
      <c r="C215" s="42">
        <v>68004081</v>
      </c>
      <c r="D215" s="134" t="s">
        <v>490</v>
      </c>
      <c r="E215" s="35">
        <v>4</v>
      </c>
      <c r="F215" s="35">
        <v>4</v>
      </c>
      <c r="G215" s="35" t="s">
        <v>427</v>
      </c>
      <c r="H215" s="36"/>
      <c r="I215" s="37">
        <f t="shared" si="15"/>
        <v>0</v>
      </c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>
        <f t="shared" si="12"/>
        <v>0</v>
      </c>
      <c r="W215" s="36"/>
      <c r="X215" s="38">
        <v>30000</v>
      </c>
      <c r="Y215" s="38" t="str">
        <f t="shared" si="13"/>
        <v>无需保养</v>
      </c>
      <c r="Z215" s="38">
        <f t="shared" si="14"/>
        <v>1</v>
      </c>
      <c r="AA215" s="163"/>
      <c r="AB215" s="163"/>
      <c r="AC215" s="163"/>
      <c r="AD215" s="163"/>
      <c r="AE215" s="163"/>
      <c r="AF215" s="163"/>
      <c r="AG215" s="163"/>
      <c r="AH215" s="163"/>
      <c r="AI215" s="163"/>
      <c r="AJ215" s="163"/>
      <c r="AK215" s="163"/>
      <c r="AL215" s="163"/>
      <c r="AM215" s="163"/>
      <c r="AN215" s="163"/>
      <c r="AO215" s="163"/>
      <c r="AP215" s="163"/>
      <c r="AQ215" s="163"/>
      <c r="AR215" s="163"/>
      <c r="AS215" s="163"/>
      <c r="AT215" s="163"/>
      <c r="AU215" s="163"/>
      <c r="AV215" s="163"/>
      <c r="AW215" s="163"/>
      <c r="AX215" s="163"/>
      <c r="AY215" s="163"/>
      <c r="AZ215" s="163"/>
      <c r="BA215" s="163"/>
      <c r="BB215" s="163"/>
      <c r="BC215" s="163"/>
      <c r="BD215" s="163"/>
    </row>
    <row r="216" spans="1:56" s="1" customFormat="1" ht="14.25" customHeight="1">
      <c r="A216" s="2">
        <v>214</v>
      </c>
      <c r="B216" s="43" t="s">
        <v>491</v>
      </c>
      <c r="C216" s="42">
        <v>68004132</v>
      </c>
      <c r="D216" s="134" t="s">
        <v>492</v>
      </c>
      <c r="E216" s="35">
        <v>2</v>
      </c>
      <c r="F216" s="35">
        <v>2</v>
      </c>
      <c r="G216" s="35" t="s">
        <v>460</v>
      </c>
      <c r="H216" s="36"/>
      <c r="I216" s="37">
        <f t="shared" si="15"/>
        <v>0</v>
      </c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>
        <f t="shared" si="12"/>
        <v>0</v>
      </c>
      <c r="W216" s="36"/>
      <c r="X216" s="38">
        <v>30000</v>
      </c>
      <c r="Y216" s="38" t="str">
        <f t="shared" si="13"/>
        <v>无需保养</v>
      </c>
      <c r="Z216" s="38">
        <f t="shared" si="14"/>
        <v>1</v>
      </c>
      <c r="AA216" s="163"/>
      <c r="AB216" s="163"/>
      <c r="AC216" s="163"/>
      <c r="AD216" s="163"/>
      <c r="AE216" s="163"/>
      <c r="AF216" s="163"/>
      <c r="AG216" s="163"/>
      <c r="AH216" s="163"/>
      <c r="AI216" s="163"/>
      <c r="AJ216" s="163"/>
      <c r="AK216" s="163"/>
      <c r="AL216" s="163"/>
      <c r="AM216" s="163"/>
      <c r="AN216" s="163"/>
      <c r="AO216" s="163"/>
      <c r="AP216" s="163"/>
      <c r="AQ216" s="163"/>
      <c r="AR216" s="163"/>
      <c r="AS216" s="163"/>
      <c r="AT216" s="163"/>
      <c r="AU216" s="163"/>
      <c r="AV216" s="163"/>
      <c r="AW216" s="163"/>
      <c r="AX216" s="163"/>
      <c r="AY216" s="163"/>
      <c r="AZ216" s="163"/>
      <c r="BA216" s="163"/>
      <c r="BB216" s="163"/>
      <c r="BC216" s="163"/>
      <c r="BD216" s="163"/>
    </row>
    <row r="217" spans="1:56" s="1" customFormat="1" ht="14.25" customHeight="1">
      <c r="A217" s="2">
        <v>215</v>
      </c>
      <c r="B217" s="43" t="s">
        <v>493</v>
      </c>
      <c r="C217" s="42">
        <v>68004133</v>
      </c>
      <c r="D217" s="134" t="s">
        <v>494</v>
      </c>
      <c r="E217" s="35">
        <v>2</v>
      </c>
      <c r="F217" s="35">
        <v>2</v>
      </c>
      <c r="G217" s="35" t="s">
        <v>495</v>
      </c>
      <c r="H217" s="36"/>
      <c r="I217" s="37">
        <f t="shared" si="15"/>
        <v>0</v>
      </c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>
        <f t="shared" si="12"/>
        <v>0</v>
      </c>
      <c r="W217" s="36"/>
      <c r="X217" s="38">
        <v>30000</v>
      </c>
      <c r="Y217" s="38" t="str">
        <f t="shared" si="13"/>
        <v>无需保养</v>
      </c>
      <c r="Z217" s="38">
        <f t="shared" si="14"/>
        <v>1</v>
      </c>
      <c r="AA217" s="163"/>
      <c r="AB217" s="163"/>
      <c r="AC217" s="163"/>
      <c r="AD217" s="163"/>
      <c r="AE217" s="163"/>
      <c r="AF217" s="163"/>
      <c r="AG217" s="163"/>
      <c r="AH217" s="163"/>
      <c r="AI217" s="163"/>
      <c r="AJ217" s="163"/>
      <c r="AK217" s="163"/>
      <c r="AL217" s="163"/>
      <c r="AM217" s="163"/>
      <c r="AN217" s="163"/>
      <c r="AO217" s="163"/>
      <c r="AP217" s="163"/>
      <c r="AQ217" s="163"/>
      <c r="AR217" s="163"/>
      <c r="AS217" s="163"/>
      <c r="AT217" s="163"/>
      <c r="AU217" s="163"/>
      <c r="AV217" s="163"/>
      <c r="AW217" s="163"/>
      <c r="AX217" s="163"/>
      <c r="AY217" s="163"/>
      <c r="AZ217" s="163"/>
      <c r="BA217" s="163"/>
      <c r="BB217" s="163"/>
      <c r="BC217" s="163"/>
      <c r="BD217" s="163"/>
    </row>
    <row r="218" spans="1:56" s="1" customFormat="1" ht="14.25" customHeight="1">
      <c r="A218" s="2">
        <v>216</v>
      </c>
      <c r="B218" s="43" t="s">
        <v>496</v>
      </c>
      <c r="C218" s="42">
        <v>68004135</v>
      </c>
      <c r="D218" s="134" t="s">
        <v>497</v>
      </c>
      <c r="E218" s="35">
        <v>8</v>
      </c>
      <c r="F218" s="35">
        <v>8</v>
      </c>
      <c r="G218" s="35" t="s">
        <v>495</v>
      </c>
      <c r="H218" s="36"/>
      <c r="I218" s="37">
        <f t="shared" si="15"/>
        <v>0</v>
      </c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>
        <f t="shared" si="12"/>
        <v>0</v>
      </c>
      <c r="W218" s="36"/>
      <c r="X218" s="38">
        <v>30000</v>
      </c>
      <c r="Y218" s="38" t="str">
        <f t="shared" si="13"/>
        <v>无需保养</v>
      </c>
      <c r="Z218" s="38">
        <f t="shared" si="14"/>
        <v>1</v>
      </c>
      <c r="AA218" s="163"/>
      <c r="AB218" s="163"/>
      <c r="AC218" s="163"/>
      <c r="AD218" s="163"/>
      <c r="AE218" s="163"/>
      <c r="AF218" s="163"/>
      <c r="AG218" s="163"/>
      <c r="AH218" s="163"/>
      <c r="AI218" s="163"/>
      <c r="AJ218" s="163"/>
      <c r="AK218" s="163"/>
      <c r="AL218" s="163"/>
      <c r="AM218" s="163"/>
      <c r="AN218" s="163"/>
      <c r="AO218" s="163"/>
      <c r="AP218" s="163"/>
      <c r="AQ218" s="163"/>
      <c r="AR218" s="163"/>
      <c r="AS218" s="163"/>
      <c r="AT218" s="163"/>
      <c r="AU218" s="163"/>
      <c r="AV218" s="163"/>
      <c r="AW218" s="163"/>
      <c r="AX218" s="163"/>
      <c r="AY218" s="163"/>
      <c r="AZ218" s="163"/>
      <c r="BA218" s="163"/>
      <c r="BB218" s="163"/>
      <c r="BC218" s="163"/>
      <c r="BD218" s="163"/>
    </row>
    <row r="219" spans="1:56" s="1" customFormat="1" ht="14.25" customHeight="1">
      <c r="A219" s="2">
        <v>217</v>
      </c>
      <c r="B219" s="43" t="s">
        <v>498</v>
      </c>
      <c r="C219" s="42">
        <v>68004370</v>
      </c>
      <c r="D219" s="133" t="s">
        <v>499</v>
      </c>
      <c r="E219" s="35">
        <v>4</v>
      </c>
      <c r="F219" s="35">
        <v>4</v>
      </c>
      <c r="G219" s="35" t="s">
        <v>460</v>
      </c>
      <c r="H219" s="36"/>
      <c r="I219" s="37">
        <f t="shared" si="15"/>
        <v>0</v>
      </c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>
        <f t="shared" si="12"/>
        <v>0</v>
      </c>
      <c r="W219" s="36"/>
      <c r="X219" s="38">
        <v>30000</v>
      </c>
      <c r="Y219" s="38" t="str">
        <f t="shared" si="13"/>
        <v>无需保养</v>
      </c>
      <c r="Z219" s="38">
        <f t="shared" si="14"/>
        <v>1</v>
      </c>
      <c r="AA219" s="163"/>
      <c r="AB219" s="163"/>
      <c r="AC219" s="163"/>
      <c r="AD219" s="163"/>
      <c r="AE219" s="163"/>
      <c r="AF219" s="163"/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3"/>
      <c r="BD219" s="163"/>
    </row>
    <row r="220" spans="1:56" s="1" customFormat="1" ht="14.25" customHeight="1">
      <c r="A220" s="2">
        <v>218</v>
      </c>
      <c r="B220" s="43" t="s">
        <v>500</v>
      </c>
      <c r="C220" s="42">
        <v>68004372</v>
      </c>
      <c r="D220" s="133" t="s">
        <v>501</v>
      </c>
      <c r="E220" s="35">
        <v>4</v>
      </c>
      <c r="F220" s="35">
        <v>4</v>
      </c>
      <c r="G220" s="35" t="s">
        <v>427</v>
      </c>
      <c r="H220" s="36"/>
      <c r="I220" s="37">
        <f t="shared" si="15"/>
        <v>0</v>
      </c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>
        <f t="shared" si="12"/>
        <v>0</v>
      </c>
      <c r="W220" s="36"/>
      <c r="X220" s="38">
        <v>30000</v>
      </c>
      <c r="Y220" s="38" t="str">
        <f t="shared" si="13"/>
        <v>无需保养</v>
      </c>
      <c r="Z220" s="38">
        <f t="shared" si="14"/>
        <v>1</v>
      </c>
      <c r="AA220" s="163"/>
      <c r="AB220" s="163"/>
      <c r="AC220" s="163"/>
      <c r="AD220" s="163"/>
      <c r="AE220" s="163"/>
      <c r="AF220" s="163"/>
      <c r="AG220" s="163"/>
      <c r="AH220" s="163"/>
      <c r="AI220" s="163"/>
      <c r="AJ220" s="163"/>
      <c r="AK220" s="163"/>
      <c r="AL220" s="163"/>
      <c r="AM220" s="163"/>
      <c r="AN220" s="163"/>
      <c r="AO220" s="163"/>
      <c r="AP220" s="163"/>
      <c r="AQ220" s="163"/>
      <c r="AR220" s="163"/>
      <c r="AS220" s="163"/>
      <c r="AT220" s="163"/>
      <c r="AU220" s="163"/>
      <c r="AV220" s="163"/>
      <c r="AW220" s="163"/>
      <c r="AX220" s="163"/>
      <c r="AY220" s="163"/>
      <c r="AZ220" s="163"/>
      <c r="BA220" s="163"/>
      <c r="BB220" s="163"/>
      <c r="BC220" s="163"/>
      <c r="BD220" s="163"/>
    </row>
    <row r="221" spans="1:56" s="1" customFormat="1" ht="14.25" customHeight="1">
      <c r="A221" s="2">
        <v>219</v>
      </c>
      <c r="B221" s="43" t="s">
        <v>502</v>
      </c>
      <c r="C221" s="42">
        <v>68004475</v>
      </c>
      <c r="D221" s="134" t="s">
        <v>503</v>
      </c>
      <c r="E221" s="35">
        <v>4</v>
      </c>
      <c r="F221" s="35">
        <v>4</v>
      </c>
      <c r="G221" s="35" t="s">
        <v>504</v>
      </c>
      <c r="H221" s="36"/>
      <c r="I221" s="37">
        <f t="shared" si="15"/>
        <v>0</v>
      </c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>
        <f t="shared" si="12"/>
        <v>0</v>
      </c>
      <c r="W221" s="36"/>
      <c r="X221" s="38">
        <v>30000</v>
      </c>
      <c r="Y221" s="38" t="str">
        <f t="shared" si="13"/>
        <v>无需保养</v>
      </c>
      <c r="Z221" s="38">
        <f t="shared" si="14"/>
        <v>1</v>
      </c>
      <c r="AA221" s="163"/>
      <c r="AB221" s="163"/>
      <c r="AC221" s="163"/>
      <c r="AD221" s="163"/>
      <c r="AE221" s="163"/>
      <c r="AF221" s="163"/>
      <c r="AG221" s="163"/>
      <c r="AH221" s="163"/>
      <c r="AI221" s="163"/>
      <c r="AJ221" s="163"/>
      <c r="AK221" s="163"/>
      <c r="AL221" s="163"/>
      <c r="AM221" s="163"/>
      <c r="AN221" s="163"/>
      <c r="AO221" s="163"/>
      <c r="AP221" s="163"/>
      <c r="AQ221" s="163"/>
      <c r="AR221" s="163"/>
      <c r="AS221" s="163"/>
      <c r="AT221" s="163"/>
      <c r="AU221" s="163"/>
      <c r="AV221" s="163"/>
      <c r="AW221" s="163"/>
      <c r="AX221" s="163"/>
      <c r="AY221" s="163"/>
      <c r="AZ221" s="163"/>
      <c r="BA221" s="163"/>
      <c r="BB221" s="163"/>
      <c r="BC221" s="163"/>
      <c r="BD221" s="163"/>
    </row>
    <row r="222" spans="1:56" s="1" customFormat="1" ht="14.25" customHeight="1">
      <c r="A222" s="2">
        <v>220</v>
      </c>
      <c r="B222" s="43" t="s">
        <v>505</v>
      </c>
      <c r="C222" s="42">
        <v>68004476</v>
      </c>
      <c r="D222" s="42" t="s">
        <v>506</v>
      </c>
      <c r="E222" s="35">
        <v>4</v>
      </c>
      <c r="F222" s="35">
        <v>4</v>
      </c>
      <c r="G222" s="35" t="s">
        <v>504</v>
      </c>
      <c r="H222" s="36"/>
      <c r="I222" s="37">
        <f t="shared" si="15"/>
        <v>0</v>
      </c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>
        <f t="shared" si="12"/>
        <v>0</v>
      </c>
      <c r="W222" s="36"/>
      <c r="X222" s="38">
        <v>30000</v>
      </c>
      <c r="Y222" s="38" t="str">
        <f t="shared" si="13"/>
        <v>无需保养</v>
      </c>
      <c r="Z222" s="38">
        <f t="shared" si="14"/>
        <v>1</v>
      </c>
      <c r="AA222" s="163"/>
      <c r="AB222" s="163"/>
      <c r="AC222" s="163"/>
      <c r="AD222" s="163"/>
      <c r="AE222" s="163"/>
      <c r="AF222" s="163"/>
      <c r="AG222" s="163"/>
      <c r="AH222" s="163"/>
      <c r="AI222" s="163"/>
      <c r="AJ222" s="163"/>
      <c r="AK222" s="163"/>
      <c r="AL222" s="163"/>
      <c r="AM222" s="163"/>
      <c r="AN222" s="163"/>
      <c r="AO222" s="163"/>
      <c r="AP222" s="163"/>
      <c r="AQ222" s="163"/>
      <c r="AR222" s="163"/>
      <c r="AS222" s="163"/>
      <c r="AT222" s="163"/>
      <c r="AU222" s="163"/>
      <c r="AV222" s="163"/>
      <c r="AW222" s="163"/>
      <c r="AX222" s="163"/>
      <c r="AY222" s="163"/>
      <c r="AZ222" s="163"/>
      <c r="BA222" s="163"/>
      <c r="BB222" s="163"/>
      <c r="BC222" s="163"/>
      <c r="BD222" s="163"/>
    </row>
    <row r="223" spans="1:56" s="1" customFormat="1" ht="14.25" customHeight="1">
      <c r="A223" s="2">
        <v>221</v>
      </c>
      <c r="B223" s="43" t="s">
        <v>507</v>
      </c>
      <c r="C223" s="42">
        <v>68004477</v>
      </c>
      <c r="D223" s="42" t="s">
        <v>508</v>
      </c>
      <c r="E223" s="35">
        <v>8</v>
      </c>
      <c r="F223" s="35">
        <v>8</v>
      </c>
      <c r="G223" s="35" t="s">
        <v>504</v>
      </c>
      <c r="H223" s="36"/>
      <c r="I223" s="37">
        <f t="shared" si="15"/>
        <v>0</v>
      </c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>
        <f t="shared" si="12"/>
        <v>0</v>
      </c>
      <c r="W223" s="36"/>
      <c r="X223" s="38">
        <v>30000</v>
      </c>
      <c r="Y223" s="38" t="str">
        <f t="shared" si="13"/>
        <v>无需保养</v>
      </c>
      <c r="Z223" s="38">
        <f t="shared" si="14"/>
        <v>1</v>
      </c>
      <c r="AA223" s="163"/>
      <c r="AB223" s="163"/>
      <c r="AC223" s="163"/>
      <c r="AD223" s="163"/>
      <c r="AE223" s="163"/>
      <c r="AF223" s="163"/>
      <c r="AG223" s="163"/>
      <c r="AH223" s="163"/>
      <c r="AI223" s="163"/>
      <c r="AJ223" s="163"/>
      <c r="AK223" s="163"/>
      <c r="AL223" s="163"/>
      <c r="AM223" s="163"/>
      <c r="AN223" s="163"/>
      <c r="AO223" s="163"/>
      <c r="AP223" s="163"/>
      <c r="AQ223" s="163"/>
      <c r="AR223" s="163"/>
      <c r="AS223" s="163"/>
      <c r="AT223" s="163"/>
      <c r="AU223" s="163"/>
      <c r="AV223" s="163"/>
      <c r="AW223" s="163"/>
      <c r="AX223" s="163"/>
      <c r="AY223" s="163"/>
      <c r="AZ223" s="163"/>
      <c r="BA223" s="163"/>
      <c r="BB223" s="163"/>
      <c r="BC223" s="163"/>
      <c r="BD223" s="163"/>
    </row>
    <row r="224" spans="1:56" s="1" customFormat="1" ht="14.25" customHeight="1">
      <c r="A224" s="2">
        <v>222</v>
      </c>
      <c r="B224" s="43" t="s">
        <v>509</v>
      </c>
      <c r="C224" s="42">
        <v>68004478</v>
      </c>
      <c r="D224" s="133" t="s">
        <v>510</v>
      </c>
      <c r="E224" s="35">
        <v>4</v>
      </c>
      <c r="F224" s="35">
        <v>4</v>
      </c>
      <c r="G224" s="35" t="s">
        <v>504</v>
      </c>
      <c r="H224" s="36"/>
      <c r="I224" s="37">
        <f t="shared" si="15"/>
        <v>0</v>
      </c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>
        <f t="shared" si="12"/>
        <v>0</v>
      </c>
      <c r="W224" s="36"/>
      <c r="X224" s="38">
        <v>30000</v>
      </c>
      <c r="Y224" s="38" t="str">
        <f t="shared" si="13"/>
        <v>无需保养</v>
      </c>
      <c r="Z224" s="38">
        <f t="shared" si="14"/>
        <v>1</v>
      </c>
      <c r="AA224" s="163"/>
      <c r="AB224" s="163"/>
      <c r="AC224" s="163"/>
      <c r="AD224" s="163"/>
      <c r="AE224" s="163"/>
      <c r="AF224" s="163"/>
      <c r="AG224" s="163"/>
      <c r="AH224" s="163"/>
      <c r="AI224" s="163"/>
      <c r="AJ224" s="163"/>
      <c r="AK224" s="163"/>
      <c r="AL224" s="163"/>
      <c r="AM224" s="163"/>
      <c r="AN224" s="163"/>
      <c r="AO224" s="163"/>
      <c r="AP224" s="163"/>
      <c r="AQ224" s="163"/>
      <c r="AR224" s="163"/>
      <c r="AS224" s="163"/>
      <c r="AT224" s="163"/>
      <c r="AU224" s="163"/>
      <c r="AV224" s="163"/>
      <c r="AW224" s="163"/>
      <c r="AX224" s="163"/>
      <c r="AY224" s="163"/>
      <c r="AZ224" s="163"/>
      <c r="BA224" s="163"/>
      <c r="BB224" s="163"/>
      <c r="BC224" s="163"/>
      <c r="BD224" s="163"/>
    </row>
    <row r="225" spans="1:56" s="1" customFormat="1" ht="14.25" customHeight="1">
      <c r="A225" s="2">
        <v>223</v>
      </c>
      <c r="B225" s="43" t="s">
        <v>511</v>
      </c>
      <c r="C225" s="42">
        <v>68004479</v>
      </c>
      <c r="D225" s="42" t="s">
        <v>512</v>
      </c>
      <c r="E225" s="35">
        <v>4</v>
      </c>
      <c r="F225" s="35">
        <v>4</v>
      </c>
      <c r="G225" s="35" t="s">
        <v>504</v>
      </c>
      <c r="H225" s="36"/>
      <c r="I225" s="37">
        <f t="shared" si="15"/>
        <v>0</v>
      </c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>
        <f t="shared" si="12"/>
        <v>0</v>
      </c>
      <c r="W225" s="36"/>
      <c r="X225" s="38">
        <v>30000</v>
      </c>
      <c r="Y225" s="38" t="str">
        <f t="shared" si="13"/>
        <v>无需保养</v>
      </c>
      <c r="Z225" s="38">
        <f t="shared" si="14"/>
        <v>1</v>
      </c>
      <c r="AA225" s="163"/>
      <c r="AB225" s="163"/>
      <c r="AC225" s="163"/>
      <c r="AD225" s="163"/>
      <c r="AE225" s="163"/>
      <c r="AF225" s="163"/>
      <c r="AG225" s="163"/>
      <c r="AH225" s="163"/>
      <c r="AI225" s="163"/>
      <c r="AJ225" s="163"/>
      <c r="AK225" s="163"/>
      <c r="AL225" s="163"/>
      <c r="AM225" s="163"/>
      <c r="AN225" s="163"/>
      <c r="AO225" s="163"/>
      <c r="AP225" s="163"/>
      <c r="AQ225" s="163"/>
      <c r="AR225" s="163"/>
      <c r="AS225" s="163"/>
      <c r="AT225" s="163"/>
      <c r="AU225" s="163"/>
      <c r="AV225" s="163"/>
      <c r="AW225" s="163"/>
      <c r="AX225" s="163"/>
      <c r="AY225" s="163"/>
      <c r="AZ225" s="163"/>
      <c r="BA225" s="163"/>
      <c r="BB225" s="163"/>
      <c r="BC225" s="163"/>
      <c r="BD225" s="163"/>
    </row>
    <row r="226" spans="1:56" s="1" customFormat="1" ht="14.25" customHeight="1">
      <c r="A226" s="2">
        <v>224</v>
      </c>
      <c r="B226" s="43" t="s">
        <v>513</v>
      </c>
      <c r="C226" s="42">
        <v>68004480</v>
      </c>
      <c r="D226" s="42" t="s">
        <v>514</v>
      </c>
      <c r="E226" s="35">
        <v>4</v>
      </c>
      <c r="F226" s="35">
        <v>4</v>
      </c>
      <c r="G226" s="35" t="s">
        <v>504</v>
      </c>
      <c r="H226" s="36"/>
      <c r="I226" s="37">
        <f t="shared" si="15"/>
        <v>0</v>
      </c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>
        <f t="shared" si="12"/>
        <v>0</v>
      </c>
      <c r="W226" s="36"/>
      <c r="X226" s="38">
        <v>30000</v>
      </c>
      <c r="Y226" s="38" t="str">
        <f t="shared" si="13"/>
        <v>无需保养</v>
      </c>
      <c r="Z226" s="38">
        <f t="shared" si="14"/>
        <v>1</v>
      </c>
      <c r="AA226" s="163"/>
      <c r="AB226" s="163"/>
      <c r="AC226" s="163"/>
      <c r="AD226" s="163"/>
      <c r="AE226" s="163"/>
      <c r="AF226" s="163"/>
      <c r="AG226" s="163"/>
      <c r="AH226" s="163"/>
      <c r="AI226" s="163"/>
      <c r="AJ226" s="163"/>
      <c r="AK226" s="163"/>
      <c r="AL226" s="163"/>
      <c r="AM226" s="163"/>
      <c r="AN226" s="163"/>
      <c r="AO226" s="163"/>
      <c r="AP226" s="163"/>
      <c r="AQ226" s="163"/>
      <c r="AR226" s="163"/>
      <c r="AS226" s="163"/>
      <c r="AT226" s="163"/>
      <c r="AU226" s="163"/>
      <c r="AV226" s="163"/>
      <c r="AW226" s="163"/>
      <c r="AX226" s="163"/>
      <c r="AY226" s="163"/>
      <c r="AZ226" s="163"/>
      <c r="BA226" s="163"/>
      <c r="BB226" s="163"/>
      <c r="BC226" s="163"/>
      <c r="BD226" s="163"/>
    </row>
    <row r="227" spans="1:56" s="1" customFormat="1" ht="14.25" customHeight="1">
      <c r="A227" s="2">
        <v>225</v>
      </c>
      <c r="B227" s="43" t="s">
        <v>515</v>
      </c>
      <c r="C227" s="42">
        <v>68004481</v>
      </c>
      <c r="D227" s="133" t="s">
        <v>516</v>
      </c>
      <c r="E227" s="35">
        <v>4</v>
      </c>
      <c r="F227" s="35">
        <v>4</v>
      </c>
      <c r="G227" s="35" t="s">
        <v>504</v>
      </c>
      <c r="H227" s="36"/>
      <c r="I227" s="37">
        <f t="shared" si="15"/>
        <v>0</v>
      </c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>
        <f t="shared" si="12"/>
        <v>0</v>
      </c>
      <c r="W227" s="36"/>
      <c r="X227" s="38">
        <v>30000</v>
      </c>
      <c r="Y227" s="38" t="str">
        <f t="shared" si="13"/>
        <v>无需保养</v>
      </c>
      <c r="Z227" s="38">
        <f t="shared" si="14"/>
        <v>1</v>
      </c>
      <c r="AA227" s="163"/>
      <c r="AB227" s="163"/>
      <c r="AC227" s="163"/>
      <c r="AD227" s="163"/>
      <c r="AE227" s="163"/>
      <c r="AF227" s="163"/>
      <c r="AG227" s="163"/>
      <c r="AH227" s="163"/>
      <c r="AI227" s="163"/>
      <c r="AJ227" s="163"/>
      <c r="AK227" s="163"/>
      <c r="AL227" s="163"/>
      <c r="AM227" s="163"/>
      <c r="AN227" s="163"/>
      <c r="AO227" s="163"/>
      <c r="AP227" s="163"/>
      <c r="AQ227" s="163"/>
      <c r="AR227" s="163"/>
      <c r="AS227" s="163"/>
      <c r="AT227" s="163"/>
      <c r="AU227" s="163"/>
      <c r="AV227" s="163"/>
      <c r="AW227" s="163"/>
      <c r="AX227" s="163"/>
      <c r="AY227" s="163"/>
      <c r="AZ227" s="163"/>
      <c r="BA227" s="163"/>
      <c r="BB227" s="163"/>
      <c r="BC227" s="163"/>
      <c r="BD227" s="163"/>
    </row>
    <row r="228" spans="1:56" s="1" customFormat="1" ht="14.25" customHeight="1">
      <c r="A228" s="2">
        <v>226</v>
      </c>
      <c r="B228" s="43" t="s">
        <v>517</v>
      </c>
      <c r="C228" s="42">
        <v>68004482</v>
      </c>
      <c r="D228" s="133" t="s">
        <v>518</v>
      </c>
      <c r="E228" s="35">
        <v>4</v>
      </c>
      <c r="F228" s="35">
        <v>4</v>
      </c>
      <c r="G228" s="35" t="s">
        <v>504</v>
      </c>
      <c r="H228" s="36"/>
      <c r="I228" s="37">
        <f t="shared" si="15"/>
        <v>0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>
        <f t="shared" si="12"/>
        <v>0</v>
      </c>
      <c r="W228" s="36"/>
      <c r="X228" s="38">
        <v>30000</v>
      </c>
      <c r="Y228" s="38" t="str">
        <f t="shared" si="13"/>
        <v>无需保养</v>
      </c>
      <c r="Z228" s="38">
        <f t="shared" si="14"/>
        <v>1</v>
      </c>
      <c r="AA228" s="163"/>
      <c r="AB228" s="163"/>
      <c r="AC228" s="163"/>
      <c r="AD228" s="163"/>
      <c r="AE228" s="163"/>
      <c r="AF228" s="163"/>
      <c r="AG228" s="163"/>
      <c r="AH228" s="163"/>
      <c r="AI228" s="163"/>
      <c r="AJ228" s="163"/>
      <c r="AK228" s="163"/>
      <c r="AL228" s="163"/>
      <c r="AM228" s="163"/>
      <c r="AN228" s="163"/>
      <c r="AO228" s="163"/>
      <c r="AP228" s="163"/>
      <c r="AQ228" s="163"/>
      <c r="AR228" s="163"/>
      <c r="AS228" s="163"/>
      <c r="AT228" s="163"/>
      <c r="AU228" s="163"/>
      <c r="AV228" s="163"/>
      <c r="AW228" s="163"/>
      <c r="AX228" s="163"/>
      <c r="AY228" s="163"/>
      <c r="AZ228" s="163"/>
      <c r="BA228" s="163"/>
      <c r="BB228" s="163"/>
      <c r="BC228" s="163"/>
      <c r="BD228" s="163"/>
    </row>
    <row r="229" spans="1:56" s="1" customFormat="1" ht="14.25" customHeight="1">
      <c r="A229" s="2">
        <v>227</v>
      </c>
      <c r="B229" s="43" t="s">
        <v>519</v>
      </c>
      <c r="C229" s="42">
        <v>68004483</v>
      </c>
      <c r="D229" s="133" t="s">
        <v>520</v>
      </c>
      <c r="E229" s="35">
        <v>4</v>
      </c>
      <c r="F229" s="35">
        <v>4</v>
      </c>
      <c r="G229" s="35" t="s">
        <v>504</v>
      </c>
      <c r="H229" s="36"/>
      <c r="I229" s="37">
        <f t="shared" si="15"/>
        <v>0</v>
      </c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>
        <f t="shared" si="12"/>
        <v>0</v>
      </c>
      <c r="W229" s="36"/>
      <c r="X229" s="38">
        <v>30000</v>
      </c>
      <c r="Y229" s="38" t="str">
        <f t="shared" si="13"/>
        <v>无需保养</v>
      </c>
      <c r="Z229" s="38">
        <f t="shared" si="14"/>
        <v>1</v>
      </c>
      <c r="AA229" s="163"/>
      <c r="AB229" s="163"/>
      <c r="AC229" s="163"/>
      <c r="AD229" s="163"/>
      <c r="AE229" s="163"/>
      <c r="AF229" s="163"/>
      <c r="AG229" s="163"/>
      <c r="AH229" s="163"/>
      <c r="AI229" s="163"/>
      <c r="AJ229" s="163"/>
      <c r="AK229" s="163"/>
      <c r="AL229" s="163"/>
      <c r="AM229" s="163"/>
      <c r="AN229" s="163"/>
      <c r="AO229" s="163"/>
      <c r="AP229" s="163"/>
      <c r="AQ229" s="163"/>
      <c r="AR229" s="163"/>
      <c r="AS229" s="163"/>
      <c r="AT229" s="163"/>
      <c r="AU229" s="163"/>
      <c r="AV229" s="163"/>
      <c r="AW229" s="163"/>
      <c r="AX229" s="163"/>
      <c r="AY229" s="163"/>
      <c r="AZ229" s="163"/>
      <c r="BA229" s="163"/>
      <c r="BB229" s="163"/>
      <c r="BC229" s="163"/>
      <c r="BD229" s="163"/>
    </row>
    <row r="230" spans="1:56" s="1" customFormat="1" ht="14.25" customHeight="1">
      <c r="A230" s="2">
        <v>228</v>
      </c>
      <c r="B230" s="43" t="s">
        <v>521</v>
      </c>
      <c r="C230" s="42">
        <v>68004485</v>
      </c>
      <c r="D230" s="133" t="s">
        <v>522</v>
      </c>
      <c r="E230" s="35">
        <v>4</v>
      </c>
      <c r="F230" s="35">
        <v>4</v>
      </c>
      <c r="G230" s="35" t="s">
        <v>504</v>
      </c>
      <c r="H230" s="36"/>
      <c r="I230" s="37">
        <f t="shared" si="15"/>
        <v>0</v>
      </c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>
        <f t="shared" si="12"/>
        <v>0</v>
      </c>
      <c r="W230" s="36"/>
      <c r="X230" s="38">
        <v>30000</v>
      </c>
      <c r="Y230" s="38" t="str">
        <f t="shared" si="13"/>
        <v>无需保养</v>
      </c>
      <c r="Z230" s="38">
        <f t="shared" si="14"/>
        <v>1</v>
      </c>
      <c r="AA230" s="163"/>
      <c r="AB230" s="163"/>
      <c r="AC230" s="163"/>
      <c r="AD230" s="163"/>
      <c r="AE230" s="163"/>
      <c r="AF230" s="163"/>
      <c r="AG230" s="163"/>
      <c r="AH230" s="163"/>
      <c r="AI230" s="163"/>
      <c r="AJ230" s="163"/>
      <c r="AK230" s="163"/>
      <c r="AL230" s="163"/>
      <c r="AM230" s="163"/>
      <c r="AN230" s="163"/>
      <c r="AO230" s="163"/>
      <c r="AP230" s="163"/>
      <c r="AQ230" s="163"/>
      <c r="AR230" s="163"/>
      <c r="AS230" s="163"/>
      <c r="AT230" s="163"/>
      <c r="AU230" s="163"/>
      <c r="AV230" s="163"/>
      <c r="AW230" s="163"/>
      <c r="AX230" s="163"/>
      <c r="AY230" s="163"/>
      <c r="AZ230" s="163"/>
      <c r="BA230" s="163"/>
      <c r="BB230" s="163"/>
      <c r="BC230" s="163"/>
      <c r="BD230" s="163"/>
    </row>
    <row r="231" spans="1:56" s="1" customFormat="1" ht="14.25" customHeight="1">
      <c r="A231" s="2">
        <v>229</v>
      </c>
      <c r="B231" s="43" t="s">
        <v>523</v>
      </c>
      <c r="C231" s="42">
        <v>68004486</v>
      </c>
      <c r="D231" s="133" t="s">
        <v>524</v>
      </c>
      <c r="E231" s="35">
        <v>4</v>
      </c>
      <c r="F231" s="35">
        <v>4</v>
      </c>
      <c r="G231" s="35" t="s">
        <v>504</v>
      </c>
      <c r="H231" s="36"/>
      <c r="I231" s="37">
        <f t="shared" si="15"/>
        <v>0</v>
      </c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>
        <f t="shared" si="12"/>
        <v>0</v>
      </c>
      <c r="W231" s="36"/>
      <c r="X231" s="38">
        <v>30000</v>
      </c>
      <c r="Y231" s="38" t="str">
        <f t="shared" si="13"/>
        <v>无需保养</v>
      </c>
      <c r="Z231" s="38">
        <f t="shared" si="14"/>
        <v>1</v>
      </c>
      <c r="AA231" s="163"/>
      <c r="AB231" s="163"/>
      <c r="AC231" s="163"/>
      <c r="AD231" s="163"/>
      <c r="AE231" s="163"/>
      <c r="AF231" s="163"/>
      <c r="AG231" s="163"/>
      <c r="AH231" s="163"/>
      <c r="AI231" s="163"/>
      <c r="AJ231" s="163"/>
      <c r="AK231" s="163"/>
      <c r="AL231" s="163"/>
      <c r="AM231" s="163"/>
      <c r="AN231" s="163"/>
      <c r="AO231" s="163"/>
      <c r="AP231" s="163"/>
      <c r="AQ231" s="163"/>
      <c r="AR231" s="163"/>
      <c r="AS231" s="163"/>
      <c r="AT231" s="163"/>
      <c r="AU231" s="163"/>
      <c r="AV231" s="163"/>
      <c r="AW231" s="163"/>
      <c r="AX231" s="163"/>
      <c r="AY231" s="163"/>
      <c r="AZ231" s="163"/>
      <c r="BA231" s="163"/>
      <c r="BB231" s="163"/>
      <c r="BC231" s="163"/>
      <c r="BD231" s="163"/>
    </row>
    <row r="232" spans="1:56" s="1" customFormat="1" ht="14.25" customHeight="1">
      <c r="A232" s="2">
        <v>230</v>
      </c>
      <c r="B232" s="43" t="s">
        <v>525</v>
      </c>
      <c r="C232" s="42">
        <v>68004487</v>
      </c>
      <c r="D232" s="133" t="s">
        <v>526</v>
      </c>
      <c r="E232" s="35">
        <v>4</v>
      </c>
      <c r="F232" s="35">
        <v>4</v>
      </c>
      <c r="G232" s="35" t="s">
        <v>504</v>
      </c>
      <c r="H232" s="36"/>
      <c r="I232" s="37">
        <f t="shared" si="15"/>
        <v>0</v>
      </c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>
        <f t="shared" si="12"/>
        <v>0</v>
      </c>
      <c r="W232" s="36"/>
      <c r="X232" s="38">
        <v>30000</v>
      </c>
      <c r="Y232" s="38" t="str">
        <f t="shared" si="13"/>
        <v>无需保养</v>
      </c>
      <c r="Z232" s="38">
        <f t="shared" si="14"/>
        <v>1</v>
      </c>
      <c r="AA232" s="163"/>
      <c r="AB232" s="163"/>
      <c r="AC232" s="163"/>
      <c r="AD232" s="163"/>
      <c r="AE232" s="163"/>
      <c r="AF232" s="163"/>
      <c r="AG232" s="163"/>
      <c r="AH232" s="163"/>
      <c r="AI232" s="163"/>
      <c r="AJ232" s="163"/>
      <c r="AK232" s="163"/>
      <c r="AL232" s="163"/>
      <c r="AM232" s="163"/>
      <c r="AN232" s="163"/>
      <c r="AO232" s="163"/>
      <c r="AP232" s="163"/>
      <c r="AQ232" s="163"/>
      <c r="AR232" s="163"/>
      <c r="AS232" s="163"/>
      <c r="AT232" s="163"/>
      <c r="AU232" s="163"/>
      <c r="AV232" s="163"/>
      <c r="AW232" s="163"/>
      <c r="AX232" s="163"/>
      <c r="AY232" s="163"/>
      <c r="AZ232" s="163"/>
      <c r="BA232" s="163"/>
      <c r="BB232" s="163"/>
      <c r="BC232" s="163"/>
      <c r="BD232" s="163"/>
    </row>
    <row r="233" spans="1:56" s="1" customFormat="1" ht="14.25" customHeight="1">
      <c r="A233" s="2">
        <v>231</v>
      </c>
      <c r="B233" s="43" t="s">
        <v>527</v>
      </c>
      <c r="C233" s="42">
        <v>68004488</v>
      </c>
      <c r="D233" s="133" t="s">
        <v>528</v>
      </c>
      <c r="E233" s="35">
        <v>2</v>
      </c>
      <c r="F233" s="35">
        <v>2</v>
      </c>
      <c r="G233" s="35" t="s">
        <v>504</v>
      </c>
      <c r="H233" s="36"/>
      <c r="I233" s="37">
        <f t="shared" si="15"/>
        <v>0</v>
      </c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>
        <f t="shared" si="12"/>
        <v>0</v>
      </c>
      <c r="W233" s="36"/>
      <c r="X233" s="38">
        <v>30000</v>
      </c>
      <c r="Y233" s="38" t="str">
        <f t="shared" si="13"/>
        <v>无需保养</v>
      </c>
      <c r="Z233" s="38">
        <f t="shared" si="14"/>
        <v>1</v>
      </c>
      <c r="AA233" s="163"/>
      <c r="AB233" s="163"/>
      <c r="AC233" s="163"/>
      <c r="AD233" s="163"/>
      <c r="AE233" s="163"/>
      <c r="AF233" s="163"/>
      <c r="AG233" s="163"/>
      <c r="AH233" s="163"/>
      <c r="AI233" s="163"/>
      <c r="AJ233" s="163"/>
      <c r="AK233" s="163"/>
      <c r="AL233" s="163"/>
      <c r="AM233" s="163"/>
      <c r="AN233" s="163"/>
      <c r="AO233" s="163"/>
      <c r="AP233" s="163"/>
      <c r="AQ233" s="163"/>
      <c r="AR233" s="163"/>
      <c r="AS233" s="163"/>
      <c r="AT233" s="163"/>
      <c r="AU233" s="163"/>
      <c r="AV233" s="163"/>
      <c r="AW233" s="163"/>
      <c r="AX233" s="163"/>
      <c r="AY233" s="163"/>
      <c r="AZ233" s="163"/>
      <c r="BA233" s="163"/>
      <c r="BB233" s="163"/>
      <c r="BC233" s="163"/>
      <c r="BD233" s="163"/>
    </row>
    <row r="234" spans="1:56" s="1" customFormat="1" ht="14.25" customHeight="1">
      <c r="A234" s="2">
        <v>232</v>
      </c>
      <c r="B234" s="43" t="s">
        <v>529</v>
      </c>
      <c r="C234" s="42">
        <v>68004491</v>
      </c>
      <c r="D234" s="133" t="s">
        <v>530</v>
      </c>
      <c r="E234" s="35">
        <v>4</v>
      </c>
      <c r="F234" s="35">
        <v>4</v>
      </c>
      <c r="G234" s="35" t="s">
        <v>504</v>
      </c>
      <c r="H234" s="36"/>
      <c r="I234" s="37">
        <f t="shared" si="15"/>
        <v>0</v>
      </c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>
        <f t="shared" si="12"/>
        <v>0</v>
      </c>
      <c r="W234" s="36"/>
      <c r="X234" s="38">
        <v>30000</v>
      </c>
      <c r="Y234" s="38" t="str">
        <f t="shared" si="13"/>
        <v>无需保养</v>
      </c>
      <c r="Z234" s="38">
        <f t="shared" si="14"/>
        <v>1</v>
      </c>
      <c r="AA234" s="163"/>
      <c r="AB234" s="163"/>
      <c r="AC234" s="163"/>
      <c r="AD234" s="163"/>
      <c r="AE234" s="163"/>
      <c r="AF234" s="163"/>
      <c r="AG234" s="163"/>
      <c r="AH234" s="163"/>
      <c r="AI234" s="163"/>
      <c r="AJ234" s="163"/>
      <c r="AK234" s="163"/>
      <c r="AL234" s="163"/>
      <c r="AM234" s="163"/>
      <c r="AN234" s="163"/>
      <c r="AO234" s="163"/>
      <c r="AP234" s="163"/>
      <c r="AQ234" s="163"/>
      <c r="AR234" s="163"/>
      <c r="AS234" s="163"/>
      <c r="AT234" s="163"/>
      <c r="AU234" s="163"/>
      <c r="AV234" s="163"/>
      <c r="AW234" s="163"/>
      <c r="AX234" s="163"/>
      <c r="AY234" s="163"/>
      <c r="AZ234" s="163"/>
      <c r="BA234" s="163"/>
      <c r="BB234" s="163"/>
      <c r="BC234" s="163"/>
      <c r="BD234" s="163"/>
    </row>
    <row r="235" spans="1:56" s="1" customFormat="1" ht="14.25" customHeight="1">
      <c r="A235" s="2">
        <v>233</v>
      </c>
      <c r="B235" s="43" t="s">
        <v>531</v>
      </c>
      <c r="C235" s="42">
        <v>68004492</v>
      </c>
      <c r="D235" s="133" t="s">
        <v>532</v>
      </c>
      <c r="E235" s="35">
        <v>4</v>
      </c>
      <c r="F235" s="35">
        <v>4</v>
      </c>
      <c r="G235" s="35" t="s">
        <v>504</v>
      </c>
      <c r="H235" s="36"/>
      <c r="I235" s="37">
        <f t="shared" si="15"/>
        <v>0</v>
      </c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>
        <f t="shared" si="12"/>
        <v>0</v>
      </c>
      <c r="W235" s="36"/>
      <c r="X235" s="38">
        <v>30000</v>
      </c>
      <c r="Y235" s="38" t="str">
        <f t="shared" si="13"/>
        <v>无需保养</v>
      </c>
      <c r="Z235" s="38">
        <f t="shared" si="14"/>
        <v>1</v>
      </c>
      <c r="AA235" s="163"/>
      <c r="AB235" s="163"/>
      <c r="AC235" s="163"/>
      <c r="AD235" s="163"/>
      <c r="AE235" s="163"/>
      <c r="AF235" s="163"/>
      <c r="AG235" s="163"/>
      <c r="AH235" s="163"/>
      <c r="AI235" s="163"/>
      <c r="AJ235" s="163"/>
      <c r="AK235" s="163"/>
      <c r="AL235" s="163"/>
      <c r="AM235" s="163"/>
      <c r="AN235" s="163"/>
      <c r="AO235" s="163"/>
      <c r="AP235" s="163"/>
      <c r="AQ235" s="163"/>
      <c r="AR235" s="163"/>
      <c r="AS235" s="163"/>
      <c r="AT235" s="163"/>
      <c r="AU235" s="163"/>
      <c r="AV235" s="163"/>
      <c r="AW235" s="163"/>
      <c r="AX235" s="163"/>
      <c r="AY235" s="163"/>
      <c r="AZ235" s="163"/>
      <c r="BA235" s="163"/>
      <c r="BB235" s="163"/>
      <c r="BC235" s="163"/>
      <c r="BD235" s="163"/>
    </row>
    <row r="236" spans="1:56" s="1" customFormat="1" ht="14.25" customHeight="1">
      <c r="A236" s="2">
        <v>234</v>
      </c>
      <c r="B236" s="43" t="s">
        <v>533</v>
      </c>
      <c r="C236" s="42">
        <v>68004493</v>
      </c>
      <c r="D236" s="133" t="s">
        <v>534</v>
      </c>
      <c r="E236" s="35">
        <v>4</v>
      </c>
      <c r="F236" s="35">
        <v>4</v>
      </c>
      <c r="G236" s="35" t="s">
        <v>504</v>
      </c>
      <c r="H236" s="36"/>
      <c r="I236" s="37">
        <f t="shared" si="15"/>
        <v>0</v>
      </c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>
        <f t="shared" si="12"/>
        <v>0</v>
      </c>
      <c r="W236" s="36"/>
      <c r="X236" s="38">
        <v>30000</v>
      </c>
      <c r="Y236" s="38" t="str">
        <f t="shared" si="13"/>
        <v>无需保养</v>
      </c>
      <c r="Z236" s="38">
        <f t="shared" si="14"/>
        <v>1</v>
      </c>
      <c r="AA236" s="163"/>
      <c r="AB236" s="163"/>
      <c r="AC236" s="163"/>
      <c r="AD236" s="163"/>
      <c r="AE236" s="163"/>
      <c r="AF236" s="163"/>
      <c r="AG236" s="163"/>
      <c r="AH236" s="163"/>
      <c r="AI236" s="163"/>
      <c r="AJ236" s="163"/>
      <c r="AK236" s="163"/>
      <c r="AL236" s="163"/>
      <c r="AM236" s="163"/>
      <c r="AN236" s="163"/>
      <c r="AO236" s="163"/>
      <c r="AP236" s="163"/>
      <c r="AQ236" s="163"/>
      <c r="AR236" s="163"/>
      <c r="AS236" s="163"/>
      <c r="AT236" s="163"/>
      <c r="AU236" s="163"/>
      <c r="AV236" s="163"/>
      <c r="AW236" s="163"/>
      <c r="AX236" s="163"/>
      <c r="AY236" s="163"/>
      <c r="AZ236" s="163"/>
      <c r="BA236" s="163"/>
      <c r="BB236" s="163"/>
      <c r="BC236" s="163"/>
      <c r="BD236" s="163"/>
    </row>
    <row r="237" spans="1:56" s="1" customFormat="1" ht="14.25" customHeight="1">
      <c r="A237" s="2">
        <v>235</v>
      </c>
      <c r="B237" s="43" t="s">
        <v>535</v>
      </c>
      <c r="C237" s="42">
        <v>68004494</v>
      </c>
      <c r="D237" s="133" t="s">
        <v>536</v>
      </c>
      <c r="E237" s="35">
        <v>4</v>
      </c>
      <c r="F237" s="35">
        <v>4</v>
      </c>
      <c r="G237" s="35" t="s">
        <v>504</v>
      </c>
      <c r="H237" s="36"/>
      <c r="I237" s="37">
        <f t="shared" si="15"/>
        <v>0</v>
      </c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>
        <f t="shared" si="12"/>
        <v>0</v>
      </c>
      <c r="W237" s="36"/>
      <c r="X237" s="38">
        <v>30000</v>
      </c>
      <c r="Y237" s="38" t="str">
        <f t="shared" si="13"/>
        <v>无需保养</v>
      </c>
      <c r="Z237" s="38">
        <f t="shared" si="14"/>
        <v>1</v>
      </c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  <c r="AO237" s="163"/>
      <c r="AP237" s="163"/>
      <c r="AQ237" s="163"/>
      <c r="AR237" s="163"/>
      <c r="AS237" s="163"/>
      <c r="AT237" s="163"/>
      <c r="AU237" s="163"/>
      <c r="AV237" s="163"/>
      <c r="AW237" s="163"/>
      <c r="AX237" s="163"/>
      <c r="AY237" s="163"/>
      <c r="AZ237" s="163"/>
      <c r="BA237" s="163"/>
      <c r="BB237" s="163"/>
      <c r="BC237" s="163"/>
      <c r="BD237" s="163"/>
    </row>
    <row r="238" spans="1:56" s="1" customFormat="1" ht="14.25" customHeight="1">
      <c r="A238" s="2">
        <v>236</v>
      </c>
      <c r="B238" s="43" t="s">
        <v>537</v>
      </c>
      <c r="C238" s="42">
        <v>68004495</v>
      </c>
      <c r="D238" s="133" t="s">
        <v>538</v>
      </c>
      <c r="E238" s="35">
        <v>4</v>
      </c>
      <c r="F238" s="35">
        <v>4</v>
      </c>
      <c r="G238" s="35" t="s">
        <v>504</v>
      </c>
      <c r="H238" s="36"/>
      <c r="I238" s="37">
        <f t="shared" si="15"/>
        <v>0</v>
      </c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>
        <f t="shared" si="12"/>
        <v>0</v>
      </c>
      <c r="W238" s="36"/>
      <c r="X238" s="38">
        <v>30000</v>
      </c>
      <c r="Y238" s="38" t="str">
        <f t="shared" si="13"/>
        <v>无需保养</v>
      </c>
      <c r="Z238" s="38">
        <f t="shared" si="14"/>
        <v>1</v>
      </c>
      <c r="AA238" s="163"/>
      <c r="AB238" s="163"/>
      <c r="AC238" s="163"/>
      <c r="AD238" s="163"/>
      <c r="AE238" s="163"/>
      <c r="AF238" s="163"/>
      <c r="AG238" s="163"/>
      <c r="AH238" s="163"/>
      <c r="AI238" s="163"/>
      <c r="AJ238" s="163"/>
      <c r="AK238" s="163"/>
      <c r="AL238" s="163"/>
      <c r="AM238" s="163"/>
      <c r="AN238" s="163"/>
      <c r="AO238" s="163"/>
      <c r="AP238" s="163"/>
      <c r="AQ238" s="163"/>
      <c r="AR238" s="163"/>
      <c r="AS238" s="163"/>
      <c r="AT238" s="163"/>
      <c r="AU238" s="163"/>
      <c r="AV238" s="163"/>
      <c r="AW238" s="163"/>
      <c r="AX238" s="163"/>
      <c r="AY238" s="163"/>
      <c r="AZ238" s="163"/>
      <c r="BA238" s="163"/>
      <c r="BB238" s="163"/>
      <c r="BC238" s="163"/>
      <c r="BD238" s="163"/>
    </row>
    <row r="239" spans="1:56" s="1" customFormat="1" ht="14.25" customHeight="1">
      <c r="A239" s="2">
        <v>237</v>
      </c>
      <c r="B239" s="43" t="s">
        <v>539</v>
      </c>
      <c r="C239" s="42">
        <v>68004496</v>
      </c>
      <c r="D239" s="133" t="s">
        <v>540</v>
      </c>
      <c r="E239" s="35">
        <v>4</v>
      </c>
      <c r="F239" s="35">
        <v>4</v>
      </c>
      <c r="G239" s="35" t="s">
        <v>504</v>
      </c>
      <c r="H239" s="36"/>
      <c r="I239" s="37">
        <f t="shared" si="15"/>
        <v>0</v>
      </c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>
        <f t="shared" si="12"/>
        <v>0</v>
      </c>
      <c r="W239" s="36"/>
      <c r="X239" s="38">
        <v>30000</v>
      </c>
      <c r="Y239" s="38" t="str">
        <f t="shared" si="13"/>
        <v>无需保养</v>
      </c>
      <c r="Z239" s="38">
        <f t="shared" si="14"/>
        <v>1</v>
      </c>
      <c r="AA239" s="163"/>
      <c r="AB239" s="163"/>
      <c r="AC239" s="163"/>
      <c r="AD239" s="163"/>
      <c r="AE239" s="163"/>
      <c r="AF239" s="163"/>
      <c r="AG239" s="163"/>
      <c r="AH239" s="163"/>
      <c r="AI239" s="163"/>
      <c r="AJ239" s="163"/>
      <c r="AK239" s="163"/>
      <c r="AL239" s="163"/>
      <c r="AM239" s="163"/>
      <c r="AN239" s="163"/>
      <c r="AO239" s="163"/>
      <c r="AP239" s="163"/>
      <c r="AQ239" s="163"/>
      <c r="AR239" s="163"/>
      <c r="AS239" s="163"/>
      <c r="AT239" s="163"/>
      <c r="AU239" s="163"/>
      <c r="AV239" s="163"/>
      <c r="AW239" s="163"/>
      <c r="AX239" s="163"/>
      <c r="AY239" s="163"/>
      <c r="AZ239" s="163"/>
      <c r="BA239" s="163"/>
      <c r="BB239" s="163"/>
      <c r="BC239" s="163"/>
      <c r="BD239" s="163"/>
    </row>
    <row r="240" spans="1:56" s="1" customFormat="1" ht="14.25" customHeight="1">
      <c r="A240" s="2">
        <v>238</v>
      </c>
      <c r="B240" s="43" t="s">
        <v>541</v>
      </c>
      <c r="C240" s="42">
        <v>68004497</v>
      </c>
      <c r="D240" s="133" t="s">
        <v>542</v>
      </c>
      <c r="E240" s="35">
        <v>4</v>
      </c>
      <c r="F240" s="35">
        <v>4</v>
      </c>
      <c r="G240" s="35" t="s">
        <v>504</v>
      </c>
      <c r="H240" s="36"/>
      <c r="I240" s="37">
        <f t="shared" si="15"/>
        <v>0</v>
      </c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>
        <f t="shared" si="12"/>
        <v>0</v>
      </c>
      <c r="W240" s="36"/>
      <c r="X240" s="38">
        <v>30000</v>
      </c>
      <c r="Y240" s="38" t="str">
        <f t="shared" si="13"/>
        <v>无需保养</v>
      </c>
      <c r="Z240" s="38">
        <f t="shared" si="14"/>
        <v>1</v>
      </c>
      <c r="AA240" s="163"/>
      <c r="AB240" s="163"/>
      <c r="AC240" s="163"/>
      <c r="AD240" s="163"/>
      <c r="AE240" s="163"/>
      <c r="AF240" s="163"/>
      <c r="AG240" s="163"/>
      <c r="AH240" s="163"/>
      <c r="AI240" s="163"/>
      <c r="AJ240" s="163"/>
      <c r="AK240" s="163"/>
      <c r="AL240" s="163"/>
      <c r="AM240" s="163"/>
      <c r="AN240" s="163"/>
      <c r="AO240" s="163"/>
      <c r="AP240" s="163"/>
      <c r="AQ240" s="163"/>
      <c r="AR240" s="163"/>
      <c r="AS240" s="163"/>
      <c r="AT240" s="163"/>
      <c r="AU240" s="163"/>
      <c r="AV240" s="163"/>
      <c r="AW240" s="163"/>
      <c r="AX240" s="163"/>
      <c r="AY240" s="163"/>
      <c r="AZ240" s="163"/>
      <c r="BA240" s="163"/>
      <c r="BB240" s="163"/>
      <c r="BC240" s="163"/>
      <c r="BD240" s="163"/>
    </row>
    <row r="241" spans="1:56" s="1" customFormat="1" ht="14.25" customHeight="1">
      <c r="A241" s="2">
        <v>239</v>
      </c>
      <c r="B241" s="43" t="s">
        <v>543</v>
      </c>
      <c r="C241" s="42">
        <v>68004498</v>
      </c>
      <c r="D241" s="133" t="s">
        <v>544</v>
      </c>
      <c r="E241" s="35">
        <v>4</v>
      </c>
      <c r="F241" s="35">
        <v>4</v>
      </c>
      <c r="G241" s="35" t="s">
        <v>504</v>
      </c>
      <c r="H241" s="36"/>
      <c r="I241" s="37">
        <f t="shared" si="15"/>
        <v>0</v>
      </c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>
        <f t="shared" si="12"/>
        <v>0</v>
      </c>
      <c r="W241" s="36"/>
      <c r="X241" s="38">
        <v>30000</v>
      </c>
      <c r="Y241" s="38" t="str">
        <f t="shared" si="13"/>
        <v>无需保养</v>
      </c>
      <c r="Z241" s="38">
        <f t="shared" si="14"/>
        <v>1</v>
      </c>
      <c r="AA241" s="163"/>
      <c r="AB241" s="163"/>
      <c r="AC241" s="163"/>
      <c r="AD241" s="163"/>
      <c r="AE241" s="163"/>
      <c r="AF241" s="163"/>
      <c r="AG241" s="163"/>
      <c r="AH241" s="163"/>
      <c r="AI241" s="163"/>
      <c r="AJ241" s="163"/>
      <c r="AK241" s="163"/>
      <c r="AL241" s="163"/>
      <c r="AM241" s="163"/>
      <c r="AN241" s="163"/>
      <c r="AO241" s="163"/>
      <c r="AP241" s="163"/>
      <c r="AQ241" s="163"/>
      <c r="AR241" s="163"/>
      <c r="AS241" s="163"/>
      <c r="AT241" s="163"/>
      <c r="AU241" s="163"/>
      <c r="AV241" s="163"/>
      <c r="AW241" s="163"/>
      <c r="AX241" s="163"/>
      <c r="AY241" s="163"/>
      <c r="AZ241" s="163"/>
      <c r="BA241" s="163"/>
      <c r="BB241" s="163"/>
      <c r="BC241" s="163"/>
      <c r="BD241" s="163"/>
    </row>
    <row r="242" spans="1:56" s="1" customFormat="1" ht="14.25" customHeight="1">
      <c r="A242" s="2">
        <v>240</v>
      </c>
      <c r="B242" s="43" t="s">
        <v>545</v>
      </c>
      <c r="C242" s="42">
        <v>68004499</v>
      </c>
      <c r="D242" s="133" t="s">
        <v>546</v>
      </c>
      <c r="E242" s="35">
        <v>4</v>
      </c>
      <c r="F242" s="35">
        <v>4</v>
      </c>
      <c r="G242" s="35" t="s">
        <v>504</v>
      </c>
      <c r="H242" s="36"/>
      <c r="I242" s="37">
        <f t="shared" si="15"/>
        <v>0</v>
      </c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>
        <f t="shared" si="12"/>
        <v>0</v>
      </c>
      <c r="W242" s="36"/>
      <c r="X242" s="38">
        <v>30000</v>
      </c>
      <c r="Y242" s="38" t="str">
        <f t="shared" si="13"/>
        <v>无需保养</v>
      </c>
      <c r="Z242" s="38">
        <f t="shared" si="14"/>
        <v>1</v>
      </c>
      <c r="AA242" s="163"/>
      <c r="AB242" s="163"/>
      <c r="AC242" s="163"/>
      <c r="AD242" s="163"/>
      <c r="AE242" s="163"/>
      <c r="AF242" s="163"/>
      <c r="AG242" s="163"/>
      <c r="AH242" s="163"/>
      <c r="AI242" s="163"/>
      <c r="AJ242" s="163"/>
      <c r="AK242" s="163"/>
      <c r="AL242" s="163"/>
      <c r="AM242" s="163"/>
      <c r="AN242" s="163"/>
      <c r="AO242" s="163"/>
      <c r="AP242" s="163"/>
      <c r="AQ242" s="163"/>
      <c r="AR242" s="163"/>
      <c r="AS242" s="163"/>
      <c r="AT242" s="163"/>
      <c r="AU242" s="163"/>
      <c r="AV242" s="163"/>
      <c r="AW242" s="163"/>
      <c r="AX242" s="163"/>
      <c r="AY242" s="163"/>
      <c r="AZ242" s="163"/>
      <c r="BA242" s="163"/>
      <c r="BB242" s="163"/>
      <c r="BC242" s="163"/>
      <c r="BD242" s="163"/>
    </row>
    <row r="243" spans="1:56" s="1" customFormat="1" ht="14.25" customHeight="1">
      <c r="A243" s="2">
        <v>241</v>
      </c>
      <c r="B243" s="105" t="s">
        <v>547</v>
      </c>
      <c r="C243" s="42">
        <v>68004500</v>
      </c>
      <c r="D243" s="133" t="s">
        <v>548</v>
      </c>
      <c r="E243" s="35">
        <v>4</v>
      </c>
      <c r="F243" s="35">
        <v>4</v>
      </c>
      <c r="G243" s="35" t="s">
        <v>504</v>
      </c>
      <c r="H243" s="36"/>
      <c r="I243" s="37">
        <f t="shared" si="15"/>
        <v>0</v>
      </c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>
        <f t="shared" si="12"/>
        <v>0</v>
      </c>
      <c r="W243" s="36"/>
      <c r="X243" s="38">
        <v>30000</v>
      </c>
      <c r="Y243" s="38" t="str">
        <f t="shared" si="13"/>
        <v>无需保养</v>
      </c>
      <c r="Z243" s="38">
        <f t="shared" si="14"/>
        <v>1</v>
      </c>
      <c r="AA243" s="163"/>
      <c r="AB243" s="163"/>
      <c r="AC243" s="163"/>
      <c r="AD243" s="163"/>
      <c r="AE243" s="163"/>
      <c r="AF243" s="163"/>
      <c r="AG243" s="163"/>
      <c r="AH243" s="163"/>
      <c r="AI243" s="163"/>
      <c r="AJ243" s="163"/>
      <c r="AK243" s="163"/>
      <c r="AL243" s="163"/>
      <c r="AM243" s="163"/>
      <c r="AN243" s="163"/>
      <c r="AO243" s="163"/>
      <c r="AP243" s="163"/>
      <c r="AQ243" s="163"/>
      <c r="AR243" s="163"/>
      <c r="AS243" s="163"/>
      <c r="AT243" s="163"/>
      <c r="AU243" s="163"/>
      <c r="AV243" s="163"/>
      <c r="AW243" s="163"/>
      <c r="AX243" s="163"/>
      <c r="AY243" s="163"/>
      <c r="AZ243" s="163"/>
      <c r="BA243" s="163"/>
      <c r="BB243" s="163"/>
      <c r="BC243" s="163"/>
      <c r="BD243" s="163"/>
    </row>
    <row r="244" spans="1:56" s="1" customFormat="1" ht="14.25" customHeight="1">
      <c r="A244" s="2">
        <v>242</v>
      </c>
      <c r="B244" s="43" t="s">
        <v>549</v>
      </c>
      <c r="C244" s="42">
        <v>68004501</v>
      </c>
      <c r="D244" s="133" t="s">
        <v>550</v>
      </c>
      <c r="E244" s="35">
        <v>4</v>
      </c>
      <c r="F244" s="35">
        <v>4</v>
      </c>
      <c r="G244" s="35" t="s">
        <v>504</v>
      </c>
      <c r="H244" s="36"/>
      <c r="I244" s="37">
        <f t="shared" si="15"/>
        <v>0</v>
      </c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>
        <f t="shared" si="12"/>
        <v>0</v>
      </c>
      <c r="W244" s="36"/>
      <c r="X244" s="38">
        <v>30000</v>
      </c>
      <c r="Y244" s="38" t="str">
        <f t="shared" si="13"/>
        <v>无需保养</v>
      </c>
      <c r="Z244" s="38">
        <f t="shared" si="14"/>
        <v>1</v>
      </c>
      <c r="AA244" s="163"/>
      <c r="AB244" s="163"/>
      <c r="AC244" s="163"/>
      <c r="AD244" s="163"/>
      <c r="AE244" s="163"/>
      <c r="AF244" s="163"/>
      <c r="AG244" s="163"/>
      <c r="AH244" s="163"/>
      <c r="AI244" s="163"/>
      <c r="AJ244" s="163"/>
      <c r="AK244" s="163"/>
      <c r="AL244" s="163"/>
      <c r="AM244" s="163"/>
      <c r="AN244" s="163"/>
      <c r="AO244" s="163"/>
      <c r="AP244" s="163"/>
      <c r="AQ244" s="163"/>
      <c r="AR244" s="163"/>
      <c r="AS244" s="163"/>
      <c r="AT244" s="163"/>
      <c r="AU244" s="163"/>
      <c r="AV244" s="163"/>
      <c r="AW244" s="163"/>
      <c r="AX244" s="163"/>
      <c r="AY244" s="163"/>
      <c r="AZ244" s="163"/>
      <c r="BA244" s="163"/>
      <c r="BB244" s="163"/>
      <c r="BC244" s="163"/>
      <c r="BD244" s="163"/>
    </row>
    <row r="245" spans="1:56" s="1" customFormat="1" ht="14.25" customHeight="1">
      <c r="A245" s="2">
        <v>243</v>
      </c>
      <c r="B245" s="43" t="s">
        <v>551</v>
      </c>
      <c r="C245" s="42">
        <v>68004502</v>
      </c>
      <c r="D245" s="133" t="s">
        <v>552</v>
      </c>
      <c r="E245" s="35">
        <v>4</v>
      </c>
      <c r="F245" s="35">
        <v>4</v>
      </c>
      <c r="G245" s="35" t="s">
        <v>504</v>
      </c>
      <c r="H245" s="36"/>
      <c r="I245" s="37">
        <f t="shared" si="15"/>
        <v>0</v>
      </c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>
        <f t="shared" si="12"/>
        <v>0</v>
      </c>
      <c r="W245" s="36"/>
      <c r="X245" s="38">
        <v>30000</v>
      </c>
      <c r="Y245" s="38" t="str">
        <f t="shared" si="13"/>
        <v>无需保养</v>
      </c>
      <c r="Z245" s="38">
        <f t="shared" si="14"/>
        <v>1</v>
      </c>
      <c r="AA245" s="163"/>
      <c r="AB245" s="163"/>
      <c r="AC245" s="163"/>
      <c r="AD245" s="163"/>
      <c r="AE245" s="163"/>
      <c r="AF245" s="163"/>
      <c r="AG245" s="163"/>
      <c r="AH245" s="163"/>
      <c r="AI245" s="163"/>
      <c r="AJ245" s="163"/>
      <c r="AK245" s="163"/>
      <c r="AL245" s="163"/>
      <c r="AM245" s="163"/>
      <c r="AN245" s="163"/>
      <c r="AO245" s="163"/>
      <c r="AP245" s="163"/>
      <c r="AQ245" s="163"/>
      <c r="AR245" s="163"/>
      <c r="AS245" s="163"/>
      <c r="AT245" s="163"/>
      <c r="AU245" s="163"/>
      <c r="AV245" s="163"/>
      <c r="AW245" s="163"/>
      <c r="AX245" s="163"/>
      <c r="AY245" s="163"/>
      <c r="AZ245" s="163"/>
      <c r="BA245" s="163"/>
      <c r="BB245" s="163"/>
      <c r="BC245" s="163"/>
      <c r="BD245" s="163"/>
    </row>
    <row r="246" spans="1:56" s="1" customFormat="1" ht="14.25" customHeight="1">
      <c r="A246" s="2">
        <v>244</v>
      </c>
      <c r="B246" s="43" t="s">
        <v>553</v>
      </c>
      <c r="C246" s="42">
        <v>68004503</v>
      </c>
      <c r="D246" s="133" t="s">
        <v>554</v>
      </c>
      <c r="E246" s="35">
        <v>4</v>
      </c>
      <c r="F246" s="35">
        <v>4</v>
      </c>
      <c r="G246" s="35" t="s">
        <v>504</v>
      </c>
      <c r="H246" s="36"/>
      <c r="I246" s="37">
        <f t="shared" si="15"/>
        <v>0</v>
      </c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>
        <f t="shared" si="12"/>
        <v>0</v>
      </c>
      <c r="W246" s="36"/>
      <c r="X246" s="38">
        <v>30000</v>
      </c>
      <c r="Y246" s="38" t="str">
        <f t="shared" si="13"/>
        <v>无需保养</v>
      </c>
      <c r="Z246" s="38">
        <f t="shared" si="14"/>
        <v>1</v>
      </c>
      <c r="AA246" s="163"/>
      <c r="AB246" s="163"/>
      <c r="AC246" s="163"/>
      <c r="AD246" s="163"/>
      <c r="AE246" s="163"/>
      <c r="AF246" s="163"/>
      <c r="AG246" s="163"/>
      <c r="AH246" s="163"/>
      <c r="AI246" s="163"/>
      <c r="AJ246" s="163"/>
      <c r="AK246" s="163"/>
      <c r="AL246" s="163"/>
      <c r="AM246" s="163"/>
      <c r="AN246" s="163"/>
      <c r="AO246" s="163"/>
      <c r="AP246" s="163"/>
      <c r="AQ246" s="163"/>
      <c r="AR246" s="163"/>
      <c r="AS246" s="163"/>
      <c r="AT246" s="163"/>
      <c r="AU246" s="163"/>
      <c r="AV246" s="163"/>
      <c r="AW246" s="163"/>
      <c r="AX246" s="163"/>
      <c r="AY246" s="163"/>
      <c r="AZ246" s="163"/>
      <c r="BA246" s="163"/>
      <c r="BB246" s="163"/>
      <c r="BC246" s="163"/>
      <c r="BD246" s="163"/>
    </row>
    <row r="247" spans="1:56" s="1" customFormat="1" ht="14.25" customHeight="1">
      <c r="A247" s="2">
        <v>245</v>
      </c>
      <c r="B247" s="43" t="s">
        <v>555</v>
      </c>
      <c r="C247" s="42">
        <v>68004570</v>
      </c>
      <c r="D247" s="133" t="s">
        <v>556</v>
      </c>
      <c r="E247" s="35">
        <v>4</v>
      </c>
      <c r="F247" s="35">
        <v>4</v>
      </c>
      <c r="G247" s="35" t="s">
        <v>427</v>
      </c>
      <c r="H247" s="36"/>
      <c r="I247" s="37">
        <f t="shared" si="15"/>
        <v>0</v>
      </c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>
        <f t="shared" si="12"/>
        <v>0</v>
      </c>
      <c r="W247" s="36"/>
      <c r="X247" s="38">
        <v>30000</v>
      </c>
      <c r="Y247" s="38" t="str">
        <f t="shared" si="13"/>
        <v>无需保养</v>
      </c>
      <c r="Z247" s="38">
        <f t="shared" si="14"/>
        <v>1</v>
      </c>
      <c r="AA247" s="163"/>
      <c r="AB247" s="163"/>
      <c r="AC247" s="163"/>
      <c r="AD247" s="163"/>
      <c r="AE247" s="163"/>
      <c r="AF247" s="163"/>
      <c r="AG247" s="163"/>
      <c r="AH247" s="163"/>
      <c r="AI247" s="163"/>
      <c r="AJ247" s="163"/>
      <c r="AK247" s="163"/>
      <c r="AL247" s="163"/>
      <c r="AM247" s="163"/>
      <c r="AN247" s="163"/>
      <c r="AO247" s="163"/>
      <c r="AP247" s="163"/>
      <c r="AQ247" s="163"/>
      <c r="AR247" s="163"/>
      <c r="AS247" s="163"/>
      <c r="AT247" s="163"/>
      <c r="AU247" s="163"/>
      <c r="AV247" s="163"/>
      <c r="AW247" s="163"/>
      <c r="AX247" s="163"/>
      <c r="AY247" s="163"/>
      <c r="AZ247" s="163"/>
      <c r="BA247" s="163"/>
      <c r="BB247" s="163"/>
      <c r="BC247" s="163"/>
      <c r="BD247" s="163"/>
    </row>
    <row r="248" spans="1:56" s="1" customFormat="1" ht="14.25" customHeight="1">
      <c r="A248" s="2">
        <v>246</v>
      </c>
      <c r="B248" s="43" t="s">
        <v>557</v>
      </c>
      <c r="C248" s="42">
        <v>68004571</v>
      </c>
      <c r="D248" s="133" t="s">
        <v>558</v>
      </c>
      <c r="E248" s="35">
        <v>4</v>
      </c>
      <c r="F248" s="35">
        <v>4</v>
      </c>
      <c r="G248" s="35" t="s">
        <v>427</v>
      </c>
      <c r="H248" s="36"/>
      <c r="I248" s="37">
        <f t="shared" si="15"/>
        <v>0</v>
      </c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>
        <f t="shared" si="12"/>
        <v>0</v>
      </c>
      <c r="W248" s="36"/>
      <c r="X248" s="38">
        <v>30000</v>
      </c>
      <c r="Y248" s="38" t="str">
        <f t="shared" si="13"/>
        <v>无需保养</v>
      </c>
      <c r="Z248" s="38">
        <f t="shared" si="14"/>
        <v>1</v>
      </c>
      <c r="AA248" s="163"/>
      <c r="AB248" s="163"/>
      <c r="AC248" s="163"/>
      <c r="AD248" s="163"/>
      <c r="AE248" s="163"/>
      <c r="AF248" s="163"/>
      <c r="AG248" s="163"/>
      <c r="AH248" s="163"/>
      <c r="AI248" s="163"/>
      <c r="AJ248" s="163"/>
      <c r="AK248" s="163"/>
      <c r="AL248" s="163"/>
      <c r="AM248" s="163"/>
      <c r="AN248" s="163"/>
      <c r="AO248" s="163"/>
      <c r="AP248" s="163"/>
      <c r="AQ248" s="163"/>
      <c r="AR248" s="163"/>
      <c r="AS248" s="163"/>
      <c r="AT248" s="163"/>
      <c r="AU248" s="163"/>
      <c r="AV248" s="163"/>
      <c r="AW248" s="163"/>
      <c r="AX248" s="163"/>
      <c r="AY248" s="163"/>
      <c r="AZ248" s="163"/>
      <c r="BA248" s="163"/>
      <c r="BB248" s="163"/>
      <c r="BC248" s="163"/>
      <c r="BD248" s="163"/>
    </row>
    <row r="249" spans="1:56" s="1" customFormat="1" ht="14.25" customHeight="1">
      <c r="A249" s="2">
        <v>247</v>
      </c>
      <c r="B249" s="43" t="s">
        <v>559</v>
      </c>
      <c r="C249" s="42">
        <v>68004573</v>
      </c>
      <c r="D249" s="133" t="s">
        <v>560</v>
      </c>
      <c r="E249" s="35">
        <v>4</v>
      </c>
      <c r="F249" s="35">
        <v>4</v>
      </c>
      <c r="G249" s="35" t="s">
        <v>460</v>
      </c>
      <c r="H249" s="36"/>
      <c r="I249" s="37">
        <f t="shared" si="15"/>
        <v>0</v>
      </c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>
        <f t="shared" si="12"/>
        <v>0</v>
      </c>
      <c r="W249" s="36"/>
      <c r="X249" s="38">
        <v>30000</v>
      </c>
      <c r="Y249" s="38" t="str">
        <f t="shared" si="13"/>
        <v>无需保养</v>
      </c>
      <c r="Z249" s="38">
        <f t="shared" si="14"/>
        <v>1</v>
      </c>
      <c r="AA249" s="163"/>
      <c r="AB249" s="163"/>
      <c r="AC249" s="163"/>
      <c r="AD249" s="163"/>
      <c r="AE249" s="163"/>
      <c r="AF249" s="163"/>
      <c r="AG249" s="163"/>
      <c r="AH249" s="163"/>
      <c r="AI249" s="163"/>
      <c r="AJ249" s="163"/>
      <c r="AK249" s="163"/>
      <c r="AL249" s="163"/>
      <c r="AM249" s="163"/>
      <c r="AN249" s="163"/>
      <c r="AO249" s="163"/>
      <c r="AP249" s="163"/>
      <c r="AQ249" s="163"/>
      <c r="AR249" s="163"/>
      <c r="AS249" s="163"/>
      <c r="AT249" s="163"/>
      <c r="AU249" s="163"/>
      <c r="AV249" s="163"/>
      <c r="AW249" s="163"/>
      <c r="AX249" s="163"/>
      <c r="AY249" s="163"/>
      <c r="AZ249" s="163"/>
      <c r="BA249" s="163"/>
      <c r="BB249" s="163"/>
      <c r="BC249" s="163"/>
      <c r="BD249" s="163"/>
    </row>
    <row r="250" spans="1:56" s="1" customFormat="1" ht="14.25" customHeight="1">
      <c r="A250" s="2">
        <v>248</v>
      </c>
      <c r="B250" s="43" t="s">
        <v>561</v>
      </c>
      <c r="C250" s="42">
        <v>68004574</v>
      </c>
      <c r="D250" s="133" t="s">
        <v>562</v>
      </c>
      <c r="E250" s="35">
        <v>4</v>
      </c>
      <c r="F250" s="35">
        <v>4</v>
      </c>
      <c r="G250" s="35" t="s">
        <v>460</v>
      </c>
      <c r="H250" s="36"/>
      <c r="I250" s="37">
        <f t="shared" si="15"/>
        <v>0</v>
      </c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>
        <f t="shared" si="12"/>
        <v>0</v>
      </c>
      <c r="W250" s="36"/>
      <c r="X250" s="38">
        <v>30000</v>
      </c>
      <c r="Y250" s="38" t="str">
        <f t="shared" si="13"/>
        <v>无需保养</v>
      </c>
      <c r="Z250" s="38">
        <f t="shared" si="14"/>
        <v>1</v>
      </c>
      <c r="AA250" s="163"/>
      <c r="AB250" s="163"/>
      <c r="AC250" s="163"/>
      <c r="AD250" s="163"/>
      <c r="AE250" s="163"/>
      <c r="AF250" s="163"/>
      <c r="AG250" s="163"/>
      <c r="AH250" s="163"/>
      <c r="AI250" s="163"/>
      <c r="AJ250" s="163"/>
      <c r="AK250" s="163"/>
      <c r="AL250" s="163"/>
      <c r="AM250" s="163"/>
      <c r="AN250" s="163"/>
      <c r="AO250" s="163"/>
      <c r="AP250" s="163"/>
      <c r="AQ250" s="163"/>
      <c r="AR250" s="163"/>
      <c r="AS250" s="163"/>
      <c r="AT250" s="163"/>
      <c r="AU250" s="163"/>
      <c r="AV250" s="163"/>
      <c r="AW250" s="163"/>
      <c r="AX250" s="163"/>
      <c r="AY250" s="163"/>
      <c r="AZ250" s="163"/>
      <c r="BA250" s="163"/>
      <c r="BB250" s="163"/>
      <c r="BC250" s="163"/>
      <c r="BD250" s="163"/>
    </row>
    <row r="251" spans="1:56" s="1" customFormat="1" ht="14.25" customHeight="1">
      <c r="A251" s="2">
        <v>249</v>
      </c>
      <c r="B251" s="43" t="s">
        <v>563</v>
      </c>
      <c r="C251" s="42">
        <v>68005005</v>
      </c>
      <c r="D251" s="133" t="s">
        <v>564</v>
      </c>
      <c r="E251" s="35">
        <v>4</v>
      </c>
      <c r="F251" s="35">
        <v>4</v>
      </c>
      <c r="G251" s="35" t="s">
        <v>460</v>
      </c>
      <c r="H251" s="36"/>
      <c r="I251" s="37">
        <f t="shared" si="15"/>
        <v>0</v>
      </c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>
        <f t="shared" si="12"/>
        <v>0</v>
      </c>
      <c r="W251" s="36"/>
      <c r="X251" s="38">
        <v>30000</v>
      </c>
      <c r="Y251" s="38" t="str">
        <f t="shared" si="13"/>
        <v>无需保养</v>
      </c>
      <c r="Z251" s="38">
        <f t="shared" si="14"/>
        <v>1</v>
      </c>
      <c r="AA251" s="163"/>
      <c r="AB251" s="163"/>
      <c r="AC251" s="163"/>
      <c r="AD251" s="163"/>
      <c r="AE251" s="163"/>
      <c r="AF251" s="163"/>
      <c r="AG251" s="163"/>
      <c r="AH251" s="163"/>
      <c r="AI251" s="163"/>
      <c r="AJ251" s="163"/>
      <c r="AK251" s="163"/>
      <c r="AL251" s="163"/>
      <c r="AM251" s="163"/>
      <c r="AN251" s="163"/>
      <c r="AO251" s="163"/>
      <c r="AP251" s="163"/>
      <c r="AQ251" s="163"/>
      <c r="AR251" s="163"/>
      <c r="AS251" s="163"/>
      <c r="AT251" s="163"/>
      <c r="AU251" s="163"/>
      <c r="AV251" s="163"/>
      <c r="AW251" s="163"/>
      <c r="AX251" s="163"/>
      <c r="AY251" s="163"/>
      <c r="AZ251" s="163"/>
      <c r="BA251" s="163"/>
      <c r="BB251" s="163"/>
      <c r="BC251" s="163"/>
      <c r="BD251" s="163"/>
    </row>
    <row r="252" spans="1:56" s="1" customFormat="1" ht="14.25" customHeight="1">
      <c r="A252" s="2">
        <v>250</v>
      </c>
      <c r="B252" s="43" t="s">
        <v>565</v>
      </c>
      <c r="C252" s="42">
        <v>68005006</v>
      </c>
      <c r="D252" s="133" t="s">
        <v>566</v>
      </c>
      <c r="E252" s="35">
        <v>4</v>
      </c>
      <c r="F252" s="35">
        <v>4</v>
      </c>
      <c r="G252" s="35" t="s">
        <v>460</v>
      </c>
      <c r="H252" s="36"/>
      <c r="I252" s="37">
        <f t="shared" si="15"/>
        <v>0</v>
      </c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>
        <f t="shared" si="12"/>
        <v>0</v>
      </c>
      <c r="W252" s="36"/>
      <c r="X252" s="38">
        <v>30000</v>
      </c>
      <c r="Y252" s="38" t="str">
        <f t="shared" si="13"/>
        <v>无需保养</v>
      </c>
      <c r="Z252" s="38">
        <f t="shared" si="14"/>
        <v>1</v>
      </c>
      <c r="AA252" s="163"/>
      <c r="AB252" s="163"/>
      <c r="AC252" s="163"/>
      <c r="AD252" s="163"/>
      <c r="AE252" s="163"/>
      <c r="AF252" s="163"/>
      <c r="AG252" s="163"/>
      <c r="AH252" s="163"/>
      <c r="AI252" s="163"/>
      <c r="AJ252" s="163"/>
      <c r="AK252" s="163"/>
      <c r="AL252" s="163"/>
      <c r="AM252" s="163"/>
      <c r="AN252" s="163"/>
      <c r="AO252" s="163"/>
      <c r="AP252" s="163"/>
      <c r="AQ252" s="163"/>
      <c r="AR252" s="163"/>
      <c r="AS252" s="163"/>
      <c r="AT252" s="163"/>
      <c r="AU252" s="163"/>
      <c r="AV252" s="163"/>
      <c r="AW252" s="163"/>
      <c r="AX252" s="163"/>
      <c r="AY252" s="163"/>
      <c r="AZ252" s="163"/>
      <c r="BA252" s="163"/>
      <c r="BB252" s="163"/>
      <c r="BC252" s="163"/>
      <c r="BD252" s="163"/>
    </row>
    <row r="253" spans="1:56" s="1" customFormat="1" ht="14.25" customHeight="1">
      <c r="A253" s="2">
        <v>251</v>
      </c>
      <c r="B253" s="43" t="s">
        <v>567</v>
      </c>
      <c r="C253" s="42">
        <v>68005007</v>
      </c>
      <c r="D253" s="133" t="s">
        <v>568</v>
      </c>
      <c r="E253" s="35">
        <v>4</v>
      </c>
      <c r="F253" s="35">
        <v>4</v>
      </c>
      <c r="G253" s="35" t="s">
        <v>460</v>
      </c>
      <c r="H253" s="36"/>
      <c r="I253" s="37">
        <f t="shared" si="15"/>
        <v>0</v>
      </c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>
        <f t="shared" si="12"/>
        <v>0</v>
      </c>
      <c r="W253" s="36"/>
      <c r="X253" s="38">
        <v>30000</v>
      </c>
      <c r="Y253" s="38" t="str">
        <f t="shared" si="13"/>
        <v>无需保养</v>
      </c>
      <c r="Z253" s="38">
        <f t="shared" si="14"/>
        <v>1</v>
      </c>
      <c r="AA253" s="163"/>
      <c r="AB253" s="163"/>
      <c r="AC253" s="163"/>
      <c r="AD253" s="163"/>
      <c r="AE253" s="163"/>
      <c r="AF253" s="163"/>
      <c r="AG253" s="163"/>
      <c r="AH253" s="163"/>
      <c r="AI253" s="163"/>
      <c r="AJ253" s="163"/>
      <c r="AK253" s="163"/>
      <c r="AL253" s="163"/>
      <c r="AM253" s="163"/>
      <c r="AN253" s="163"/>
      <c r="AO253" s="163"/>
      <c r="AP253" s="163"/>
      <c r="AQ253" s="163"/>
      <c r="AR253" s="163"/>
      <c r="AS253" s="163"/>
      <c r="AT253" s="163"/>
      <c r="AU253" s="163"/>
      <c r="AV253" s="163"/>
      <c r="AW253" s="163"/>
      <c r="AX253" s="163"/>
      <c r="AY253" s="163"/>
      <c r="AZ253" s="163"/>
      <c r="BA253" s="163"/>
      <c r="BB253" s="163"/>
      <c r="BC253" s="163"/>
      <c r="BD253" s="163"/>
    </row>
    <row r="254" spans="1:56" s="1" customFormat="1" ht="14.25" customHeight="1">
      <c r="A254" s="2">
        <v>252</v>
      </c>
      <c r="B254" s="43" t="s">
        <v>569</v>
      </c>
      <c r="C254" s="42">
        <v>68005008</v>
      </c>
      <c r="D254" s="133" t="s">
        <v>570</v>
      </c>
      <c r="E254" s="35">
        <v>8</v>
      </c>
      <c r="F254" s="35">
        <v>8</v>
      </c>
      <c r="G254" s="35" t="s">
        <v>460</v>
      </c>
      <c r="H254" s="36"/>
      <c r="I254" s="37">
        <f t="shared" si="15"/>
        <v>0</v>
      </c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>
        <f t="shared" si="12"/>
        <v>0</v>
      </c>
      <c r="W254" s="36"/>
      <c r="X254" s="38">
        <v>30000</v>
      </c>
      <c r="Y254" s="38" t="str">
        <f t="shared" si="13"/>
        <v>无需保养</v>
      </c>
      <c r="Z254" s="38">
        <f t="shared" si="14"/>
        <v>1</v>
      </c>
      <c r="AA254" s="163"/>
      <c r="AB254" s="163"/>
      <c r="AC254" s="163"/>
      <c r="AD254" s="163"/>
      <c r="AE254" s="163"/>
      <c r="AF254" s="163"/>
      <c r="AG254" s="163"/>
      <c r="AH254" s="163"/>
      <c r="AI254" s="163"/>
      <c r="AJ254" s="163"/>
      <c r="AK254" s="163"/>
      <c r="AL254" s="163"/>
      <c r="AM254" s="163"/>
      <c r="AN254" s="163"/>
      <c r="AO254" s="163"/>
      <c r="AP254" s="163"/>
      <c r="AQ254" s="163"/>
      <c r="AR254" s="163"/>
      <c r="AS254" s="163"/>
      <c r="AT254" s="163"/>
      <c r="AU254" s="163"/>
      <c r="AV254" s="163"/>
      <c r="AW254" s="163"/>
      <c r="AX254" s="163"/>
      <c r="AY254" s="163"/>
      <c r="AZ254" s="163"/>
      <c r="BA254" s="163"/>
      <c r="BB254" s="163"/>
      <c r="BC254" s="163"/>
      <c r="BD254" s="163"/>
    </row>
    <row r="255" spans="1:56" s="1" customFormat="1" ht="14.25" customHeight="1">
      <c r="A255" s="2">
        <v>253</v>
      </c>
      <c r="B255" s="43" t="s">
        <v>571</v>
      </c>
      <c r="C255" s="42">
        <v>68005009</v>
      </c>
      <c r="D255" s="133" t="s">
        <v>572</v>
      </c>
      <c r="E255" s="35">
        <v>8</v>
      </c>
      <c r="F255" s="35">
        <v>8</v>
      </c>
      <c r="G255" s="35" t="s">
        <v>427</v>
      </c>
      <c r="H255" s="36"/>
      <c r="I255" s="37">
        <f t="shared" si="15"/>
        <v>0</v>
      </c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>
        <f t="shared" si="12"/>
        <v>0</v>
      </c>
      <c r="W255" s="36"/>
      <c r="X255" s="38">
        <v>30000</v>
      </c>
      <c r="Y255" s="38" t="str">
        <f t="shared" si="13"/>
        <v>无需保养</v>
      </c>
      <c r="Z255" s="38">
        <f t="shared" si="14"/>
        <v>1</v>
      </c>
      <c r="AA255" s="163"/>
      <c r="AB255" s="163"/>
      <c r="AC255" s="163"/>
      <c r="AD255" s="163"/>
      <c r="AE255" s="163"/>
      <c r="AF255" s="163"/>
      <c r="AG255" s="163"/>
      <c r="AH255" s="163"/>
      <c r="AI255" s="163"/>
      <c r="AJ255" s="163"/>
      <c r="AK255" s="163"/>
      <c r="AL255" s="163"/>
      <c r="AM255" s="163"/>
      <c r="AN255" s="163"/>
      <c r="AO255" s="163"/>
      <c r="AP255" s="163"/>
      <c r="AQ255" s="163"/>
      <c r="AR255" s="163"/>
      <c r="AS255" s="163"/>
      <c r="AT255" s="163"/>
      <c r="AU255" s="163"/>
      <c r="AV255" s="163"/>
      <c r="AW255" s="163"/>
      <c r="AX255" s="163"/>
      <c r="AY255" s="163"/>
      <c r="AZ255" s="163"/>
      <c r="BA255" s="163"/>
      <c r="BB255" s="163"/>
      <c r="BC255" s="163"/>
      <c r="BD255" s="163"/>
    </row>
    <row r="256" spans="1:56" s="1" customFormat="1" ht="14.25" customHeight="1">
      <c r="A256" s="2">
        <v>254</v>
      </c>
      <c r="B256" s="43" t="s">
        <v>573</v>
      </c>
      <c r="C256" s="42">
        <v>68005010</v>
      </c>
      <c r="D256" s="133" t="s">
        <v>574</v>
      </c>
      <c r="E256" s="35">
        <v>4</v>
      </c>
      <c r="F256" s="35">
        <v>4</v>
      </c>
      <c r="G256" s="35" t="s">
        <v>460</v>
      </c>
      <c r="H256" s="36"/>
      <c r="I256" s="37">
        <f t="shared" si="15"/>
        <v>0</v>
      </c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>
        <f t="shared" si="12"/>
        <v>0</v>
      </c>
      <c r="W256" s="36"/>
      <c r="X256" s="38">
        <v>30000</v>
      </c>
      <c r="Y256" s="38" t="str">
        <f t="shared" si="13"/>
        <v>无需保养</v>
      </c>
      <c r="Z256" s="38">
        <f t="shared" si="14"/>
        <v>1</v>
      </c>
      <c r="AA256" s="163"/>
      <c r="AB256" s="163"/>
      <c r="AC256" s="163"/>
      <c r="AD256" s="163"/>
      <c r="AE256" s="163"/>
      <c r="AF256" s="163"/>
      <c r="AG256" s="163"/>
      <c r="AH256" s="163"/>
      <c r="AI256" s="163"/>
      <c r="AJ256" s="163"/>
      <c r="AK256" s="163"/>
      <c r="AL256" s="163"/>
      <c r="AM256" s="163"/>
      <c r="AN256" s="163"/>
      <c r="AO256" s="163"/>
      <c r="AP256" s="163"/>
      <c r="AQ256" s="163"/>
      <c r="AR256" s="163"/>
      <c r="AS256" s="163"/>
      <c r="AT256" s="163"/>
      <c r="AU256" s="163"/>
      <c r="AV256" s="163"/>
      <c r="AW256" s="163"/>
      <c r="AX256" s="163"/>
      <c r="AY256" s="163"/>
      <c r="AZ256" s="163"/>
      <c r="BA256" s="163"/>
      <c r="BB256" s="163"/>
      <c r="BC256" s="163"/>
      <c r="BD256" s="163"/>
    </row>
    <row r="257" spans="1:56" s="1" customFormat="1" ht="14.25" customHeight="1">
      <c r="A257" s="2">
        <v>255</v>
      </c>
      <c r="B257" s="43" t="s">
        <v>575</v>
      </c>
      <c r="C257" s="42">
        <v>68005011</v>
      </c>
      <c r="D257" s="133" t="s">
        <v>576</v>
      </c>
      <c r="E257" s="35">
        <v>4</v>
      </c>
      <c r="F257" s="35">
        <v>4</v>
      </c>
      <c r="G257" s="35" t="s">
        <v>460</v>
      </c>
      <c r="H257" s="36"/>
      <c r="I257" s="37">
        <f t="shared" si="15"/>
        <v>0</v>
      </c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>
        <f t="shared" si="12"/>
        <v>0</v>
      </c>
      <c r="W257" s="36"/>
      <c r="X257" s="38">
        <v>30000</v>
      </c>
      <c r="Y257" s="38" t="str">
        <f t="shared" si="13"/>
        <v>无需保养</v>
      </c>
      <c r="Z257" s="38">
        <f t="shared" si="14"/>
        <v>1</v>
      </c>
      <c r="AA257" s="163"/>
      <c r="AB257" s="163"/>
      <c r="AC257" s="163"/>
      <c r="AD257" s="163"/>
      <c r="AE257" s="163"/>
      <c r="AF257" s="163"/>
      <c r="AG257" s="163"/>
      <c r="AH257" s="163"/>
      <c r="AI257" s="163"/>
      <c r="AJ257" s="163"/>
      <c r="AK257" s="163"/>
      <c r="AL257" s="163"/>
      <c r="AM257" s="163"/>
      <c r="AN257" s="163"/>
      <c r="AO257" s="163"/>
      <c r="AP257" s="163"/>
      <c r="AQ257" s="163"/>
      <c r="AR257" s="163"/>
      <c r="AS257" s="163"/>
      <c r="AT257" s="163"/>
      <c r="AU257" s="163"/>
      <c r="AV257" s="163"/>
      <c r="AW257" s="163"/>
      <c r="AX257" s="163"/>
      <c r="AY257" s="163"/>
      <c r="AZ257" s="163"/>
      <c r="BA257" s="163"/>
      <c r="BB257" s="163"/>
      <c r="BC257" s="163"/>
      <c r="BD257" s="163"/>
    </row>
    <row r="258" spans="1:56" s="1" customFormat="1" ht="14.25" customHeight="1">
      <c r="A258" s="2">
        <v>256</v>
      </c>
      <c r="B258" s="43" t="s">
        <v>577</v>
      </c>
      <c r="C258" s="42">
        <v>68005012</v>
      </c>
      <c r="D258" s="133" t="s">
        <v>578</v>
      </c>
      <c r="E258" s="35">
        <v>4</v>
      </c>
      <c r="F258" s="35">
        <v>4</v>
      </c>
      <c r="G258" s="35" t="s">
        <v>460</v>
      </c>
      <c r="H258" s="36"/>
      <c r="I258" s="37">
        <f t="shared" si="15"/>
        <v>0</v>
      </c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>
        <f t="shared" si="12"/>
        <v>0</v>
      </c>
      <c r="W258" s="36"/>
      <c r="X258" s="38">
        <v>30000</v>
      </c>
      <c r="Y258" s="38" t="str">
        <f t="shared" si="13"/>
        <v>无需保养</v>
      </c>
      <c r="Z258" s="38">
        <f t="shared" si="14"/>
        <v>1</v>
      </c>
      <c r="AA258" s="163"/>
      <c r="AB258" s="163"/>
      <c r="AC258" s="163"/>
      <c r="AD258" s="163"/>
      <c r="AE258" s="163"/>
      <c r="AF258" s="163"/>
      <c r="AG258" s="163"/>
      <c r="AH258" s="163"/>
      <c r="AI258" s="163"/>
      <c r="AJ258" s="163"/>
      <c r="AK258" s="163"/>
      <c r="AL258" s="163"/>
      <c r="AM258" s="163"/>
      <c r="AN258" s="163"/>
      <c r="AO258" s="163"/>
      <c r="AP258" s="163"/>
      <c r="AQ258" s="163"/>
      <c r="AR258" s="163"/>
      <c r="AS258" s="163"/>
      <c r="AT258" s="163"/>
      <c r="AU258" s="163"/>
      <c r="AV258" s="163"/>
      <c r="AW258" s="163"/>
      <c r="AX258" s="163"/>
      <c r="AY258" s="163"/>
      <c r="AZ258" s="163"/>
      <c r="BA258" s="163"/>
      <c r="BB258" s="163"/>
      <c r="BC258" s="163"/>
      <c r="BD258" s="163"/>
    </row>
    <row r="259" spans="1:56" s="1" customFormat="1" ht="14.25" customHeight="1">
      <c r="A259" s="2">
        <v>257</v>
      </c>
      <c r="B259" s="43" t="s">
        <v>579</v>
      </c>
      <c r="C259" s="42">
        <v>68005013</v>
      </c>
      <c r="D259" s="133" t="s">
        <v>580</v>
      </c>
      <c r="E259" s="35">
        <v>4</v>
      </c>
      <c r="F259" s="35">
        <v>4</v>
      </c>
      <c r="G259" s="35" t="s">
        <v>460</v>
      </c>
      <c r="H259" s="36"/>
      <c r="I259" s="37">
        <f t="shared" si="15"/>
        <v>0</v>
      </c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>
        <f t="shared" si="12"/>
        <v>0</v>
      </c>
      <c r="W259" s="36"/>
      <c r="X259" s="38">
        <v>30000</v>
      </c>
      <c r="Y259" s="38" t="str">
        <f t="shared" si="13"/>
        <v>无需保养</v>
      </c>
      <c r="Z259" s="38">
        <f t="shared" si="14"/>
        <v>1</v>
      </c>
      <c r="AA259" s="163"/>
      <c r="AB259" s="163"/>
      <c r="AC259" s="163"/>
      <c r="AD259" s="163"/>
      <c r="AE259" s="163"/>
      <c r="AF259" s="163"/>
      <c r="AG259" s="163"/>
      <c r="AH259" s="163"/>
      <c r="AI259" s="163"/>
      <c r="AJ259" s="163"/>
      <c r="AK259" s="163"/>
      <c r="AL259" s="163"/>
      <c r="AM259" s="163"/>
      <c r="AN259" s="163"/>
      <c r="AO259" s="163"/>
      <c r="AP259" s="163"/>
      <c r="AQ259" s="163"/>
      <c r="AR259" s="163"/>
      <c r="AS259" s="163"/>
      <c r="AT259" s="163"/>
      <c r="AU259" s="163"/>
      <c r="AV259" s="163"/>
      <c r="AW259" s="163"/>
      <c r="AX259" s="163"/>
      <c r="AY259" s="163"/>
      <c r="AZ259" s="163"/>
      <c r="BA259" s="163"/>
      <c r="BB259" s="163"/>
      <c r="BC259" s="163"/>
      <c r="BD259" s="163"/>
    </row>
    <row r="260" spans="1:56" s="1" customFormat="1" ht="14.25" customHeight="1">
      <c r="A260" s="2">
        <v>258</v>
      </c>
      <c r="B260" s="43" t="s">
        <v>581</v>
      </c>
      <c r="C260" s="42">
        <v>68005014</v>
      </c>
      <c r="D260" s="133" t="s">
        <v>582</v>
      </c>
      <c r="E260" s="35">
        <v>4</v>
      </c>
      <c r="F260" s="35">
        <v>4</v>
      </c>
      <c r="G260" s="35" t="s">
        <v>460</v>
      </c>
      <c r="H260" s="36"/>
      <c r="I260" s="37">
        <f t="shared" si="15"/>
        <v>0</v>
      </c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>
        <f t="shared" si="12"/>
        <v>0</v>
      </c>
      <c r="W260" s="36"/>
      <c r="X260" s="38">
        <v>30000</v>
      </c>
      <c r="Y260" s="38" t="str">
        <f t="shared" si="13"/>
        <v>无需保养</v>
      </c>
      <c r="Z260" s="38">
        <f t="shared" si="14"/>
        <v>1</v>
      </c>
      <c r="AA260" s="163"/>
      <c r="AB260" s="163"/>
      <c r="AC260" s="163"/>
      <c r="AD260" s="163"/>
      <c r="AE260" s="163"/>
      <c r="AF260" s="163"/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3"/>
      <c r="BD260" s="163"/>
    </row>
    <row r="261" spans="1:56" s="1" customFormat="1" ht="14.25" customHeight="1">
      <c r="A261" s="2">
        <v>259</v>
      </c>
      <c r="B261" s="43" t="s">
        <v>583</v>
      </c>
      <c r="C261" s="42">
        <v>68005015</v>
      </c>
      <c r="D261" s="133" t="s">
        <v>584</v>
      </c>
      <c r="E261" s="35">
        <v>4</v>
      </c>
      <c r="F261" s="35">
        <v>4</v>
      </c>
      <c r="G261" s="35" t="s">
        <v>460</v>
      </c>
      <c r="H261" s="36"/>
      <c r="I261" s="37">
        <f t="shared" si="15"/>
        <v>0</v>
      </c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>
        <f t="shared" ref="V261:V324" si="16">I261/F261</f>
        <v>0</v>
      </c>
      <c r="W261" s="36"/>
      <c r="X261" s="38">
        <v>30000</v>
      </c>
      <c r="Y261" s="38" t="str">
        <f t="shared" ref="Y261:Y324" si="17">IF(OR(AND(W261&lt;&gt;0,QUOTIENT(V261,X261)&gt;=1,(MOD(V261,X261)/X261)&gt;=0.9,(QUOTIENT(V261,X261)+1)&gt;W261),AND(QUOTIENT(V261,X261)=0,MOD(V261,X261)/X261&gt;=0.9,(QUOTIENT(V261,X261)+1)&gt;W261),QUOTIENT(V261,X261)&gt;W261),"保养","无需保养")</f>
        <v>无需保养</v>
      </c>
      <c r="Z261" s="38">
        <f t="shared" ref="Z261:Z324" si="18">COUNTIF($C$5:$C$542,C261)</f>
        <v>1</v>
      </c>
      <c r="AA261" s="163"/>
      <c r="AB261" s="163"/>
      <c r="AC261" s="163"/>
      <c r="AD261" s="163"/>
      <c r="AE261" s="163"/>
      <c r="AF261" s="163"/>
      <c r="AG261" s="163"/>
      <c r="AH261" s="163"/>
      <c r="AI261" s="163"/>
      <c r="AJ261" s="163"/>
      <c r="AK261" s="163"/>
      <c r="AL261" s="163"/>
      <c r="AM261" s="163"/>
      <c r="AN261" s="163"/>
      <c r="AO261" s="163"/>
      <c r="AP261" s="163"/>
      <c r="AQ261" s="163"/>
      <c r="AR261" s="163"/>
      <c r="AS261" s="163"/>
      <c r="AT261" s="163"/>
      <c r="AU261" s="163"/>
      <c r="AV261" s="163"/>
      <c r="AW261" s="163"/>
      <c r="AX261" s="163"/>
      <c r="AY261" s="163"/>
      <c r="AZ261" s="163"/>
      <c r="BA261" s="163"/>
      <c r="BB261" s="163"/>
      <c r="BC261" s="163"/>
      <c r="BD261" s="163"/>
    </row>
    <row r="262" spans="1:56" s="1" customFormat="1" ht="14.25" customHeight="1">
      <c r="A262" s="2">
        <v>260</v>
      </c>
      <c r="B262" s="43" t="s">
        <v>585</v>
      </c>
      <c r="C262" s="42">
        <v>68005032</v>
      </c>
      <c r="D262" s="133" t="s">
        <v>586</v>
      </c>
      <c r="E262" s="35">
        <v>8</v>
      </c>
      <c r="F262" s="35">
        <v>8</v>
      </c>
      <c r="G262" s="35" t="s">
        <v>427</v>
      </c>
      <c r="H262" s="36"/>
      <c r="I262" s="37">
        <f t="shared" ref="I262:I325" si="19">J262+K262+L262+M262+N262+O262+P262+Q262+R262+S262+T262+U262</f>
        <v>0</v>
      </c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>
        <f t="shared" si="16"/>
        <v>0</v>
      </c>
      <c r="W262" s="36"/>
      <c r="X262" s="38">
        <v>30000</v>
      </c>
      <c r="Y262" s="38" t="str">
        <f t="shared" si="17"/>
        <v>无需保养</v>
      </c>
      <c r="Z262" s="38">
        <f t="shared" si="18"/>
        <v>1</v>
      </c>
      <c r="AA262" s="163"/>
      <c r="AB262" s="163"/>
      <c r="AC262" s="163"/>
      <c r="AD262" s="163"/>
      <c r="AE262" s="163"/>
      <c r="AF262" s="163"/>
      <c r="AG262" s="163"/>
      <c r="AH262" s="163"/>
      <c r="AI262" s="163"/>
      <c r="AJ262" s="163"/>
      <c r="AK262" s="163"/>
      <c r="AL262" s="163"/>
      <c r="AM262" s="163"/>
      <c r="AN262" s="163"/>
      <c r="AO262" s="163"/>
      <c r="AP262" s="163"/>
      <c r="AQ262" s="163"/>
      <c r="AR262" s="163"/>
      <c r="AS262" s="163"/>
      <c r="AT262" s="163"/>
      <c r="AU262" s="163"/>
      <c r="AV262" s="163"/>
      <c r="AW262" s="163"/>
      <c r="AX262" s="163"/>
      <c r="AY262" s="163"/>
      <c r="AZ262" s="163"/>
      <c r="BA262" s="163"/>
      <c r="BB262" s="163"/>
      <c r="BC262" s="163"/>
      <c r="BD262" s="163"/>
    </row>
    <row r="263" spans="1:56" s="1" customFormat="1" ht="14.25" customHeight="1">
      <c r="A263" s="2">
        <v>261</v>
      </c>
      <c r="B263" s="43" t="s">
        <v>587</v>
      </c>
      <c r="C263" s="42">
        <v>68005033</v>
      </c>
      <c r="D263" s="133" t="s">
        <v>588</v>
      </c>
      <c r="E263" s="35">
        <v>4</v>
      </c>
      <c r="F263" s="35">
        <v>4</v>
      </c>
      <c r="G263" s="35" t="s">
        <v>427</v>
      </c>
      <c r="H263" s="36"/>
      <c r="I263" s="37">
        <f t="shared" si="19"/>
        <v>0</v>
      </c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>
        <f t="shared" si="16"/>
        <v>0</v>
      </c>
      <c r="W263" s="36"/>
      <c r="X263" s="38">
        <v>30000</v>
      </c>
      <c r="Y263" s="38" t="str">
        <f t="shared" si="17"/>
        <v>无需保养</v>
      </c>
      <c r="Z263" s="38">
        <f t="shared" si="18"/>
        <v>1</v>
      </c>
      <c r="AA263" s="163"/>
      <c r="AB263" s="163"/>
      <c r="AC263" s="163"/>
      <c r="AD263" s="163"/>
      <c r="AE263" s="163"/>
      <c r="AF263" s="163"/>
      <c r="AG263" s="163"/>
      <c r="AH263" s="163"/>
      <c r="AI263" s="163"/>
      <c r="AJ263" s="163"/>
      <c r="AK263" s="163"/>
      <c r="AL263" s="163"/>
      <c r="AM263" s="163"/>
      <c r="AN263" s="163"/>
      <c r="AO263" s="163"/>
      <c r="AP263" s="163"/>
      <c r="AQ263" s="163"/>
      <c r="AR263" s="163"/>
      <c r="AS263" s="163"/>
      <c r="AT263" s="163"/>
      <c r="AU263" s="163"/>
      <c r="AV263" s="163"/>
      <c r="AW263" s="163"/>
      <c r="AX263" s="163"/>
      <c r="AY263" s="163"/>
      <c r="AZ263" s="163"/>
      <c r="BA263" s="163"/>
      <c r="BB263" s="163"/>
      <c r="BC263" s="163"/>
      <c r="BD263" s="163"/>
    </row>
    <row r="264" spans="1:56" s="1" customFormat="1" ht="14.25" customHeight="1">
      <c r="A264" s="2">
        <v>262</v>
      </c>
      <c r="B264" s="43" t="s">
        <v>589</v>
      </c>
      <c r="C264" s="42">
        <v>68005034</v>
      </c>
      <c r="D264" s="133" t="s">
        <v>590</v>
      </c>
      <c r="E264" s="35">
        <v>4</v>
      </c>
      <c r="F264" s="35">
        <v>4</v>
      </c>
      <c r="G264" s="35" t="s">
        <v>427</v>
      </c>
      <c r="H264" s="36"/>
      <c r="I264" s="37">
        <f t="shared" si="19"/>
        <v>0</v>
      </c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>
        <f t="shared" si="16"/>
        <v>0</v>
      </c>
      <c r="W264" s="36"/>
      <c r="X264" s="38">
        <v>30000</v>
      </c>
      <c r="Y264" s="38" t="str">
        <f t="shared" si="17"/>
        <v>无需保养</v>
      </c>
      <c r="Z264" s="38">
        <f t="shared" si="18"/>
        <v>1</v>
      </c>
      <c r="AA264" s="163"/>
      <c r="AB264" s="163"/>
      <c r="AC264" s="163"/>
      <c r="AD264" s="163"/>
      <c r="AE264" s="163"/>
      <c r="AF264" s="163"/>
      <c r="AG264" s="163"/>
      <c r="AH264" s="163"/>
      <c r="AI264" s="163"/>
      <c r="AJ264" s="163"/>
      <c r="AK264" s="163"/>
      <c r="AL264" s="163"/>
      <c r="AM264" s="163"/>
      <c r="AN264" s="163"/>
      <c r="AO264" s="163"/>
      <c r="AP264" s="163"/>
      <c r="AQ264" s="163"/>
      <c r="AR264" s="163"/>
      <c r="AS264" s="163"/>
      <c r="AT264" s="163"/>
      <c r="AU264" s="163"/>
      <c r="AV264" s="163"/>
      <c r="AW264" s="163"/>
      <c r="AX264" s="163"/>
      <c r="AY264" s="163"/>
      <c r="AZ264" s="163"/>
      <c r="BA264" s="163"/>
      <c r="BB264" s="163"/>
      <c r="BC264" s="163"/>
      <c r="BD264" s="163"/>
    </row>
    <row r="265" spans="1:56" s="1" customFormat="1" ht="14.25" customHeight="1">
      <c r="A265" s="2">
        <v>263</v>
      </c>
      <c r="B265" s="43" t="s">
        <v>591</v>
      </c>
      <c r="C265" s="42">
        <v>68005035</v>
      </c>
      <c r="D265" s="133" t="s">
        <v>592</v>
      </c>
      <c r="E265" s="35">
        <v>8</v>
      </c>
      <c r="F265" s="35">
        <v>8</v>
      </c>
      <c r="G265" s="35" t="s">
        <v>427</v>
      </c>
      <c r="H265" s="36"/>
      <c r="I265" s="37">
        <f t="shared" si="19"/>
        <v>0</v>
      </c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>
        <f t="shared" si="16"/>
        <v>0</v>
      </c>
      <c r="W265" s="36"/>
      <c r="X265" s="38">
        <v>30000</v>
      </c>
      <c r="Y265" s="38" t="str">
        <f t="shared" si="17"/>
        <v>无需保养</v>
      </c>
      <c r="Z265" s="38">
        <f t="shared" si="18"/>
        <v>1</v>
      </c>
      <c r="AA265" s="163"/>
      <c r="AB265" s="163"/>
      <c r="AC265" s="163"/>
      <c r="AD265" s="163"/>
      <c r="AE265" s="163"/>
      <c r="AF265" s="163"/>
      <c r="AG265" s="163"/>
      <c r="AH265" s="163"/>
      <c r="AI265" s="163"/>
      <c r="AJ265" s="163"/>
      <c r="AK265" s="163"/>
      <c r="AL265" s="163"/>
      <c r="AM265" s="163"/>
      <c r="AN265" s="163"/>
      <c r="AO265" s="163"/>
      <c r="AP265" s="163"/>
      <c r="AQ265" s="163"/>
      <c r="AR265" s="163"/>
      <c r="AS265" s="163"/>
      <c r="AT265" s="163"/>
      <c r="AU265" s="163"/>
      <c r="AV265" s="163"/>
      <c r="AW265" s="163"/>
      <c r="AX265" s="163"/>
      <c r="AY265" s="163"/>
      <c r="AZ265" s="163"/>
      <c r="BA265" s="163"/>
      <c r="BB265" s="163"/>
      <c r="BC265" s="163"/>
      <c r="BD265" s="163"/>
    </row>
    <row r="266" spans="1:56" s="1" customFormat="1" ht="14.25" customHeight="1">
      <c r="A266" s="2">
        <v>264</v>
      </c>
      <c r="B266" s="43" t="s">
        <v>593</v>
      </c>
      <c r="C266" s="42">
        <v>68005036</v>
      </c>
      <c r="D266" s="42" t="s">
        <v>594</v>
      </c>
      <c r="E266" s="35">
        <v>16</v>
      </c>
      <c r="F266" s="35">
        <v>16</v>
      </c>
      <c r="G266" s="35" t="s">
        <v>495</v>
      </c>
      <c r="H266" s="36"/>
      <c r="I266" s="37">
        <f t="shared" si="19"/>
        <v>0</v>
      </c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>
        <f t="shared" si="16"/>
        <v>0</v>
      </c>
      <c r="W266" s="36"/>
      <c r="X266" s="38">
        <v>30000</v>
      </c>
      <c r="Y266" s="38" t="str">
        <f t="shared" si="17"/>
        <v>无需保养</v>
      </c>
      <c r="Z266" s="38">
        <f t="shared" si="18"/>
        <v>2</v>
      </c>
      <c r="AA266" s="163"/>
      <c r="AB266" s="163"/>
      <c r="AC266" s="163"/>
      <c r="AD266" s="163"/>
      <c r="AE266" s="163"/>
      <c r="AF266" s="163"/>
      <c r="AG266" s="163"/>
      <c r="AH266" s="163"/>
      <c r="AI266" s="163"/>
      <c r="AJ266" s="163"/>
      <c r="AK266" s="163"/>
      <c r="AL266" s="163"/>
      <c r="AM266" s="163"/>
      <c r="AN266" s="163"/>
      <c r="AO266" s="163"/>
      <c r="AP266" s="163"/>
      <c r="AQ266" s="163"/>
      <c r="AR266" s="163"/>
      <c r="AS266" s="163"/>
      <c r="AT266" s="163"/>
      <c r="AU266" s="163"/>
      <c r="AV266" s="163"/>
      <c r="AW266" s="163"/>
      <c r="AX266" s="163"/>
      <c r="AY266" s="163"/>
      <c r="AZ266" s="163"/>
      <c r="BA266" s="163"/>
      <c r="BB266" s="163"/>
      <c r="BC266" s="163"/>
      <c r="BD266" s="163"/>
    </row>
    <row r="267" spans="1:56" s="1" customFormat="1" ht="14.25" customHeight="1">
      <c r="A267" s="2">
        <v>265</v>
      </c>
      <c r="B267" s="43" t="s">
        <v>595</v>
      </c>
      <c r="C267" s="42">
        <v>68005036</v>
      </c>
      <c r="D267" s="42" t="s">
        <v>594</v>
      </c>
      <c r="E267" s="35">
        <v>16</v>
      </c>
      <c r="F267" s="35">
        <v>16</v>
      </c>
      <c r="G267" s="35" t="s">
        <v>495</v>
      </c>
      <c r="H267" s="36"/>
      <c r="I267" s="37">
        <f t="shared" si="19"/>
        <v>0</v>
      </c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>
        <f t="shared" si="16"/>
        <v>0</v>
      </c>
      <c r="W267" s="36"/>
      <c r="X267" s="38">
        <v>30000</v>
      </c>
      <c r="Y267" s="38" t="str">
        <f t="shared" si="17"/>
        <v>无需保养</v>
      </c>
      <c r="Z267" s="38">
        <f t="shared" si="18"/>
        <v>2</v>
      </c>
      <c r="AA267" s="163"/>
      <c r="AB267" s="163"/>
      <c r="AC267" s="163"/>
      <c r="AD267" s="163"/>
      <c r="AE267" s="163"/>
      <c r="AF267" s="163"/>
      <c r="AG267" s="163"/>
      <c r="AH267" s="163"/>
      <c r="AI267" s="163"/>
      <c r="AJ267" s="163"/>
      <c r="AK267" s="163"/>
      <c r="AL267" s="163"/>
      <c r="AM267" s="163"/>
      <c r="AN267" s="163"/>
      <c r="AO267" s="163"/>
      <c r="AP267" s="163"/>
      <c r="AQ267" s="163"/>
      <c r="AR267" s="163"/>
      <c r="AS267" s="163"/>
      <c r="AT267" s="163"/>
      <c r="AU267" s="163"/>
      <c r="AV267" s="163"/>
      <c r="AW267" s="163"/>
      <c r="AX267" s="163"/>
      <c r="AY267" s="163"/>
      <c r="AZ267" s="163"/>
      <c r="BA267" s="163"/>
      <c r="BB267" s="163"/>
      <c r="BC267" s="163"/>
      <c r="BD267" s="163"/>
    </row>
    <row r="268" spans="1:56" s="1" customFormat="1" ht="14.25" customHeight="1">
      <c r="A268" s="2">
        <v>266</v>
      </c>
      <c r="B268" s="43" t="s">
        <v>596</v>
      </c>
      <c r="C268" s="42">
        <v>68005037</v>
      </c>
      <c r="D268" s="42" t="s">
        <v>597</v>
      </c>
      <c r="E268" s="35">
        <v>32</v>
      </c>
      <c r="F268" s="35">
        <v>32</v>
      </c>
      <c r="G268" s="35" t="s">
        <v>598</v>
      </c>
      <c r="H268" s="36"/>
      <c r="I268" s="37">
        <f t="shared" si="19"/>
        <v>0</v>
      </c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>
        <f t="shared" si="16"/>
        <v>0</v>
      </c>
      <c r="W268" s="36"/>
      <c r="X268" s="38">
        <v>30000</v>
      </c>
      <c r="Y268" s="38" t="str">
        <f t="shared" si="17"/>
        <v>无需保养</v>
      </c>
      <c r="Z268" s="38">
        <f t="shared" si="18"/>
        <v>1</v>
      </c>
      <c r="AA268" s="163"/>
      <c r="AB268" s="163"/>
      <c r="AC268" s="163"/>
      <c r="AD268" s="163"/>
      <c r="AE268" s="163"/>
      <c r="AF268" s="163"/>
      <c r="AG268" s="163"/>
      <c r="AH268" s="163"/>
      <c r="AI268" s="163"/>
      <c r="AJ268" s="163"/>
      <c r="AK268" s="163"/>
      <c r="AL268" s="163"/>
      <c r="AM268" s="163"/>
      <c r="AN268" s="163"/>
      <c r="AO268" s="163"/>
      <c r="AP268" s="163"/>
      <c r="AQ268" s="163"/>
      <c r="AR268" s="163"/>
      <c r="AS268" s="163"/>
      <c r="AT268" s="163"/>
      <c r="AU268" s="163"/>
      <c r="AV268" s="163"/>
      <c r="AW268" s="163"/>
      <c r="AX268" s="163"/>
      <c r="AY268" s="163"/>
      <c r="AZ268" s="163"/>
      <c r="BA268" s="163"/>
      <c r="BB268" s="163"/>
      <c r="BC268" s="163"/>
      <c r="BD268" s="163"/>
    </row>
    <row r="269" spans="1:56" s="1" customFormat="1" ht="14.25" customHeight="1">
      <c r="A269" s="2">
        <v>267</v>
      </c>
      <c r="B269" s="43" t="s">
        <v>599</v>
      </c>
      <c r="C269" s="42">
        <v>68005039</v>
      </c>
      <c r="D269" s="133" t="s">
        <v>600</v>
      </c>
      <c r="E269" s="35">
        <v>4</v>
      </c>
      <c r="F269" s="35">
        <v>4</v>
      </c>
      <c r="G269" s="35" t="s">
        <v>427</v>
      </c>
      <c r="H269" s="36"/>
      <c r="I269" s="37">
        <f t="shared" si="19"/>
        <v>0</v>
      </c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>
        <f t="shared" si="16"/>
        <v>0</v>
      </c>
      <c r="W269" s="36"/>
      <c r="X269" s="38">
        <v>30000</v>
      </c>
      <c r="Y269" s="38" t="str">
        <f t="shared" si="17"/>
        <v>无需保养</v>
      </c>
      <c r="Z269" s="38">
        <f t="shared" si="18"/>
        <v>1</v>
      </c>
      <c r="AA269" s="163"/>
      <c r="AB269" s="163"/>
      <c r="AC269" s="163"/>
      <c r="AD269" s="163"/>
      <c r="AE269" s="163"/>
      <c r="AF269" s="163"/>
      <c r="AG269" s="163"/>
      <c r="AH269" s="163"/>
      <c r="AI269" s="163"/>
      <c r="AJ269" s="163"/>
      <c r="AK269" s="163"/>
      <c r="AL269" s="163"/>
      <c r="AM269" s="163"/>
      <c r="AN269" s="163"/>
      <c r="AO269" s="163"/>
      <c r="AP269" s="163"/>
      <c r="AQ269" s="163"/>
      <c r="AR269" s="163"/>
      <c r="AS269" s="163"/>
      <c r="AT269" s="163"/>
      <c r="AU269" s="163"/>
      <c r="AV269" s="163"/>
      <c r="AW269" s="163"/>
      <c r="AX269" s="163"/>
      <c r="AY269" s="163"/>
      <c r="AZ269" s="163"/>
      <c r="BA269" s="163"/>
      <c r="BB269" s="163"/>
      <c r="BC269" s="163"/>
      <c r="BD269" s="163"/>
    </row>
    <row r="270" spans="1:56" s="1" customFormat="1" ht="14.25" customHeight="1">
      <c r="A270" s="2">
        <v>268</v>
      </c>
      <c r="B270" s="43" t="s">
        <v>601</v>
      </c>
      <c r="C270" s="42">
        <v>68005040</v>
      </c>
      <c r="D270" s="133" t="s">
        <v>602</v>
      </c>
      <c r="E270" s="35">
        <v>4</v>
      </c>
      <c r="F270" s="35">
        <v>4</v>
      </c>
      <c r="G270" s="35" t="s">
        <v>427</v>
      </c>
      <c r="H270" s="36"/>
      <c r="I270" s="37">
        <f t="shared" si="19"/>
        <v>0</v>
      </c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>
        <f t="shared" si="16"/>
        <v>0</v>
      </c>
      <c r="W270" s="36"/>
      <c r="X270" s="38">
        <v>30000</v>
      </c>
      <c r="Y270" s="38" t="str">
        <f t="shared" si="17"/>
        <v>无需保养</v>
      </c>
      <c r="Z270" s="38">
        <f t="shared" si="18"/>
        <v>1</v>
      </c>
      <c r="AA270" s="163"/>
      <c r="AB270" s="163"/>
      <c r="AC270" s="163"/>
      <c r="AD270" s="163"/>
      <c r="AE270" s="163"/>
      <c r="AF270" s="163"/>
      <c r="AG270" s="163"/>
      <c r="AH270" s="163"/>
      <c r="AI270" s="163"/>
      <c r="AJ270" s="163"/>
      <c r="AK270" s="163"/>
      <c r="AL270" s="163"/>
      <c r="AM270" s="163"/>
      <c r="AN270" s="163"/>
      <c r="AO270" s="163"/>
      <c r="AP270" s="163"/>
      <c r="AQ270" s="163"/>
      <c r="AR270" s="163"/>
      <c r="AS270" s="163"/>
      <c r="AT270" s="163"/>
      <c r="AU270" s="163"/>
      <c r="AV270" s="163"/>
      <c r="AW270" s="163"/>
      <c r="AX270" s="163"/>
      <c r="AY270" s="163"/>
      <c r="AZ270" s="163"/>
      <c r="BA270" s="163"/>
      <c r="BB270" s="163"/>
      <c r="BC270" s="163"/>
      <c r="BD270" s="163"/>
    </row>
    <row r="271" spans="1:56" s="1" customFormat="1" ht="14.25" customHeight="1">
      <c r="A271" s="2">
        <v>269</v>
      </c>
      <c r="B271" s="43" t="s">
        <v>603</v>
      </c>
      <c r="C271" s="42">
        <v>68005043</v>
      </c>
      <c r="D271" s="133" t="s">
        <v>604</v>
      </c>
      <c r="E271" s="35">
        <v>4</v>
      </c>
      <c r="F271" s="35">
        <v>4</v>
      </c>
      <c r="G271" s="35" t="s">
        <v>427</v>
      </c>
      <c r="H271" s="36"/>
      <c r="I271" s="37">
        <f t="shared" si="19"/>
        <v>0</v>
      </c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>
        <f t="shared" si="16"/>
        <v>0</v>
      </c>
      <c r="W271" s="36"/>
      <c r="X271" s="38">
        <v>30000</v>
      </c>
      <c r="Y271" s="38" t="str">
        <f t="shared" si="17"/>
        <v>无需保养</v>
      </c>
      <c r="Z271" s="38">
        <f t="shared" si="18"/>
        <v>1</v>
      </c>
      <c r="AA271" s="163"/>
      <c r="AB271" s="163"/>
      <c r="AC271" s="163"/>
      <c r="AD271" s="163"/>
      <c r="AE271" s="163"/>
      <c r="AF271" s="163"/>
      <c r="AG271" s="163"/>
      <c r="AH271" s="163"/>
      <c r="AI271" s="163"/>
      <c r="AJ271" s="163"/>
      <c r="AK271" s="163"/>
      <c r="AL271" s="163"/>
      <c r="AM271" s="163"/>
      <c r="AN271" s="163"/>
      <c r="AO271" s="163"/>
      <c r="AP271" s="163"/>
      <c r="AQ271" s="163"/>
      <c r="AR271" s="163"/>
      <c r="AS271" s="163"/>
      <c r="AT271" s="163"/>
      <c r="AU271" s="163"/>
      <c r="AV271" s="163"/>
      <c r="AW271" s="163"/>
      <c r="AX271" s="163"/>
      <c r="AY271" s="163"/>
      <c r="AZ271" s="163"/>
      <c r="BA271" s="163"/>
      <c r="BB271" s="163"/>
      <c r="BC271" s="163"/>
      <c r="BD271" s="163"/>
    </row>
    <row r="272" spans="1:56" s="1" customFormat="1" ht="14.25" customHeight="1">
      <c r="A272" s="2">
        <v>270</v>
      </c>
      <c r="B272" s="43" t="s">
        <v>605</v>
      </c>
      <c r="C272" s="42">
        <v>68005044</v>
      </c>
      <c r="D272" s="133" t="s">
        <v>606</v>
      </c>
      <c r="E272" s="35">
        <v>4</v>
      </c>
      <c r="F272" s="35">
        <v>2</v>
      </c>
      <c r="G272" s="35" t="s">
        <v>427</v>
      </c>
      <c r="H272" s="36"/>
      <c r="I272" s="37">
        <f t="shared" si="19"/>
        <v>0</v>
      </c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>
        <f t="shared" si="16"/>
        <v>0</v>
      </c>
      <c r="W272" s="36"/>
      <c r="X272" s="38">
        <v>30000</v>
      </c>
      <c r="Y272" s="38" t="str">
        <f t="shared" si="17"/>
        <v>无需保养</v>
      </c>
      <c r="Z272" s="38">
        <f t="shared" si="18"/>
        <v>1</v>
      </c>
      <c r="AA272" s="163"/>
      <c r="AB272" s="163"/>
      <c r="AC272" s="163"/>
      <c r="AD272" s="163"/>
      <c r="AE272" s="163"/>
      <c r="AF272" s="163"/>
      <c r="AG272" s="163"/>
      <c r="AH272" s="163"/>
      <c r="AI272" s="163"/>
      <c r="AJ272" s="163"/>
      <c r="AK272" s="163"/>
      <c r="AL272" s="163"/>
      <c r="AM272" s="163"/>
      <c r="AN272" s="163"/>
      <c r="AO272" s="163"/>
      <c r="AP272" s="163"/>
      <c r="AQ272" s="163"/>
      <c r="AR272" s="163"/>
      <c r="AS272" s="163"/>
      <c r="AT272" s="163"/>
      <c r="AU272" s="163"/>
      <c r="AV272" s="163"/>
      <c r="AW272" s="163"/>
      <c r="AX272" s="163"/>
      <c r="AY272" s="163"/>
      <c r="AZ272" s="163"/>
      <c r="BA272" s="163"/>
      <c r="BB272" s="163"/>
      <c r="BC272" s="163"/>
      <c r="BD272" s="163"/>
    </row>
    <row r="273" spans="1:56" s="10" customFormat="1" ht="14.25" customHeight="1">
      <c r="A273" s="2">
        <v>271</v>
      </c>
      <c r="B273" s="43" t="s">
        <v>607</v>
      </c>
      <c r="C273" s="42">
        <v>68006645</v>
      </c>
      <c r="D273" s="133" t="s">
        <v>608</v>
      </c>
      <c r="E273" s="35">
        <v>4</v>
      </c>
      <c r="F273" s="35">
        <v>4</v>
      </c>
      <c r="G273" s="35" t="s">
        <v>504</v>
      </c>
      <c r="H273" s="36"/>
      <c r="I273" s="37">
        <f t="shared" si="19"/>
        <v>0</v>
      </c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>
        <f t="shared" si="16"/>
        <v>0</v>
      </c>
      <c r="W273" s="36"/>
      <c r="X273" s="38">
        <v>30000</v>
      </c>
      <c r="Y273" s="38" t="str">
        <f t="shared" si="17"/>
        <v>无需保养</v>
      </c>
      <c r="Z273" s="38">
        <f t="shared" si="18"/>
        <v>1</v>
      </c>
      <c r="AA273" s="163"/>
      <c r="AB273" s="163"/>
      <c r="AC273" s="163"/>
      <c r="AD273" s="163"/>
      <c r="AE273" s="163"/>
      <c r="AF273" s="163"/>
      <c r="AG273" s="163"/>
      <c r="AH273" s="163"/>
      <c r="AI273" s="163"/>
      <c r="AJ273" s="163"/>
      <c r="AK273" s="163"/>
      <c r="AL273" s="163"/>
      <c r="AM273" s="163"/>
      <c r="AN273" s="163"/>
      <c r="AO273" s="163"/>
      <c r="AP273" s="163"/>
      <c r="AQ273" s="163"/>
      <c r="AR273" s="163"/>
      <c r="AS273" s="163"/>
      <c r="AT273" s="163"/>
      <c r="AU273" s="163"/>
      <c r="AV273" s="163"/>
      <c r="AW273" s="163"/>
      <c r="AX273" s="163"/>
      <c r="AY273" s="163"/>
      <c r="AZ273" s="163"/>
      <c r="BA273" s="163"/>
      <c r="BB273" s="163"/>
      <c r="BC273" s="163"/>
      <c r="BD273" s="163"/>
    </row>
    <row r="274" spans="1:56" s="10" customFormat="1" ht="14.25" customHeight="1">
      <c r="A274" s="2">
        <v>272</v>
      </c>
      <c r="B274" s="43" t="s">
        <v>609</v>
      </c>
      <c r="C274" s="42">
        <v>68008159</v>
      </c>
      <c r="D274" s="133" t="s">
        <v>610</v>
      </c>
      <c r="E274" s="35">
        <v>2</v>
      </c>
      <c r="F274" s="35">
        <v>2</v>
      </c>
      <c r="G274" s="35" t="s">
        <v>427</v>
      </c>
      <c r="H274" s="36"/>
      <c r="I274" s="37">
        <f t="shared" si="19"/>
        <v>0</v>
      </c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>
        <f t="shared" si="16"/>
        <v>0</v>
      </c>
      <c r="W274" s="36"/>
      <c r="X274" s="38">
        <v>30000</v>
      </c>
      <c r="Y274" s="38" t="str">
        <f t="shared" si="17"/>
        <v>无需保养</v>
      </c>
      <c r="Z274" s="38">
        <f t="shared" si="18"/>
        <v>1</v>
      </c>
      <c r="AA274" s="163"/>
      <c r="AB274" s="163"/>
      <c r="AC274" s="163"/>
      <c r="AD274" s="163"/>
      <c r="AE274" s="163"/>
      <c r="AF274" s="163"/>
      <c r="AG274" s="163"/>
      <c r="AH274" s="163"/>
      <c r="AI274" s="163"/>
      <c r="AJ274" s="163"/>
      <c r="AK274" s="163"/>
      <c r="AL274" s="163"/>
      <c r="AM274" s="163"/>
      <c r="AN274" s="163"/>
      <c r="AO274" s="163"/>
      <c r="AP274" s="163"/>
      <c r="AQ274" s="163"/>
      <c r="AR274" s="163"/>
      <c r="AS274" s="163"/>
      <c r="AT274" s="163"/>
      <c r="AU274" s="163"/>
      <c r="AV274" s="163"/>
      <c r="AW274" s="163"/>
      <c r="AX274" s="163"/>
      <c r="AY274" s="163"/>
      <c r="AZ274" s="163"/>
      <c r="BA274" s="163"/>
      <c r="BB274" s="163"/>
      <c r="BC274" s="163"/>
      <c r="BD274" s="163"/>
    </row>
    <row r="275" spans="1:56" s="10" customFormat="1" ht="14.25" customHeight="1">
      <c r="A275" s="2">
        <v>273</v>
      </c>
      <c r="B275" s="44" t="s">
        <v>611</v>
      </c>
      <c r="C275" s="45" t="s">
        <v>611</v>
      </c>
      <c r="D275" s="137" t="s">
        <v>612</v>
      </c>
      <c r="E275" s="46">
        <v>8</v>
      </c>
      <c r="F275" s="46">
        <v>8</v>
      </c>
      <c r="G275" s="35" t="s">
        <v>613</v>
      </c>
      <c r="H275" s="36"/>
      <c r="I275" s="37">
        <f t="shared" si="19"/>
        <v>0</v>
      </c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>
        <f t="shared" si="16"/>
        <v>0</v>
      </c>
      <c r="W275" s="36"/>
      <c r="X275" s="38">
        <v>30000</v>
      </c>
      <c r="Y275" s="38" t="str">
        <f t="shared" si="17"/>
        <v>无需保养</v>
      </c>
      <c r="Z275" s="38">
        <f t="shared" si="18"/>
        <v>1</v>
      </c>
      <c r="AA275" s="163"/>
      <c r="AB275" s="163"/>
      <c r="AC275" s="163"/>
      <c r="AD275" s="163"/>
      <c r="AE275" s="163"/>
      <c r="AF275" s="163"/>
      <c r="AG275" s="163"/>
      <c r="AH275" s="163"/>
      <c r="AI275" s="163"/>
      <c r="AJ275" s="163"/>
      <c r="AK275" s="163"/>
      <c r="AL275" s="163"/>
      <c r="AM275" s="163"/>
      <c r="AN275" s="163"/>
      <c r="AO275" s="163"/>
      <c r="AP275" s="163"/>
      <c r="AQ275" s="163"/>
      <c r="AR275" s="163"/>
      <c r="AS275" s="163"/>
      <c r="AT275" s="163"/>
      <c r="AU275" s="163"/>
      <c r="AV275" s="163"/>
      <c r="AW275" s="163"/>
      <c r="AX275" s="163"/>
      <c r="AY275" s="163"/>
      <c r="AZ275" s="163"/>
      <c r="BA275" s="163"/>
      <c r="BB275" s="163"/>
      <c r="BC275" s="163"/>
      <c r="BD275" s="163"/>
    </row>
    <row r="276" spans="1:56" s="10" customFormat="1" ht="14.25" customHeight="1">
      <c r="A276" s="2">
        <v>274</v>
      </c>
      <c r="B276" s="44" t="s">
        <v>614</v>
      </c>
      <c r="C276" s="45" t="s">
        <v>614</v>
      </c>
      <c r="D276" s="138" t="s">
        <v>615</v>
      </c>
      <c r="E276" s="46">
        <v>2</v>
      </c>
      <c r="F276" s="46">
        <v>2</v>
      </c>
      <c r="G276" s="35" t="s">
        <v>613</v>
      </c>
      <c r="H276" s="36"/>
      <c r="I276" s="37">
        <f t="shared" si="19"/>
        <v>0</v>
      </c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>
        <f t="shared" si="16"/>
        <v>0</v>
      </c>
      <c r="W276" s="36"/>
      <c r="X276" s="38">
        <v>30000</v>
      </c>
      <c r="Y276" s="38" t="str">
        <f t="shared" si="17"/>
        <v>无需保养</v>
      </c>
      <c r="Z276" s="38">
        <f t="shared" si="18"/>
        <v>1</v>
      </c>
      <c r="AA276" s="163"/>
      <c r="AB276" s="163"/>
      <c r="AC276" s="163"/>
      <c r="AD276" s="163"/>
      <c r="AE276" s="163"/>
      <c r="AF276" s="163"/>
      <c r="AG276" s="163"/>
      <c r="AH276" s="163"/>
      <c r="AI276" s="163"/>
      <c r="AJ276" s="163"/>
      <c r="AK276" s="163"/>
      <c r="AL276" s="163"/>
      <c r="AM276" s="163"/>
      <c r="AN276" s="163"/>
      <c r="AO276" s="163"/>
      <c r="AP276" s="163"/>
      <c r="AQ276" s="163"/>
      <c r="AR276" s="163"/>
      <c r="AS276" s="163"/>
      <c r="AT276" s="163"/>
      <c r="AU276" s="163"/>
      <c r="AV276" s="163"/>
      <c r="AW276" s="163"/>
      <c r="AX276" s="163"/>
      <c r="AY276" s="163"/>
      <c r="AZ276" s="163"/>
      <c r="BA276" s="163"/>
      <c r="BB276" s="163"/>
      <c r="BC276" s="163"/>
      <c r="BD276" s="163"/>
    </row>
    <row r="277" spans="1:56" s="10" customFormat="1" ht="14.25" customHeight="1">
      <c r="A277" s="2">
        <v>275</v>
      </c>
      <c r="B277" s="44" t="s">
        <v>616</v>
      </c>
      <c r="C277" s="45" t="s">
        <v>617</v>
      </c>
      <c r="D277" s="138" t="s">
        <v>618</v>
      </c>
      <c r="E277" s="46">
        <v>4</v>
      </c>
      <c r="F277" s="46">
        <v>4</v>
      </c>
      <c r="G277" s="35" t="s">
        <v>613</v>
      </c>
      <c r="H277" s="36"/>
      <c r="I277" s="37">
        <f t="shared" si="19"/>
        <v>0</v>
      </c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>
        <f t="shared" si="16"/>
        <v>0</v>
      </c>
      <c r="W277" s="36"/>
      <c r="X277" s="38">
        <v>30000</v>
      </c>
      <c r="Y277" s="38" t="str">
        <f t="shared" si="17"/>
        <v>无需保养</v>
      </c>
      <c r="Z277" s="38">
        <f t="shared" si="18"/>
        <v>1</v>
      </c>
      <c r="AA277" s="163"/>
      <c r="AB277" s="163"/>
      <c r="AC277" s="163"/>
      <c r="AD277" s="163"/>
      <c r="AE277" s="163"/>
      <c r="AF277" s="163"/>
      <c r="AG277" s="163"/>
      <c r="AH277" s="163"/>
      <c r="AI277" s="163"/>
      <c r="AJ277" s="163"/>
      <c r="AK277" s="163"/>
      <c r="AL277" s="163"/>
      <c r="AM277" s="163"/>
      <c r="AN277" s="163"/>
      <c r="AO277" s="163"/>
      <c r="AP277" s="163"/>
      <c r="AQ277" s="163"/>
      <c r="AR277" s="163"/>
      <c r="AS277" s="163"/>
      <c r="AT277" s="163"/>
      <c r="AU277" s="163"/>
      <c r="AV277" s="163"/>
      <c r="AW277" s="163"/>
      <c r="AX277" s="163"/>
      <c r="AY277" s="163"/>
      <c r="AZ277" s="163"/>
      <c r="BA277" s="163"/>
      <c r="BB277" s="163"/>
      <c r="BC277" s="163"/>
      <c r="BD277" s="163"/>
    </row>
    <row r="278" spans="1:56" s="10" customFormat="1" ht="14.25" customHeight="1">
      <c r="A278" s="2">
        <v>276</v>
      </c>
      <c r="B278" s="47" t="s">
        <v>619</v>
      </c>
      <c r="C278" s="45" t="s">
        <v>619</v>
      </c>
      <c r="D278" s="138" t="s">
        <v>620</v>
      </c>
      <c r="E278" s="46">
        <v>2</v>
      </c>
      <c r="F278" s="46">
        <v>2</v>
      </c>
      <c r="G278" s="35" t="s">
        <v>613</v>
      </c>
      <c r="H278" s="36"/>
      <c r="I278" s="37">
        <f t="shared" si="19"/>
        <v>0</v>
      </c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>
        <f t="shared" si="16"/>
        <v>0</v>
      </c>
      <c r="W278" s="36"/>
      <c r="X278" s="38">
        <v>30000</v>
      </c>
      <c r="Y278" s="38" t="str">
        <f t="shared" si="17"/>
        <v>无需保养</v>
      </c>
      <c r="Z278" s="38">
        <f t="shared" si="18"/>
        <v>1</v>
      </c>
      <c r="AA278" s="163"/>
      <c r="AB278" s="163"/>
      <c r="AC278" s="163"/>
      <c r="AD278" s="163"/>
      <c r="AE278" s="163"/>
      <c r="AF278" s="163"/>
      <c r="AG278" s="163"/>
      <c r="AH278" s="163"/>
      <c r="AI278" s="163"/>
      <c r="AJ278" s="163"/>
      <c r="AK278" s="163"/>
      <c r="AL278" s="163"/>
      <c r="AM278" s="163"/>
      <c r="AN278" s="163"/>
      <c r="AO278" s="163"/>
      <c r="AP278" s="163"/>
      <c r="AQ278" s="163"/>
      <c r="AR278" s="163"/>
      <c r="AS278" s="163"/>
      <c r="AT278" s="163"/>
      <c r="AU278" s="163"/>
      <c r="AV278" s="163"/>
      <c r="AW278" s="163"/>
      <c r="AX278" s="163"/>
      <c r="AY278" s="163"/>
      <c r="AZ278" s="163"/>
      <c r="BA278" s="163"/>
      <c r="BB278" s="163"/>
      <c r="BC278" s="163"/>
      <c r="BD278" s="163"/>
    </row>
    <row r="279" spans="1:56" s="10" customFormat="1" ht="14.25" customHeight="1">
      <c r="A279" s="2">
        <v>277</v>
      </c>
      <c r="B279" s="47" t="s">
        <v>621</v>
      </c>
      <c r="C279" s="45" t="s">
        <v>621</v>
      </c>
      <c r="D279" s="138" t="s">
        <v>622</v>
      </c>
      <c r="E279" s="46">
        <v>1</v>
      </c>
      <c r="F279" s="46">
        <v>1</v>
      </c>
      <c r="G279" s="35" t="s">
        <v>613</v>
      </c>
      <c r="H279" s="36"/>
      <c r="I279" s="37">
        <f t="shared" si="19"/>
        <v>0</v>
      </c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>
        <f t="shared" si="16"/>
        <v>0</v>
      </c>
      <c r="W279" s="36"/>
      <c r="X279" s="38">
        <v>30000</v>
      </c>
      <c r="Y279" s="38" t="str">
        <f t="shared" si="17"/>
        <v>无需保养</v>
      </c>
      <c r="Z279" s="38">
        <f t="shared" si="18"/>
        <v>1</v>
      </c>
      <c r="AA279" s="163"/>
      <c r="AB279" s="163"/>
      <c r="AC279" s="163"/>
      <c r="AD279" s="163"/>
      <c r="AE279" s="163"/>
      <c r="AF279" s="163"/>
      <c r="AG279" s="163"/>
      <c r="AH279" s="163"/>
      <c r="AI279" s="163"/>
      <c r="AJ279" s="163"/>
      <c r="AK279" s="163"/>
      <c r="AL279" s="163"/>
      <c r="AM279" s="163"/>
      <c r="AN279" s="163"/>
      <c r="AO279" s="163"/>
      <c r="AP279" s="163"/>
      <c r="AQ279" s="163"/>
      <c r="AR279" s="163"/>
      <c r="AS279" s="163"/>
      <c r="AT279" s="163"/>
      <c r="AU279" s="163"/>
      <c r="AV279" s="163"/>
      <c r="AW279" s="163"/>
      <c r="AX279" s="163"/>
      <c r="AY279" s="163"/>
      <c r="AZ279" s="163"/>
      <c r="BA279" s="163"/>
      <c r="BB279" s="163"/>
      <c r="BC279" s="163"/>
      <c r="BD279" s="163"/>
    </row>
    <row r="280" spans="1:56" s="10" customFormat="1" ht="14.25" customHeight="1">
      <c r="A280" s="2">
        <v>278</v>
      </c>
      <c r="B280" s="44" t="s">
        <v>623</v>
      </c>
      <c r="C280" s="48" t="s">
        <v>623</v>
      </c>
      <c r="D280" s="138" t="s">
        <v>624</v>
      </c>
      <c r="E280" s="46">
        <v>4</v>
      </c>
      <c r="F280" s="46">
        <v>4</v>
      </c>
      <c r="G280" s="35" t="s">
        <v>613</v>
      </c>
      <c r="H280" s="36"/>
      <c r="I280" s="37">
        <f t="shared" si="19"/>
        <v>0</v>
      </c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>
        <f t="shared" si="16"/>
        <v>0</v>
      </c>
      <c r="W280" s="36"/>
      <c r="X280" s="38">
        <v>30000</v>
      </c>
      <c r="Y280" s="38" t="str">
        <f t="shared" si="17"/>
        <v>无需保养</v>
      </c>
      <c r="Z280" s="38">
        <f t="shared" si="18"/>
        <v>1</v>
      </c>
      <c r="AA280" s="163"/>
      <c r="AB280" s="163"/>
      <c r="AC280" s="163"/>
      <c r="AD280" s="163"/>
      <c r="AE280" s="163"/>
      <c r="AF280" s="163"/>
      <c r="AG280" s="163"/>
      <c r="AH280" s="163"/>
      <c r="AI280" s="163"/>
      <c r="AJ280" s="163"/>
      <c r="AK280" s="163"/>
      <c r="AL280" s="163"/>
      <c r="AM280" s="163"/>
      <c r="AN280" s="163"/>
      <c r="AO280" s="163"/>
      <c r="AP280" s="163"/>
      <c r="AQ280" s="163"/>
      <c r="AR280" s="163"/>
      <c r="AS280" s="163"/>
      <c r="AT280" s="163"/>
      <c r="AU280" s="163"/>
      <c r="AV280" s="163"/>
      <c r="AW280" s="163"/>
      <c r="AX280" s="163"/>
      <c r="AY280" s="163"/>
      <c r="AZ280" s="163"/>
      <c r="BA280" s="163"/>
      <c r="BB280" s="163"/>
      <c r="BC280" s="163"/>
      <c r="BD280" s="163"/>
    </row>
    <row r="281" spans="1:56" s="10" customFormat="1" ht="14.25" customHeight="1">
      <c r="A281" s="2">
        <v>279</v>
      </c>
      <c r="B281" s="44" t="s">
        <v>625</v>
      </c>
      <c r="C281" s="48" t="s">
        <v>625</v>
      </c>
      <c r="D281" s="138" t="s">
        <v>626</v>
      </c>
      <c r="E281" s="46">
        <v>4</v>
      </c>
      <c r="F281" s="46">
        <v>4</v>
      </c>
      <c r="G281" s="35" t="s">
        <v>613</v>
      </c>
      <c r="H281" s="36"/>
      <c r="I281" s="37">
        <f t="shared" si="19"/>
        <v>0</v>
      </c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>
        <f t="shared" si="16"/>
        <v>0</v>
      </c>
      <c r="W281" s="36"/>
      <c r="X281" s="38">
        <v>30000</v>
      </c>
      <c r="Y281" s="38" t="str">
        <f t="shared" si="17"/>
        <v>无需保养</v>
      </c>
      <c r="Z281" s="38">
        <f t="shared" si="18"/>
        <v>1</v>
      </c>
      <c r="AA281" s="163"/>
      <c r="AB281" s="163"/>
      <c r="AC281" s="163"/>
      <c r="AD281" s="163"/>
      <c r="AE281" s="163"/>
      <c r="AF281" s="163"/>
      <c r="AG281" s="163"/>
      <c r="AH281" s="163"/>
      <c r="AI281" s="163"/>
      <c r="AJ281" s="163"/>
      <c r="AK281" s="163"/>
      <c r="AL281" s="163"/>
      <c r="AM281" s="163"/>
      <c r="AN281" s="163"/>
      <c r="AO281" s="163"/>
      <c r="AP281" s="163"/>
      <c r="AQ281" s="163"/>
      <c r="AR281" s="163"/>
      <c r="AS281" s="163"/>
      <c r="AT281" s="163"/>
      <c r="AU281" s="163"/>
      <c r="AV281" s="163"/>
      <c r="AW281" s="163"/>
      <c r="AX281" s="163"/>
      <c r="AY281" s="163"/>
      <c r="AZ281" s="163"/>
      <c r="BA281" s="163"/>
      <c r="BB281" s="163"/>
      <c r="BC281" s="163"/>
      <c r="BD281" s="163"/>
    </row>
    <row r="282" spans="1:56" s="10" customFormat="1" ht="14.25" customHeight="1">
      <c r="A282" s="2">
        <v>280</v>
      </c>
      <c r="B282" s="44" t="s">
        <v>627</v>
      </c>
      <c r="C282" s="45" t="s">
        <v>627</v>
      </c>
      <c r="D282" s="138" t="s">
        <v>628</v>
      </c>
      <c r="E282" s="46">
        <v>8</v>
      </c>
      <c r="F282" s="46">
        <v>8</v>
      </c>
      <c r="G282" s="35" t="s">
        <v>613</v>
      </c>
      <c r="H282" s="36"/>
      <c r="I282" s="37">
        <f t="shared" si="19"/>
        <v>0</v>
      </c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>
        <f t="shared" si="16"/>
        <v>0</v>
      </c>
      <c r="W282" s="36"/>
      <c r="X282" s="38">
        <v>30000</v>
      </c>
      <c r="Y282" s="38" t="str">
        <f t="shared" si="17"/>
        <v>无需保养</v>
      </c>
      <c r="Z282" s="38">
        <f t="shared" si="18"/>
        <v>1</v>
      </c>
      <c r="AA282" s="163"/>
      <c r="AB282" s="163"/>
      <c r="AC282" s="163"/>
      <c r="AD282" s="163"/>
      <c r="AE282" s="163"/>
      <c r="AF282" s="163"/>
      <c r="AG282" s="163"/>
      <c r="AH282" s="163"/>
      <c r="AI282" s="163"/>
      <c r="AJ282" s="163"/>
      <c r="AK282" s="163"/>
      <c r="AL282" s="163"/>
      <c r="AM282" s="163"/>
      <c r="AN282" s="163"/>
      <c r="AO282" s="163"/>
      <c r="AP282" s="163"/>
      <c r="AQ282" s="163"/>
      <c r="AR282" s="163"/>
      <c r="AS282" s="163"/>
      <c r="AT282" s="163"/>
      <c r="AU282" s="163"/>
      <c r="AV282" s="163"/>
      <c r="AW282" s="163"/>
      <c r="AX282" s="163"/>
      <c r="AY282" s="163"/>
      <c r="AZ282" s="163"/>
      <c r="BA282" s="163"/>
      <c r="BB282" s="163"/>
      <c r="BC282" s="163"/>
      <c r="BD282" s="163"/>
    </row>
    <row r="283" spans="1:56" s="10" customFormat="1" ht="14.25" customHeight="1">
      <c r="A283" s="2">
        <v>281</v>
      </c>
      <c r="B283" s="44" t="s">
        <v>629</v>
      </c>
      <c r="C283" s="45" t="s">
        <v>629</v>
      </c>
      <c r="D283" s="138" t="s">
        <v>630</v>
      </c>
      <c r="E283" s="46">
        <v>6</v>
      </c>
      <c r="F283" s="46">
        <v>6</v>
      </c>
      <c r="G283" s="35" t="s">
        <v>613</v>
      </c>
      <c r="H283" s="36"/>
      <c r="I283" s="37">
        <f t="shared" si="19"/>
        <v>0</v>
      </c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>
        <f t="shared" si="16"/>
        <v>0</v>
      </c>
      <c r="W283" s="36"/>
      <c r="X283" s="38">
        <v>30000</v>
      </c>
      <c r="Y283" s="38" t="str">
        <f t="shared" si="17"/>
        <v>无需保养</v>
      </c>
      <c r="Z283" s="38">
        <f t="shared" si="18"/>
        <v>1</v>
      </c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3"/>
      <c r="AN283" s="163"/>
      <c r="AO283" s="163"/>
      <c r="AP283" s="163"/>
      <c r="AQ283" s="163"/>
      <c r="AR283" s="163"/>
      <c r="AS283" s="163"/>
      <c r="AT283" s="163"/>
      <c r="AU283" s="163"/>
      <c r="AV283" s="163"/>
      <c r="AW283" s="163"/>
      <c r="AX283" s="163"/>
      <c r="AY283" s="163"/>
      <c r="AZ283" s="163"/>
      <c r="BA283" s="163"/>
      <c r="BB283" s="163"/>
      <c r="BC283" s="163"/>
      <c r="BD283" s="163"/>
    </row>
    <row r="284" spans="1:56" s="10" customFormat="1" ht="14.25" customHeight="1">
      <c r="A284" s="2">
        <v>282</v>
      </c>
      <c r="B284" s="106" t="s">
        <v>631</v>
      </c>
      <c r="C284" s="45" t="s">
        <v>632</v>
      </c>
      <c r="D284" s="139" t="s">
        <v>633</v>
      </c>
      <c r="E284" s="46">
        <v>2</v>
      </c>
      <c r="F284" s="46">
        <v>2</v>
      </c>
      <c r="G284" s="35" t="s">
        <v>613</v>
      </c>
      <c r="H284" s="36"/>
      <c r="I284" s="37">
        <f t="shared" si="19"/>
        <v>0</v>
      </c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>
        <f t="shared" si="16"/>
        <v>0</v>
      </c>
      <c r="W284" s="36"/>
      <c r="X284" s="38">
        <v>30000</v>
      </c>
      <c r="Y284" s="38" t="str">
        <f t="shared" si="17"/>
        <v>无需保养</v>
      </c>
      <c r="Z284" s="38">
        <f t="shared" si="18"/>
        <v>1</v>
      </c>
      <c r="AA284" s="163"/>
      <c r="AB284" s="163"/>
      <c r="AC284" s="163"/>
      <c r="AD284" s="163"/>
      <c r="AE284" s="163"/>
      <c r="AF284" s="163"/>
      <c r="AG284" s="163"/>
      <c r="AH284" s="163"/>
      <c r="AI284" s="163"/>
      <c r="AJ284" s="163"/>
      <c r="AK284" s="163"/>
      <c r="AL284" s="163"/>
      <c r="AM284" s="163"/>
      <c r="AN284" s="163"/>
      <c r="AO284" s="163"/>
      <c r="AP284" s="163"/>
      <c r="AQ284" s="163"/>
      <c r="AR284" s="163"/>
      <c r="AS284" s="163"/>
      <c r="AT284" s="163"/>
      <c r="AU284" s="163"/>
      <c r="AV284" s="163"/>
      <c r="AW284" s="163"/>
      <c r="AX284" s="163"/>
      <c r="AY284" s="163"/>
      <c r="AZ284" s="163"/>
      <c r="BA284" s="163"/>
      <c r="BB284" s="163"/>
      <c r="BC284" s="163"/>
      <c r="BD284" s="163"/>
    </row>
    <row r="285" spans="1:56" s="10" customFormat="1" ht="14.25" customHeight="1">
      <c r="A285" s="2">
        <v>283</v>
      </c>
      <c r="B285" s="107" t="s">
        <v>634</v>
      </c>
      <c r="C285" s="45" t="s">
        <v>634</v>
      </c>
      <c r="D285" s="138" t="s">
        <v>633</v>
      </c>
      <c r="E285" s="46">
        <v>1</v>
      </c>
      <c r="F285" s="46">
        <v>1</v>
      </c>
      <c r="G285" s="35" t="s">
        <v>613</v>
      </c>
      <c r="H285" s="36"/>
      <c r="I285" s="37">
        <f t="shared" si="19"/>
        <v>0</v>
      </c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>
        <f t="shared" si="16"/>
        <v>0</v>
      </c>
      <c r="W285" s="36"/>
      <c r="X285" s="38">
        <v>30000</v>
      </c>
      <c r="Y285" s="38" t="str">
        <f t="shared" si="17"/>
        <v>无需保养</v>
      </c>
      <c r="Z285" s="38">
        <f t="shared" si="18"/>
        <v>1</v>
      </c>
      <c r="AA285" s="163"/>
      <c r="AB285" s="163"/>
      <c r="AC285" s="163"/>
      <c r="AD285" s="163"/>
      <c r="AE285" s="163"/>
      <c r="AF285" s="163"/>
      <c r="AG285" s="163"/>
      <c r="AH285" s="163"/>
      <c r="AI285" s="163"/>
      <c r="AJ285" s="163"/>
      <c r="AK285" s="163"/>
      <c r="AL285" s="163"/>
      <c r="AM285" s="163"/>
      <c r="AN285" s="163"/>
      <c r="AO285" s="163"/>
      <c r="AP285" s="163"/>
      <c r="AQ285" s="163"/>
      <c r="AR285" s="163"/>
      <c r="AS285" s="163"/>
      <c r="AT285" s="163"/>
      <c r="AU285" s="163"/>
      <c r="AV285" s="163"/>
      <c r="AW285" s="163"/>
      <c r="AX285" s="163"/>
      <c r="AY285" s="163"/>
      <c r="AZ285" s="163"/>
      <c r="BA285" s="163"/>
      <c r="BB285" s="163"/>
      <c r="BC285" s="163"/>
      <c r="BD285" s="163"/>
    </row>
    <row r="286" spans="1:56" s="10" customFormat="1" ht="14.25" customHeight="1">
      <c r="A286" s="2">
        <v>284</v>
      </c>
      <c r="B286" s="49" t="s">
        <v>635</v>
      </c>
      <c r="C286" s="45" t="s">
        <v>636</v>
      </c>
      <c r="D286" s="138" t="s">
        <v>612</v>
      </c>
      <c r="E286" s="46">
        <v>4</v>
      </c>
      <c r="F286" s="46">
        <v>4</v>
      </c>
      <c r="G286" s="35" t="s">
        <v>613</v>
      </c>
      <c r="H286" s="36"/>
      <c r="I286" s="37">
        <f t="shared" si="19"/>
        <v>0</v>
      </c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>
        <f t="shared" si="16"/>
        <v>0</v>
      </c>
      <c r="W286" s="36"/>
      <c r="X286" s="38">
        <v>30000</v>
      </c>
      <c r="Y286" s="38" t="str">
        <f t="shared" si="17"/>
        <v>无需保养</v>
      </c>
      <c r="Z286" s="38">
        <f t="shared" si="18"/>
        <v>1</v>
      </c>
      <c r="AA286" s="163"/>
      <c r="AB286" s="163"/>
      <c r="AC286" s="163"/>
      <c r="AD286" s="163"/>
      <c r="AE286" s="163"/>
      <c r="AF286" s="163"/>
      <c r="AG286" s="163"/>
      <c r="AH286" s="163"/>
      <c r="AI286" s="163"/>
      <c r="AJ286" s="163"/>
      <c r="AK286" s="163"/>
      <c r="AL286" s="163"/>
      <c r="AM286" s="163"/>
      <c r="AN286" s="163"/>
      <c r="AO286" s="163"/>
      <c r="AP286" s="163"/>
      <c r="AQ286" s="163"/>
      <c r="AR286" s="163"/>
      <c r="AS286" s="163"/>
      <c r="AT286" s="163"/>
      <c r="AU286" s="163"/>
      <c r="AV286" s="163"/>
      <c r="AW286" s="163"/>
      <c r="AX286" s="163"/>
      <c r="AY286" s="163"/>
      <c r="AZ286" s="163"/>
      <c r="BA286" s="163"/>
      <c r="BB286" s="163"/>
      <c r="BC286" s="163"/>
      <c r="BD286" s="163"/>
    </row>
    <row r="287" spans="1:56" s="10" customFormat="1" ht="14.25" customHeight="1">
      <c r="A287" s="2">
        <v>285</v>
      </c>
      <c r="B287" s="107" t="s">
        <v>637</v>
      </c>
      <c r="C287" s="45" t="s">
        <v>638</v>
      </c>
      <c r="D287" s="138" t="s">
        <v>639</v>
      </c>
      <c r="E287" s="46">
        <v>1</v>
      </c>
      <c r="F287" s="46">
        <v>1</v>
      </c>
      <c r="G287" s="35" t="s">
        <v>613</v>
      </c>
      <c r="H287" s="36"/>
      <c r="I287" s="37">
        <f t="shared" si="19"/>
        <v>0</v>
      </c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>
        <f t="shared" si="16"/>
        <v>0</v>
      </c>
      <c r="W287" s="36"/>
      <c r="X287" s="38">
        <v>30000</v>
      </c>
      <c r="Y287" s="38" t="str">
        <f t="shared" si="17"/>
        <v>无需保养</v>
      </c>
      <c r="Z287" s="38">
        <f t="shared" si="18"/>
        <v>1</v>
      </c>
      <c r="AA287" s="163"/>
      <c r="AB287" s="163"/>
      <c r="AC287" s="163"/>
      <c r="AD287" s="163"/>
      <c r="AE287" s="163"/>
      <c r="AF287" s="163"/>
      <c r="AG287" s="163"/>
      <c r="AH287" s="163"/>
      <c r="AI287" s="163"/>
      <c r="AJ287" s="163"/>
      <c r="AK287" s="163"/>
      <c r="AL287" s="163"/>
      <c r="AM287" s="163"/>
      <c r="AN287" s="163"/>
      <c r="AO287" s="163"/>
      <c r="AP287" s="163"/>
      <c r="AQ287" s="163"/>
      <c r="AR287" s="163"/>
      <c r="AS287" s="163"/>
      <c r="AT287" s="163"/>
      <c r="AU287" s="163"/>
      <c r="AV287" s="163"/>
      <c r="AW287" s="163"/>
      <c r="AX287" s="163"/>
      <c r="AY287" s="163"/>
      <c r="AZ287" s="163"/>
      <c r="BA287" s="163"/>
      <c r="BB287" s="163"/>
      <c r="BC287" s="163"/>
      <c r="BD287" s="163"/>
    </row>
    <row r="288" spans="1:56" s="10" customFormat="1" ht="14.25" customHeight="1">
      <c r="A288" s="2">
        <v>286</v>
      </c>
      <c r="B288" s="49" t="s">
        <v>640</v>
      </c>
      <c r="C288" s="45" t="s">
        <v>641</v>
      </c>
      <c r="D288" s="138" t="s">
        <v>642</v>
      </c>
      <c r="E288" s="46">
        <v>4</v>
      </c>
      <c r="F288" s="46">
        <v>4</v>
      </c>
      <c r="G288" s="35" t="s">
        <v>613</v>
      </c>
      <c r="H288" s="36"/>
      <c r="I288" s="37">
        <f t="shared" si="19"/>
        <v>0</v>
      </c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>
        <f t="shared" si="16"/>
        <v>0</v>
      </c>
      <c r="W288" s="36"/>
      <c r="X288" s="38">
        <v>30000</v>
      </c>
      <c r="Y288" s="38" t="str">
        <f t="shared" si="17"/>
        <v>无需保养</v>
      </c>
      <c r="Z288" s="38">
        <f t="shared" si="18"/>
        <v>1</v>
      </c>
      <c r="AA288" s="163"/>
      <c r="AB288" s="163"/>
      <c r="AC288" s="163"/>
      <c r="AD288" s="163"/>
      <c r="AE288" s="163"/>
      <c r="AF288" s="163"/>
      <c r="AG288" s="163"/>
      <c r="AH288" s="163"/>
      <c r="AI288" s="163"/>
      <c r="AJ288" s="163"/>
      <c r="AK288" s="163"/>
      <c r="AL288" s="163"/>
      <c r="AM288" s="163"/>
      <c r="AN288" s="163"/>
      <c r="AO288" s="163"/>
      <c r="AP288" s="163"/>
      <c r="AQ288" s="163"/>
      <c r="AR288" s="163"/>
      <c r="AS288" s="163"/>
      <c r="AT288" s="163"/>
      <c r="AU288" s="163"/>
      <c r="AV288" s="163"/>
      <c r="AW288" s="163"/>
      <c r="AX288" s="163"/>
      <c r="AY288" s="163"/>
      <c r="AZ288" s="163"/>
      <c r="BA288" s="163"/>
      <c r="BB288" s="163"/>
      <c r="BC288" s="163"/>
      <c r="BD288" s="163"/>
    </row>
    <row r="289" spans="1:56" s="10" customFormat="1" ht="14.25" customHeight="1">
      <c r="A289" s="2">
        <v>287</v>
      </c>
      <c r="B289" s="108" t="s">
        <v>643</v>
      </c>
      <c r="C289" s="50" t="s">
        <v>644</v>
      </c>
      <c r="D289" s="140" t="s">
        <v>645</v>
      </c>
      <c r="E289" s="42">
        <v>2</v>
      </c>
      <c r="F289" s="42">
        <v>2</v>
      </c>
      <c r="G289" s="35" t="s">
        <v>613</v>
      </c>
      <c r="H289" s="36"/>
      <c r="I289" s="37">
        <f t="shared" si="19"/>
        <v>0</v>
      </c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>
        <f t="shared" si="16"/>
        <v>0</v>
      </c>
      <c r="W289" s="36"/>
      <c r="X289" s="38">
        <v>30000</v>
      </c>
      <c r="Y289" s="38" t="str">
        <f t="shared" si="17"/>
        <v>无需保养</v>
      </c>
      <c r="Z289" s="38">
        <f t="shared" si="18"/>
        <v>1</v>
      </c>
      <c r="AA289" s="163"/>
      <c r="AB289" s="163"/>
      <c r="AC289" s="163"/>
      <c r="AD289" s="163"/>
      <c r="AE289" s="163"/>
      <c r="AF289" s="163"/>
      <c r="AG289" s="163"/>
      <c r="AH289" s="163"/>
      <c r="AI289" s="163"/>
      <c r="AJ289" s="163"/>
      <c r="AK289" s="163"/>
      <c r="AL289" s="163"/>
      <c r="AM289" s="163"/>
      <c r="AN289" s="163"/>
      <c r="AO289" s="163"/>
      <c r="AP289" s="163"/>
      <c r="AQ289" s="163"/>
      <c r="AR289" s="163"/>
      <c r="AS289" s="163"/>
      <c r="AT289" s="163"/>
      <c r="AU289" s="163"/>
      <c r="AV289" s="163"/>
      <c r="AW289" s="163"/>
      <c r="AX289" s="163"/>
      <c r="AY289" s="163"/>
      <c r="AZ289" s="163"/>
      <c r="BA289" s="163"/>
      <c r="BB289" s="163"/>
      <c r="BC289" s="163"/>
      <c r="BD289" s="163"/>
    </row>
    <row r="290" spans="1:56" s="10" customFormat="1" ht="14.25" customHeight="1">
      <c r="A290" s="2">
        <v>288</v>
      </c>
      <c r="B290" s="65" t="s">
        <v>646</v>
      </c>
      <c r="C290" s="51" t="s">
        <v>647</v>
      </c>
      <c r="D290" s="141" t="s">
        <v>648</v>
      </c>
      <c r="E290" s="52">
        <v>2</v>
      </c>
      <c r="F290" s="52">
        <v>2</v>
      </c>
      <c r="G290" s="35" t="s">
        <v>613</v>
      </c>
      <c r="H290" s="36"/>
      <c r="I290" s="37">
        <f t="shared" si="19"/>
        <v>0</v>
      </c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>
        <f t="shared" si="16"/>
        <v>0</v>
      </c>
      <c r="W290" s="36"/>
      <c r="X290" s="38">
        <v>30000</v>
      </c>
      <c r="Y290" s="38" t="str">
        <f t="shared" si="17"/>
        <v>无需保养</v>
      </c>
      <c r="Z290" s="38">
        <f t="shared" si="18"/>
        <v>1</v>
      </c>
      <c r="AA290" s="163"/>
      <c r="AB290" s="163"/>
      <c r="AC290" s="163"/>
      <c r="AD290" s="163"/>
      <c r="AE290" s="163"/>
      <c r="AF290" s="163"/>
      <c r="AG290" s="163"/>
      <c r="AH290" s="163"/>
      <c r="AI290" s="163"/>
      <c r="AJ290" s="163"/>
      <c r="AK290" s="163"/>
      <c r="AL290" s="163"/>
      <c r="AM290" s="163"/>
      <c r="AN290" s="163"/>
      <c r="AO290" s="163"/>
      <c r="AP290" s="163"/>
      <c r="AQ290" s="163"/>
      <c r="AR290" s="163"/>
      <c r="AS290" s="163"/>
      <c r="AT290" s="163"/>
      <c r="AU290" s="163"/>
      <c r="AV290" s="163"/>
      <c r="AW290" s="163"/>
      <c r="AX290" s="163"/>
      <c r="AY290" s="163"/>
      <c r="AZ290" s="163"/>
      <c r="BA290" s="163"/>
      <c r="BB290" s="163"/>
      <c r="BC290" s="163"/>
      <c r="BD290" s="163"/>
    </row>
    <row r="291" spans="1:56" s="10" customFormat="1" ht="14.25" customHeight="1">
      <c r="A291" s="2">
        <v>289</v>
      </c>
      <c r="B291" s="109" t="s">
        <v>649</v>
      </c>
      <c r="C291" s="50" t="s">
        <v>650</v>
      </c>
      <c r="D291" s="141" t="s">
        <v>651</v>
      </c>
      <c r="E291" s="52">
        <v>2</v>
      </c>
      <c r="F291" s="52">
        <v>2</v>
      </c>
      <c r="G291" s="35" t="s">
        <v>613</v>
      </c>
      <c r="H291" s="36"/>
      <c r="I291" s="37">
        <f t="shared" si="19"/>
        <v>0</v>
      </c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>
        <f t="shared" si="16"/>
        <v>0</v>
      </c>
      <c r="W291" s="36"/>
      <c r="X291" s="38">
        <v>30000</v>
      </c>
      <c r="Y291" s="38" t="str">
        <f t="shared" si="17"/>
        <v>无需保养</v>
      </c>
      <c r="Z291" s="38">
        <f t="shared" si="18"/>
        <v>1</v>
      </c>
      <c r="AA291" s="163"/>
      <c r="AB291" s="163"/>
      <c r="AC291" s="163"/>
      <c r="AD291" s="163"/>
      <c r="AE291" s="163"/>
      <c r="AF291" s="163"/>
      <c r="AG291" s="163"/>
      <c r="AH291" s="163"/>
      <c r="AI291" s="163"/>
      <c r="AJ291" s="163"/>
      <c r="AK291" s="163"/>
      <c r="AL291" s="163"/>
      <c r="AM291" s="163"/>
      <c r="AN291" s="163"/>
      <c r="AO291" s="163"/>
      <c r="AP291" s="163"/>
      <c r="AQ291" s="163"/>
      <c r="AR291" s="163"/>
      <c r="AS291" s="163"/>
      <c r="AT291" s="163"/>
      <c r="AU291" s="163"/>
      <c r="AV291" s="163"/>
      <c r="AW291" s="163"/>
      <c r="AX291" s="163"/>
      <c r="AY291" s="163"/>
      <c r="AZ291" s="163"/>
      <c r="BA291" s="163"/>
      <c r="BB291" s="163"/>
      <c r="BC291" s="163"/>
      <c r="BD291" s="163"/>
    </row>
    <row r="292" spans="1:56" s="10" customFormat="1" ht="14.25" customHeight="1">
      <c r="A292" s="2">
        <v>290</v>
      </c>
      <c r="B292" s="109" t="s">
        <v>652</v>
      </c>
      <c r="C292" s="50" t="s">
        <v>653</v>
      </c>
      <c r="D292" s="142" t="s">
        <v>633</v>
      </c>
      <c r="E292" s="42">
        <v>3</v>
      </c>
      <c r="F292" s="42">
        <v>3</v>
      </c>
      <c r="G292" s="35" t="s">
        <v>613</v>
      </c>
      <c r="H292" s="36"/>
      <c r="I292" s="37">
        <f t="shared" si="19"/>
        <v>0</v>
      </c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>
        <f t="shared" si="16"/>
        <v>0</v>
      </c>
      <c r="W292" s="36"/>
      <c r="X292" s="38">
        <v>30000</v>
      </c>
      <c r="Y292" s="38" t="str">
        <f t="shared" si="17"/>
        <v>无需保养</v>
      </c>
      <c r="Z292" s="38">
        <f t="shared" si="18"/>
        <v>1</v>
      </c>
      <c r="AA292" s="163"/>
      <c r="AB292" s="163"/>
      <c r="AC292" s="163"/>
      <c r="AD292" s="163"/>
      <c r="AE292" s="163"/>
      <c r="AF292" s="163"/>
      <c r="AG292" s="163"/>
      <c r="AH292" s="163"/>
      <c r="AI292" s="163"/>
      <c r="AJ292" s="163"/>
      <c r="AK292" s="163"/>
      <c r="AL292" s="163"/>
      <c r="AM292" s="163"/>
      <c r="AN292" s="163"/>
      <c r="AO292" s="163"/>
      <c r="AP292" s="163"/>
      <c r="AQ292" s="163"/>
      <c r="AR292" s="163"/>
      <c r="AS292" s="163"/>
      <c r="AT292" s="163"/>
      <c r="AU292" s="163"/>
      <c r="AV292" s="163"/>
      <c r="AW292" s="163"/>
      <c r="AX292" s="163"/>
      <c r="AY292" s="163"/>
      <c r="AZ292" s="163"/>
      <c r="BA292" s="163"/>
      <c r="BB292" s="163"/>
      <c r="BC292" s="163"/>
      <c r="BD292" s="163"/>
    </row>
    <row r="293" spans="1:56" s="10" customFormat="1" ht="14.25" customHeight="1">
      <c r="A293" s="2">
        <v>291</v>
      </c>
      <c r="B293" s="109" t="s">
        <v>654</v>
      </c>
      <c r="C293" s="50" t="s">
        <v>654</v>
      </c>
      <c r="D293" s="142" t="s">
        <v>655</v>
      </c>
      <c r="E293" s="42">
        <v>1</v>
      </c>
      <c r="F293" s="42">
        <v>1</v>
      </c>
      <c r="G293" s="35" t="s">
        <v>613</v>
      </c>
      <c r="H293" s="36"/>
      <c r="I293" s="37">
        <f t="shared" si="19"/>
        <v>0</v>
      </c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>
        <f t="shared" si="16"/>
        <v>0</v>
      </c>
      <c r="W293" s="36"/>
      <c r="X293" s="38">
        <v>30000</v>
      </c>
      <c r="Y293" s="38" t="str">
        <f t="shared" si="17"/>
        <v>无需保养</v>
      </c>
      <c r="Z293" s="38">
        <f t="shared" si="18"/>
        <v>1</v>
      </c>
      <c r="AA293" s="163"/>
      <c r="AB293" s="163"/>
      <c r="AC293" s="163"/>
      <c r="AD293" s="163"/>
      <c r="AE293" s="163"/>
      <c r="AF293" s="163"/>
      <c r="AG293" s="163"/>
      <c r="AH293" s="163"/>
      <c r="AI293" s="163"/>
      <c r="AJ293" s="163"/>
      <c r="AK293" s="163"/>
      <c r="AL293" s="163"/>
      <c r="AM293" s="163"/>
      <c r="AN293" s="163"/>
      <c r="AO293" s="163"/>
      <c r="AP293" s="163"/>
      <c r="AQ293" s="163"/>
      <c r="AR293" s="163"/>
      <c r="AS293" s="163"/>
      <c r="AT293" s="163"/>
      <c r="AU293" s="163"/>
      <c r="AV293" s="163"/>
      <c r="AW293" s="163"/>
      <c r="AX293" s="163"/>
      <c r="AY293" s="163"/>
      <c r="AZ293" s="163"/>
      <c r="BA293" s="163"/>
      <c r="BB293" s="163"/>
      <c r="BC293" s="163"/>
      <c r="BD293" s="163"/>
    </row>
    <row r="294" spans="1:56" s="10" customFormat="1" ht="14.25" customHeight="1">
      <c r="A294" s="2">
        <v>292</v>
      </c>
      <c r="B294" s="109" t="s">
        <v>656</v>
      </c>
      <c r="C294" s="50" t="s">
        <v>656</v>
      </c>
      <c r="D294" s="141" t="s">
        <v>657</v>
      </c>
      <c r="E294" s="42">
        <v>1</v>
      </c>
      <c r="F294" s="42">
        <v>1</v>
      </c>
      <c r="G294" s="35" t="s">
        <v>613</v>
      </c>
      <c r="H294" s="36"/>
      <c r="I294" s="37">
        <f t="shared" si="19"/>
        <v>0</v>
      </c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>
        <f t="shared" si="16"/>
        <v>0</v>
      </c>
      <c r="W294" s="36"/>
      <c r="X294" s="38">
        <v>30000</v>
      </c>
      <c r="Y294" s="38" t="str">
        <f t="shared" si="17"/>
        <v>无需保养</v>
      </c>
      <c r="Z294" s="38">
        <f t="shared" si="18"/>
        <v>1</v>
      </c>
      <c r="AA294" s="163"/>
      <c r="AB294" s="163"/>
      <c r="AC294" s="163"/>
      <c r="AD294" s="163"/>
      <c r="AE294" s="163"/>
      <c r="AF294" s="163"/>
      <c r="AG294" s="163"/>
      <c r="AH294" s="163"/>
      <c r="AI294" s="163"/>
      <c r="AJ294" s="163"/>
      <c r="AK294" s="163"/>
      <c r="AL294" s="163"/>
      <c r="AM294" s="163"/>
      <c r="AN294" s="163"/>
      <c r="AO294" s="163"/>
      <c r="AP294" s="163"/>
      <c r="AQ294" s="163"/>
      <c r="AR294" s="163"/>
      <c r="AS294" s="163"/>
      <c r="AT294" s="163"/>
      <c r="AU294" s="163"/>
      <c r="AV294" s="163"/>
      <c r="AW294" s="163"/>
      <c r="AX294" s="163"/>
      <c r="AY294" s="163"/>
      <c r="AZ294" s="163"/>
      <c r="BA294" s="163"/>
      <c r="BB294" s="163"/>
      <c r="BC294" s="163"/>
      <c r="BD294" s="163"/>
    </row>
    <row r="295" spans="1:56" s="10" customFormat="1" ht="14.25" customHeight="1">
      <c r="A295" s="2">
        <v>293</v>
      </c>
      <c r="B295" s="109" t="s">
        <v>658</v>
      </c>
      <c r="C295" s="50" t="s">
        <v>659</v>
      </c>
      <c r="D295" s="141" t="s">
        <v>660</v>
      </c>
      <c r="E295" s="42">
        <v>1</v>
      </c>
      <c r="F295" s="42">
        <v>1</v>
      </c>
      <c r="G295" s="35" t="s">
        <v>613</v>
      </c>
      <c r="H295" s="36"/>
      <c r="I295" s="37">
        <f t="shared" si="19"/>
        <v>0</v>
      </c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>
        <f t="shared" si="16"/>
        <v>0</v>
      </c>
      <c r="W295" s="36"/>
      <c r="X295" s="38">
        <v>30000</v>
      </c>
      <c r="Y295" s="38" t="str">
        <f t="shared" si="17"/>
        <v>无需保养</v>
      </c>
      <c r="Z295" s="38">
        <f t="shared" si="18"/>
        <v>1</v>
      </c>
      <c r="AA295" s="163"/>
      <c r="AB295" s="163"/>
      <c r="AC295" s="163"/>
      <c r="AD295" s="163"/>
      <c r="AE295" s="163"/>
      <c r="AF295" s="163"/>
      <c r="AG295" s="163"/>
      <c r="AH295" s="163"/>
      <c r="AI295" s="163"/>
      <c r="AJ295" s="163"/>
      <c r="AK295" s="163"/>
      <c r="AL295" s="163"/>
      <c r="AM295" s="163"/>
      <c r="AN295" s="163"/>
      <c r="AO295" s="163"/>
      <c r="AP295" s="163"/>
      <c r="AQ295" s="163"/>
      <c r="AR295" s="163"/>
      <c r="AS295" s="163"/>
      <c r="AT295" s="163"/>
      <c r="AU295" s="163"/>
      <c r="AV295" s="163"/>
      <c r="AW295" s="163"/>
      <c r="AX295" s="163"/>
      <c r="AY295" s="163"/>
      <c r="AZ295" s="163"/>
      <c r="BA295" s="163"/>
      <c r="BB295" s="163"/>
      <c r="BC295" s="163"/>
      <c r="BD295" s="163"/>
    </row>
    <row r="296" spans="1:56" s="10" customFormat="1" ht="14.25" customHeight="1">
      <c r="A296" s="2">
        <v>294</v>
      </c>
      <c r="B296" s="41" t="s">
        <v>661</v>
      </c>
      <c r="C296" s="53" t="s">
        <v>662</v>
      </c>
      <c r="D296" s="143" t="s">
        <v>663</v>
      </c>
      <c r="E296" s="42">
        <v>2</v>
      </c>
      <c r="F296" s="42">
        <v>2</v>
      </c>
      <c r="G296" s="35" t="s">
        <v>613</v>
      </c>
      <c r="H296" s="36"/>
      <c r="I296" s="37">
        <f t="shared" si="19"/>
        <v>0</v>
      </c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>
        <f t="shared" si="16"/>
        <v>0</v>
      </c>
      <c r="W296" s="36"/>
      <c r="X296" s="38">
        <v>30000</v>
      </c>
      <c r="Y296" s="38" t="str">
        <f t="shared" si="17"/>
        <v>无需保养</v>
      </c>
      <c r="Z296" s="38">
        <f t="shared" si="18"/>
        <v>1</v>
      </c>
      <c r="AA296" s="163"/>
      <c r="AB296" s="163"/>
      <c r="AC296" s="163"/>
      <c r="AD296" s="163"/>
      <c r="AE296" s="163"/>
      <c r="AF296" s="163"/>
      <c r="AG296" s="163"/>
      <c r="AH296" s="163"/>
      <c r="AI296" s="163"/>
      <c r="AJ296" s="163"/>
      <c r="AK296" s="163"/>
      <c r="AL296" s="163"/>
      <c r="AM296" s="163"/>
      <c r="AN296" s="163"/>
      <c r="AO296" s="163"/>
      <c r="AP296" s="163"/>
      <c r="AQ296" s="163"/>
      <c r="AR296" s="163"/>
      <c r="AS296" s="163"/>
      <c r="AT296" s="163"/>
      <c r="AU296" s="163"/>
      <c r="AV296" s="163"/>
      <c r="AW296" s="163"/>
      <c r="AX296" s="163"/>
      <c r="AY296" s="163"/>
      <c r="AZ296" s="163"/>
      <c r="BA296" s="163"/>
      <c r="BB296" s="163"/>
      <c r="BC296" s="163"/>
      <c r="BD296" s="163"/>
    </row>
    <row r="297" spans="1:56" s="10" customFormat="1" ht="14.25" customHeight="1">
      <c r="A297" s="2">
        <v>295</v>
      </c>
      <c r="B297" s="41" t="s">
        <v>664</v>
      </c>
      <c r="C297" s="53" t="s">
        <v>664</v>
      </c>
      <c r="D297" s="143" t="s">
        <v>663</v>
      </c>
      <c r="E297" s="42">
        <v>2</v>
      </c>
      <c r="F297" s="42">
        <v>2</v>
      </c>
      <c r="G297" s="35" t="s">
        <v>613</v>
      </c>
      <c r="H297" s="36"/>
      <c r="I297" s="37">
        <f t="shared" si="19"/>
        <v>0</v>
      </c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>
        <f t="shared" si="16"/>
        <v>0</v>
      </c>
      <c r="W297" s="36"/>
      <c r="X297" s="38">
        <v>30000</v>
      </c>
      <c r="Y297" s="38" t="str">
        <f t="shared" si="17"/>
        <v>无需保养</v>
      </c>
      <c r="Z297" s="38">
        <f t="shared" si="18"/>
        <v>1</v>
      </c>
      <c r="AA297" s="163"/>
      <c r="AB297" s="163"/>
      <c r="AC297" s="163"/>
      <c r="AD297" s="163"/>
      <c r="AE297" s="163"/>
      <c r="AF297" s="163"/>
      <c r="AG297" s="163"/>
      <c r="AH297" s="163"/>
      <c r="AI297" s="163"/>
      <c r="AJ297" s="163"/>
      <c r="AK297" s="163"/>
      <c r="AL297" s="163"/>
      <c r="AM297" s="163"/>
      <c r="AN297" s="163"/>
      <c r="AO297" s="163"/>
      <c r="AP297" s="163"/>
      <c r="AQ297" s="163"/>
      <c r="AR297" s="163"/>
      <c r="AS297" s="163"/>
      <c r="AT297" s="163"/>
      <c r="AU297" s="163"/>
      <c r="AV297" s="163"/>
      <c r="AW297" s="163"/>
      <c r="AX297" s="163"/>
      <c r="AY297" s="163"/>
      <c r="AZ297" s="163"/>
      <c r="BA297" s="163"/>
      <c r="BB297" s="163"/>
      <c r="BC297" s="163"/>
      <c r="BD297" s="163"/>
    </row>
    <row r="298" spans="1:56" s="10" customFormat="1" ht="14.25" customHeight="1">
      <c r="A298" s="2">
        <v>296</v>
      </c>
      <c r="B298" s="41" t="s">
        <v>665</v>
      </c>
      <c r="C298" s="53" t="s">
        <v>665</v>
      </c>
      <c r="D298" s="141" t="s">
        <v>666</v>
      </c>
      <c r="E298" s="42">
        <v>1</v>
      </c>
      <c r="F298" s="42">
        <v>1</v>
      </c>
      <c r="G298" s="35" t="s">
        <v>613</v>
      </c>
      <c r="H298" s="36"/>
      <c r="I298" s="37">
        <f t="shared" si="19"/>
        <v>0</v>
      </c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>
        <f t="shared" si="16"/>
        <v>0</v>
      </c>
      <c r="W298" s="36"/>
      <c r="X298" s="38">
        <v>30000</v>
      </c>
      <c r="Y298" s="38" t="str">
        <f t="shared" si="17"/>
        <v>无需保养</v>
      </c>
      <c r="Z298" s="38">
        <f t="shared" si="18"/>
        <v>1</v>
      </c>
      <c r="AA298" s="163"/>
      <c r="AB298" s="163"/>
      <c r="AC298" s="163"/>
      <c r="AD298" s="163"/>
      <c r="AE298" s="163"/>
      <c r="AF298" s="163"/>
      <c r="AG298" s="163"/>
      <c r="AH298" s="163"/>
      <c r="AI298" s="163"/>
      <c r="AJ298" s="163"/>
      <c r="AK298" s="163"/>
      <c r="AL298" s="163"/>
      <c r="AM298" s="163"/>
      <c r="AN298" s="163"/>
      <c r="AO298" s="163"/>
      <c r="AP298" s="163"/>
      <c r="AQ298" s="163"/>
      <c r="AR298" s="163"/>
      <c r="AS298" s="163"/>
      <c r="AT298" s="163"/>
      <c r="AU298" s="163"/>
      <c r="AV298" s="163"/>
      <c r="AW298" s="163"/>
      <c r="AX298" s="163"/>
      <c r="AY298" s="163"/>
      <c r="AZ298" s="163"/>
      <c r="BA298" s="163"/>
      <c r="BB298" s="163"/>
      <c r="BC298" s="163"/>
      <c r="BD298" s="163"/>
    </row>
    <row r="299" spans="1:56" s="10" customFormat="1" ht="14.25" customHeight="1">
      <c r="A299" s="2">
        <v>297</v>
      </c>
      <c r="B299" s="65" t="s">
        <v>667</v>
      </c>
      <c r="C299" s="53" t="s">
        <v>667</v>
      </c>
      <c r="D299" s="141" t="s">
        <v>668</v>
      </c>
      <c r="E299" s="42">
        <v>2</v>
      </c>
      <c r="F299" s="42">
        <v>2</v>
      </c>
      <c r="G299" s="35" t="s">
        <v>613</v>
      </c>
      <c r="H299" s="36"/>
      <c r="I299" s="37">
        <f t="shared" si="19"/>
        <v>0</v>
      </c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>
        <f t="shared" si="16"/>
        <v>0</v>
      </c>
      <c r="W299" s="36"/>
      <c r="X299" s="38">
        <v>30000</v>
      </c>
      <c r="Y299" s="38" t="str">
        <f t="shared" si="17"/>
        <v>无需保养</v>
      </c>
      <c r="Z299" s="38">
        <f t="shared" si="18"/>
        <v>1</v>
      </c>
      <c r="AA299" s="163"/>
      <c r="AB299" s="163"/>
      <c r="AC299" s="163"/>
      <c r="AD299" s="163"/>
      <c r="AE299" s="163"/>
      <c r="AF299" s="163"/>
      <c r="AG299" s="163"/>
      <c r="AH299" s="163"/>
      <c r="AI299" s="163"/>
      <c r="AJ299" s="163"/>
      <c r="AK299" s="163"/>
      <c r="AL299" s="163"/>
      <c r="AM299" s="163"/>
      <c r="AN299" s="163"/>
      <c r="AO299" s="163"/>
      <c r="AP299" s="163"/>
      <c r="AQ299" s="163"/>
      <c r="AR299" s="163"/>
      <c r="AS299" s="163"/>
      <c r="AT299" s="163"/>
      <c r="AU299" s="163"/>
      <c r="AV299" s="163"/>
      <c r="AW299" s="163"/>
      <c r="AX299" s="163"/>
      <c r="AY299" s="163"/>
      <c r="AZ299" s="163"/>
      <c r="BA299" s="163"/>
      <c r="BB299" s="163"/>
      <c r="BC299" s="163"/>
      <c r="BD299" s="163"/>
    </row>
    <row r="300" spans="1:56" ht="14.25" customHeight="1">
      <c r="A300" s="2">
        <v>298</v>
      </c>
      <c r="B300" s="54" t="s">
        <v>669</v>
      </c>
      <c r="C300" s="53" t="s">
        <v>670</v>
      </c>
      <c r="D300" s="143" t="s">
        <v>671</v>
      </c>
      <c r="E300" s="42">
        <v>2</v>
      </c>
      <c r="F300" s="42">
        <v>2</v>
      </c>
      <c r="G300" s="35" t="s">
        <v>613</v>
      </c>
      <c r="H300" s="36"/>
      <c r="I300" s="37">
        <f t="shared" si="19"/>
        <v>0</v>
      </c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>
        <f t="shared" si="16"/>
        <v>0</v>
      </c>
      <c r="W300" s="36"/>
      <c r="X300" s="38">
        <v>30000</v>
      </c>
      <c r="Y300" s="38" t="str">
        <f t="shared" si="17"/>
        <v>无需保养</v>
      </c>
      <c r="Z300" s="38">
        <f t="shared" si="18"/>
        <v>1</v>
      </c>
      <c r="AA300" s="164"/>
      <c r="AB300" s="164"/>
      <c r="AC300" s="164"/>
      <c r="AD300" s="164"/>
      <c r="AE300" s="164"/>
      <c r="AF300" s="164"/>
      <c r="AG300" s="164"/>
      <c r="AH300" s="164"/>
      <c r="AI300" s="164"/>
      <c r="AJ300" s="164"/>
      <c r="AK300" s="164"/>
      <c r="AL300" s="164"/>
      <c r="AM300" s="164"/>
      <c r="AN300" s="164"/>
      <c r="AO300" s="164"/>
      <c r="AP300" s="164"/>
      <c r="AQ300" s="164"/>
      <c r="AR300" s="164"/>
      <c r="AS300" s="164"/>
      <c r="AT300" s="164"/>
      <c r="AU300" s="164"/>
      <c r="AV300" s="164"/>
      <c r="AW300" s="164"/>
      <c r="AX300" s="164"/>
      <c r="AY300" s="164"/>
      <c r="AZ300" s="164"/>
      <c r="BA300" s="164"/>
      <c r="BB300" s="164"/>
      <c r="BC300" s="164"/>
      <c r="BD300" s="164"/>
    </row>
    <row r="301" spans="1:56" ht="14.25" customHeight="1">
      <c r="A301" s="2">
        <v>299</v>
      </c>
      <c r="B301" s="110" t="s">
        <v>672</v>
      </c>
      <c r="C301" s="53" t="s">
        <v>673</v>
      </c>
      <c r="D301" s="140" t="s">
        <v>674</v>
      </c>
      <c r="E301" s="42">
        <v>1</v>
      </c>
      <c r="F301" s="42">
        <v>1</v>
      </c>
      <c r="G301" s="35" t="s">
        <v>613</v>
      </c>
      <c r="H301" s="36"/>
      <c r="I301" s="37">
        <f t="shared" si="19"/>
        <v>0</v>
      </c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>
        <f t="shared" si="16"/>
        <v>0</v>
      </c>
      <c r="W301" s="36"/>
      <c r="X301" s="38">
        <v>30000</v>
      </c>
      <c r="Y301" s="38" t="str">
        <f t="shared" si="17"/>
        <v>无需保养</v>
      </c>
      <c r="Z301" s="38">
        <f t="shared" si="18"/>
        <v>1</v>
      </c>
      <c r="AA301" s="164"/>
      <c r="AB301" s="164"/>
      <c r="AC301" s="164"/>
      <c r="AD301" s="164"/>
      <c r="AE301" s="164"/>
      <c r="AF301" s="164"/>
      <c r="AG301" s="164"/>
      <c r="AH301" s="164"/>
      <c r="AI301" s="164"/>
      <c r="AJ301" s="164"/>
      <c r="AK301" s="164"/>
      <c r="AL301" s="164"/>
      <c r="AM301" s="164"/>
      <c r="AN301" s="164"/>
      <c r="AO301" s="164"/>
      <c r="AP301" s="164"/>
      <c r="AQ301" s="164"/>
      <c r="AR301" s="164"/>
      <c r="AS301" s="164"/>
      <c r="AT301" s="164"/>
      <c r="AU301" s="164"/>
      <c r="AV301" s="164"/>
      <c r="AW301" s="164"/>
      <c r="AX301" s="164"/>
      <c r="AY301" s="164"/>
      <c r="AZ301" s="164"/>
      <c r="BA301" s="164"/>
      <c r="BB301" s="164"/>
      <c r="BC301" s="164"/>
      <c r="BD301" s="164"/>
    </row>
    <row r="302" spans="1:56" ht="14.25" customHeight="1">
      <c r="A302" s="2">
        <v>300</v>
      </c>
      <c r="B302" s="65" t="s">
        <v>675</v>
      </c>
      <c r="C302" s="50" t="s">
        <v>675</v>
      </c>
      <c r="D302" s="142" t="s">
        <v>676</v>
      </c>
      <c r="E302" s="42">
        <v>1</v>
      </c>
      <c r="F302" s="42">
        <v>1</v>
      </c>
      <c r="G302" s="35" t="s">
        <v>613</v>
      </c>
      <c r="H302" s="36"/>
      <c r="I302" s="37">
        <f t="shared" si="19"/>
        <v>0</v>
      </c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>
        <f t="shared" si="16"/>
        <v>0</v>
      </c>
      <c r="W302" s="36"/>
      <c r="X302" s="38">
        <v>30000</v>
      </c>
      <c r="Y302" s="38" t="str">
        <f t="shared" si="17"/>
        <v>无需保养</v>
      </c>
      <c r="Z302" s="38">
        <f t="shared" si="18"/>
        <v>1</v>
      </c>
      <c r="AA302" s="164"/>
      <c r="AB302" s="164"/>
      <c r="AC302" s="164"/>
      <c r="AD302" s="164"/>
      <c r="AE302" s="164"/>
      <c r="AF302" s="164"/>
      <c r="AG302" s="164"/>
      <c r="AH302" s="164"/>
      <c r="AI302" s="164"/>
      <c r="AJ302" s="164"/>
      <c r="AK302" s="164"/>
      <c r="AL302" s="164"/>
      <c r="AM302" s="164"/>
      <c r="AN302" s="164"/>
      <c r="AO302" s="164"/>
      <c r="AP302" s="164"/>
      <c r="AQ302" s="164"/>
      <c r="AR302" s="164"/>
      <c r="AS302" s="164"/>
      <c r="AT302" s="164"/>
      <c r="AU302" s="164"/>
      <c r="AV302" s="164"/>
      <c r="AW302" s="164"/>
      <c r="AX302" s="164"/>
      <c r="AY302" s="164"/>
      <c r="AZ302" s="164"/>
      <c r="BA302" s="164"/>
      <c r="BB302" s="164"/>
      <c r="BC302" s="164"/>
      <c r="BD302" s="164"/>
    </row>
    <row r="303" spans="1:56" ht="14.25" customHeight="1">
      <c r="A303" s="2">
        <v>301</v>
      </c>
      <c r="B303" s="55" t="s">
        <v>677</v>
      </c>
      <c r="C303" s="53" t="s">
        <v>678</v>
      </c>
      <c r="D303" s="144" t="s">
        <v>679</v>
      </c>
      <c r="E303" s="42">
        <v>1</v>
      </c>
      <c r="F303" s="42">
        <v>1</v>
      </c>
      <c r="G303" s="35" t="s">
        <v>613</v>
      </c>
      <c r="H303" s="36"/>
      <c r="I303" s="37">
        <f t="shared" si="19"/>
        <v>0</v>
      </c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>
        <f t="shared" si="16"/>
        <v>0</v>
      </c>
      <c r="W303" s="36"/>
      <c r="X303" s="38">
        <v>30000</v>
      </c>
      <c r="Y303" s="38" t="str">
        <f t="shared" si="17"/>
        <v>无需保养</v>
      </c>
      <c r="Z303" s="38">
        <f t="shared" si="18"/>
        <v>1</v>
      </c>
      <c r="AA303" s="164"/>
      <c r="AB303" s="164"/>
      <c r="AC303" s="164"/>
      <c r="AD303" s="164"/>
      <c r="AE303" s="164"/>
      <c r="AF303" s="164"/>
      <c r="AG303" s="164"/>
      <c r="AH303" s="164"/>
      <c r="AI303" s="164"/>
      <c r="AJ303" s="164"/>
      <c r="AK303" s="164"/>
      <c r="AL303" s="164"/>
      <c r="AM303" s="164"/>
      <c r="AN303" s="164"/>
      <c r="AO303" s="164"/>
      <c r="AP303" s="164"/>
      <c r="AQ303" s="164"/>
      <c r="AR303" s="164"/>
      <c r="AS303" s="164"/>
      <c r="AT303" s="164"/>
      <c r="AU303" s="164"/>
      <c r="AV303" s="164"/>
      <c r="AW303" s="164"/>
      <c r="AX303" s="164"/>
      <c r="AY303" s="164"/>
      <c r="AZ303" s="164"/>
      <c r="BA303" s="164"/>
      <c r="BB303" s="164"/>
      <c r="BC303" s="164"/>
      <c r="BD303" s="164"/>
    </row>
    <row r="304" spans="1:56" ht="14.25" customHeight="1">
      <c r="A304" s="2">
        <v>302</v>
      </c>
      <c r="B304" s="65" t="s">
        <v>680</v>
      </c>
      <c r="C304" s="53" t="s">
        <v>681</v>
      </c>
      <c r="D304" s="61" t="s">
        <v>682</v>
      </c>
      <c r="E304" s="42">
        <v>1</v>
      </c>
      <c r="F304" s="42">
        <v>1</v>
      </c>
      <c r="G304" s="35" t="s">
        <v>613</v>
      </c>
      <c r="H304" s="36"/>
      <c r="I304" s="37">
        <f t="shared" si="19"/>
        <v>0</v>
      </c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>
        <f t="shared" si="16"/>
        <v>0</v>
      </c>
      <c r="W304" s="36"/>
      <c r="X304" s="38">
        <v>30000</v>
      </c>
      <c r="Y304" s="38" t="str">
        <f t="shared" si="17"/>
        <v>无需保养</v>
      </c>
      <c r="Z304" s="38">
        <f t="shared" si="18"/>
        <v>1</v>
      </c>
      <c r="AA304" s="164"/>
      <c r="AB304" s="164"/>
      <c r="AC304" s="164"/>
      <c r="AD304" s="164"/>
      <c r="AE304" s="164"/>
      <c r="AF304" s="164"/>
      <c r="AG304" s="164"/>
      <c r="AH304" s="164"/>
      <c r="AI304" s="164"/>
      <c r="AJ304" s="164"/>
      <c r="AK304" s="164"/>
      <c r="AL304" s="164"/>
      <c r="AM304" s="164"/>
      <c r="AN304" s="164"/>
      <c r="AO304" s="164"/>
      <c r="AP304" s="164"/>
      <c r="AQ304" s="164"/>
      <c r="AR304" s="164"/>
      <c r="AS304" s="164"/>
      <c r="AT304" s="164"/>
      <c r="AU304" s="164"/>
      <c r="AV304" s="164"/>
      <c r="AW304" s="164"/>
      <c r="AX304" s="164"/>
      <c r="AY304" s="164"/>
      <c r="AZ304" s="164"/>
      <c r="BA304" s="164"/>
      <c r="BB304" s="164"/>
      <c r="BC304" s="164"/>
      <c r="BD304" s="164"/>
    </row>
    <row r="305" spans="1:56" ht="14.25" customHeight="1">
      <c r="A305" s="2">
        <v>303</v>
      </c>
      <c r="B305" s="66" t="s">
        <v>683</v>
      </c>
      <c r="C305" s="53" t="s">
        <v>684</v>
      </c>
      <c r="D305" s="140" t="s">
        <v>685</v>
      </c>
      <c r="E305" s="42">
        <v>6</v>
      </c>
      <c r="F305" s="42">
        <v>6</v>
      </c>
      <c r="G305" s="35" t="s">
        <v>613</v>
      </c>
      <c r="H305" s="36"/>
      <c r="I305" s="37">
        <f t="shared" si="19"/>
        <v>0</v>
      </c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>
        <f t="shared" si="16"/>
        <v>0</v>
      </c>
      <c r="W305" s="36"/>
      <c r="X305" s="38">
        <v>30000</v>
      </c>
      <c r="Y305" s="38" t="str">
        <f t="shared" si="17"/>
        <v>无需保养</v>
      </c>
      <c r="Z305" s="38">
        <f t="shared" si="18"/>
        <v>1</v>
      </c>
      <c r="AA305" s="164"/>
      <c r="AB305" s="164"/>
      <c r="AC305" s="164"/>
      <c r="AD305" s="164"/>
      <c r="AE305" s="164"/>
      <c r="AF305" s="164"/>
      <c r="AG305" s="164"/>
      <c r="AH305" s="164"/>
      <c r="AI305" s="164"/>
      <c r="AJ305" s="164"/>
      <c r="AK305" s="164"/>
      <c r="AL305" s="164"/>
      <c r="AM305" s="164"/>
      <c r="AN305" s="164"/>
      <c r="AO305" s="164"/>
      <c r="AP305" s="164"/>
      <c r="AQ305" s="164"/>
      <c r="AR305" s="164"/>
      <c r="AS305" s="164"/>
      <c r="AT305" s="164"/>
      <c r="AU305" s="164"/>
      <c r="AV305" s="164"/>
      <c r="AW305" s="164"/>
      <c r="AX305" s="164"/>
      <c r="AY305" s="164"/>
      <c r="AZ305" s="164"/>
      <c r="BA305" s="164"/>
      <c r="BB305" s="164"/>
      <c r="BC305" s="164"/>
      <c r="BD305" s="164"/>
    </row>
    <row r="306" spans="1:56" ht="14.25" customHeight="1">
      <c r="A306" s="2">
        <v>304</v>
      </c>
      <c r="B306" s="110" t="s">
        <v>686</v>
      </c>
      <c r="C306" s="53" t="s">
        <v>687</v>
      </c>
      <c r="D306" s="140" t="s">
        <v>688</v>
      </c>
      <c r="E306" s="42">
        <v>4</v>
      </c>
      <c r="F306" s="42">
        <v>4</v>
      </c>
      <c r="G306" s="35" t="s">
        <v>613</v>
      </c>
      <c r="H306" s="36"/>
      <c r="I306" s="37">
        <f t="shared" si="19"/>
        <v>0</v>
      </c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>
        <f t="shared" si="16"/>
        <v>0</v>
      </c>
      <c r="W306" s="36"/>
      <c r="X306" s="38">
        <v>30000</v>
      </c>
      <c r="Y306" s="38" t="str">
        <f t="shared" si="17"/>
        <v>无需保养</v>
      </c>
      <c r="Z306" s="38">
        <f t="shared" si="18"/>
        <v>1</v>
      </c>
      <c r="AA306" s="164"/>
      <c r="AB306" s="164"/>
      <c r="AC306" s="164"/>
      <c r="AD306" s="164"/>
      <c r="AE306" s="164"/>
      <c r="AF306" s="164"/>
      <c r="AG306" s="164"/>
      <c r="AH306" s="164"/>
      <c r="AI306" s="164"/>
      <c r="AJ306" s="164"/>
      <c r="AK306" s="164"/>
      <c r="AL306" s="164"/>
      <c r="AM306" s="164"/>
      <c r="AN306" s="164"/>
      <c r="AO306" s="164"/>
      <c r="AP306" s="164"/>
      <c r="AQ306" s="164"/>
      <c r="AR306" s="164"/>
      <c r="AS306" s="164"/>
      <c r="AT306" s="164"/>
      <c r="AU306" s="164"/>
      <c r="AV306" s="164"/>
      <c r="AW306" s="164"/>
      <c r="AX306" s="164"/>
      <c r="AY306" s="164"/>
      <c r="AZ306" s="164"/>
      <c r="BA306" s="164"/>
      <c r="BB306" s="164"/>
      <c r="BC306" s="164"/>
      <c r="BD306" s="164"/>
    </row>
    <row r="307" spans="1:56" ht="14.25" customHeight="1">
      <c r="A307" s="2">
        <v>305</v>
      </c>
      <c r="B307" s="55" t="s">
        <v>689</v>
      </c>
      <c r="C307" s="51" t="s">
        <v>689</v>
      </c>
      <c r="D307" s="133" t="s">
        <v>633</v>
      </c>
      <c r="E307" s="42">
        <v>4</v>
      </c>
      <c r="F307" s="42">
        <v>4</v>
      </c>
      <c r="G307" s="35" t="s">
        <v>613</v>
      </c>
      <c r="H307" s="36"/>
      <c r="I307" s="37">
        <f t="shared" si="19"/>
        <v>0</v>
      </c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>
        <f t="shared" si="16"/>
        <v>0</v>
      </c>
      <c r="W307" s="36"/>
      <c r="X307" s="38">
        <v>30000</v>
      </c>
      <c r="Y307" s="38" t="str">
        <f t="shared" si="17"/>
        <v>无需保养</v>
      </c>
      <c r="Z307" s="38">
        <f t="shared" si="18"/>
        <v>2</v>
      </c>
      <c r="AA307" s="164"/>
      <c r="AB307" s="164"/>
      <c r="AC307" s="164"/>
      <c r="AD307" s="164"/>
      <c r="AE307" s="164"/>
      <c r="AF307" s="164"/>
      <c r="AG307" s="164"/>
      <c r="AH307" s="164"/>
      <c r="AI307" s="164"/>
      <c r="AJ307" s="164"/>
      <c r="AK307" s="164"/>
      <c r="AL307" s="164"/>
      <c r="AM307" s="164"/>
      <c r="AN307" s="164"/>
      <c r="AO307" s="164"/>
      <c r="AP307" s="164"/>
      <c r="AQ307" s="164"/>
      <c r="AR307" s="164"/>
      <c r="AS307" s="164"/>
      <c r="AT307" s="164"/>
      <c r="AU307" s="164"/>
      <c r="AV307" s="164"/>
      <c r="AW307" s="164"/>
      <c r="AX307" s="164"/>
      <c r="AY307" s="164"/>
      <c r="AZ307" s="164"/>
      <c r="BA307" s="164"/>
      <c r="BB307" s="164"/>
      <c r="BC307" s="164"/>
      <c r="BD307" s="164"/>
    </row>
    <row r="308" spans="1:56" ht="14.25" customHeight="1">
      <c r="A308" s="2">
        <v>306</v>
      </c>
      <c r="B308" s="56" t="s">
        <v>690</v>
      </c>
      <c r="C308" s="51" t="s">
        <v>690</v>
      </c>
      <c r="D308" s="133" t="s">
        <v>691</v>
      </c>
      <c r="E308" s="42">
        <v>4</v>
      </c>
      <c r="F308" s="42">
        <v>4</v>
      </c>
      <c r="G308" s="35" t="s">
        <v>692</v>
      </c>
      <c r="H308" s="36"/>
      <c r="I308" s="37">
        <f t="shared" si="19"/>
        <v>0</v>
      </c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>
        <f t="shared" si="16"/>
        <v>0</v>
      </c>
      <c r="W308" s="36"/>
      <c r="X308" s="38">
        <v>30000</v>
      </c>
      <c r="Y308" s="38" t="str">
        <f t="shared" si="17"/>
        <v>无需保养</v>
      </c>
      <c r="Z308" s="38">
        <f t="shared" si="18"/>
        <v>1</v>
      </c>
      <c r="AA308" s="164"/>
      <c r="AB308" s="164"/>
      <c r="AC308" s="164"/>
      <c r="AD308" s="164"/>
      <c r="AE308" s="164"/>
      <c r="AF308" s="164"/>
      <c r="AG308" s="164"/>
      <c r="AH308" s="164"/>
      <c r="AI308" s="164"/>
      <c r="AJ308" s="164"/>
      <c r="AK308" s="164"/>
      <c r="AL308" s="164"/>
      <c r="AM308" s="164"/>
      <c r="AN308" s="164"/>
      <c r="AO308" s="164"/>
      <c r="AP308" s="164"/>
      <c r="AQ308" s="164"/>
      <c r="AR308" s="164"/>
      <c r="AS308" s="164"/>
      <c r="AT308" s="164"/>
      <c r="AU308" s="164"/>
      <c r="AV308" s="164"/>
      <c r="AW308" s="164"/>
      <c r="AX308" s="164"/>
      <c r="AY308" s="164"/>
      <c r="AZ308" s="164"/>
      <c r="BA308" s="164"/>
      <c r="BB308" s="164"/>
      <c r="BC308" s="164"/>
      <c r="BD308" s="164"/>
    </row>
    <row r="309" spans="1:56" ht="14.25" customHeight="1">
      <c r="A309" s="2">
        <v>307</v>
      </c>
      <c r="B309" s="65" t="s">
        <v>693</v>
      </c>
      <c r="C309" s="53" t="s">
        <v>694</v>
      </c>
      <c r="D309" s="140" t="s">
        <v>695</v>
      </c>
      <c r="E309" s="42">
        <v>2</v>
      </c>
      <c r="F309" s="42">
        <v>2</v>
      </c>
      <c r="G309" s="35" t="s">
        <v>692</v>
      </c>
      <c r="H309" s="36"/>
      <c r="I309" s="37">
        <f t="shared" si="19"/>
        <v>0</v>
      </c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>
        <f t="shared" si="16"/>
        <v>0</v>
      </c>
      <c r="W309" s="36"/>
      <c r="X309" s="38">
        <v>30000</v>
      </c>
      <c r="Y309" s="38" t="str">
        <f t="shared" si="17"/>
        <v>无需保养</v>
      </c>
      <c r="Z309" s="38">
        <f t="shared" si="18"/>
        <v>1</v>
      </c>
      <c r="AA309" s="164"/>
      <c r="AB309" s="164"/>
      <c r="AC309" s="164"/>
      <c r="AD309" s="164"/>
      <c r="AE309" s="164"/>
      <c r="AF309" s="164"/>
      <c r="AG309" s="164"/>
      <c r="AH309" s="164"/>
      <c r="AI309" s="164"/>
      <c r="AJ309" s="164"/>
      <c r="AK309" s="164"/>
      <c r="AL309" s="164"/>
      <c r="AM309" s="164"/>
      <c r="AN309" s="164"/>
      <c r="AO309" s="164"/>
      <c r="AP309" s="164"/>
      <c r="AQ309" s="164"/>
      <c r="AR309" s="164"/>
      <c r="AS309" s="164"/>
      <c r="AT309" s="164"/>
      <c r="AU309" s="164"/>
      <c r="AV309" s="164"/>
      <c r="AW309" s="164"/>
      <c r="AX309" s="164"/>
      <c r="AY309" s="164"/>
      <c r="AZ309" s="164"/>
      <c r="BA309" s="164"/>
      <c r="BB309" s="164"/>
      <c r="BC309" s="164"/>
      <c r="BD309" s="164"/>
    </row>
    <row r="310" spans="1:56" ht="14.25" customHeight="1">
      <c r="A310" s="2">
        <v>308</v>
      </c>
      <c r="B310" s="57" t="s">
        <v>696</v>
      </c>
      <c r="C310" s="53" t="s">
        <v>696</v>
      </c>
      <c r="D310" s="133" t="s">
        <v>697</v>
      </c>
      <c r="E310" s="42">
        <v>2</v>
      </c>
      <c r="F310" s="42">
        <v>2</v>
      </c>
      <c r="G310" s="35" t="s">
        <v>692</v>
      </c>
      <c r="H310" s="36"/>
      <c r="I310" s="37">
        <f t="shared" si="19"/>
        <v>0</v>
      </c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>
        <f t="shared" si="16"/>
        <v>0</v>
      </c>
      <c r="W310" s="36"/>
      <c r="X310" s="38">
        <v>30000</v>
      </c>
      <c r="Y310" s="38" t="str">
        <f t="shared" si="17"/>
        <v>无需保养</v>
      </c>
      <c r="Z310" s="38">
        <f t="shared" si="18"/>
        <v>1</v>
      </c>
      <c r="AA310" s="164"/>
      <c r="AB310" s="164"/>
      <c r="AC310" s="164"/>
      <c r="AD310" s="164"/>
      <c r="AE310" s="164"/>
      <c r="AF310" s="164"/>
      <c r="AG310" s="164"/>
      <c r="AH310" s="164"/>
      <c r="AI310" s="164"/>
      <c r="AJ310" s="164"/>
      <c r="AK310" s="164"/>
      <c r="AL310" s="164"/>
      <c r="AM310" s="164"/>
      <c r="AN310" s="164"/>
      <c r="AO310" s="164"/>
      <c r="AP310" s="164"/>
      <c r="AQ310" s="164"/>
      <c r="AR310" s="164"/>
      <c r="AS310" s="164"/>
      <c r="AT310" s="164"/>
      <c r="AU310" s="164"/>
      <c r="AV310" s="164"/>
      <c r="AW310" s="164"/>
      <c r="AX310" s="164"/>
      <c r="AY310" s="164"/>
      <c r="AZ310" s="164"/>
      <c r="BA310" s="164"/>
      <c r="BB310" s="164"/>
      <c r="BC310" s="164"/>
      <c r="BD310" s="164"/>
    </row>
    <row r="311" spans="1:56" ht="14.25" customHeight="1">
      <c r="A311" s="2">
        <v>309</v>
      </c>
      <c r="B311" s="110" t="s">
        <v>698</v>
      </c>
      <c r="C311" s="58" t="s">
        <v>698</v>
      </c>
      <c r="D311" s="140" t="s">
        <v>699</v>
      </c>
      <c r="E311" s="42">
        <v>4</v>
      </c>
      <c r="F311" s="42">
        <v>4</v>
      </c>
      <c r="G311" s="35" t="s">
        <v>692</v>
      </c>
      <c r="H311" s="36"/>
      <c r="I311" s="37">
        <f t="shared" si="19"/>
        <v>0</v>
      </c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>
        <f t="shared" si="16"/>
        <v>0</v>
      </c>
      <c r="W311" s="36"/>
      <c r="X311" s="38">
        <v>30000</v>
      </c>
      <c r="Y311" s="38" t="str">
        <f t="shared" si="17"/>
        <v>无需保养</v>
      </c>
      <c r="Z311" s="38">
        <f t="shared" si="18"/>
        <v>1</v>
      </c>
      <c r="AA311" s="164"/>
      <c r="AB311" s="164"/>
      <c r="AC311" s="164"/>
      <c r="AD311" s="164"/>
      <c r="AE311" s="164"/>
      <c r="AF311" s="164"/>
      <c r="AG311" s="164"/>
      <c r="AH311" s="164"/>
      <c r="AI311" s="164"/>
      <c r="AJ311" s="164"/>
      <c r="AK311" s="164"/>
      <c r="AL311" s="164"/>
      <c r="AM311" s="164"/>
      <c r="AN311" s="164"/>
      <c r="AO311" s="164"/>
      <c r="AP311" s="164"/>
      <c r="AQ311" s="164"/>
      <c r="AR311" s="164"/>
      <c r="AS311" s="164"/>
      <c r="AT311" s="164"/>
      <c r="AU311" s="164"/>
      <c r="AV311" s="164"/>
      <c r="AW311" s="164"/>
      <c r="AX311" s="164"/>
      <c r="AY311" s="164"/>
      <c r="AZ311" s="164"/>
      <c r="BA311" s="164"/>
      <c r="BB311" s="164"/>
      <c r="BC311" s="164"/>
      <c r="BD311" s="164"/>
    </row>
    <row r="312" spans="1:56" ht="14.25" customHeight="1">
      <c r="A312" s="2">
        <v>310</v>
      </c>
      <c r="B312" s="110" t="s">
        <v>700</v>
      </c>
      <c r="C312" s="58" t="s">
        <v>700</v>
      </c>
      <c r="D312" s="140" t="s">
        <v>701</v>
      </c>
      <c r="E312" s="42">
        <v>4</v>
      </c>
      <c r="F312" s="42">
        <v>4</v>
      </c>
      <c r="G312" s="35" t="s">
        <v>692</v>
      </c>
      <c r="H312" s="36"/>
      <c r="I312" s="37">
        <f t="shared" si="19"/>
        <v>0</v>
      </c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>
        <f t="shared" si="16"/>
        <v>0</v>
      </c>
      <c r="W312" s="36"/>
      <c r="X312" s="38">
        <v>30000</v>
      </c>
      <c r="Y312" s="38" t="str">
        <f t="shared" si="17"/>
        <v>无需保养</v>
      </c>
      <c r="Z312" s="38">
        <f t="shared" si="18"/>
        <v>1</v>
      </c>
      <c r="AA312" s="164"/>
      <c r="AB312" s="164"/>
      <c r="AC312" s="164"/>
      <c r="AD312" s="164"/>
      <c r="AE312" s="164"/>
      <c r="AF312" s="164"/>
      <c r="AG312" s="164"/>
      <c r="AH312" s="164"/>
      <c r="AI312" s="164"/>
      <c r="AJ312" s="164"/>
      <c r="AK312" s="164"/>
      <c r="AL312" s="164"/>
      <c r="AM312" s="164"/>
      <c r="AN312" s="164"/>
      <c r="AO312" s="164"/>
      <c r="AP312" s="164"/>
      <c r="AQ312" s="164"/>
      <c r="AR312" s="164"/>
      <c r="AS312" s="164"/>
      <c r="AT312" s="164"/>
      <c r="AU312" s="164"/>
      <c r="AV312" s="164"/>
      <c r="AW312" s="164"/>
      <c r="AX312" s="164"/>
      <c r="AY312" s="164"/>
      <c r="AZ312" s="164"/>
      <c r="BA312" s="164"/>
      <c r="BB312" s="164"/>
      <c r="BC312" s="164"/>
      <c r="BD312" s="164"/>
    </row>
    <row r="313" spans="1:56" ht="14.25" customHeight="1">
      <c r="A313" s="2">
        <v>311</v>
      </c>
      <c r="B313" s="65" t="s">
        <v>702</v>
      </c>
      <c r="C313" s="53" t="s">
        <v>703</v>
      </c>
      <c r="D313" s="140" t="s">
        <v>704</v>
      </c>
      <c r="E313" s="42">
        <v>2</v>
      </c>
      <c r="F313" s="42">
        <v>2</v>
      </c>
      <c r="G313" s="35" t="s">
        <v>692</v>
      </c>
      <c r="H313" s="36"/>
      <c r="I313" s="37">
        <f t="shared" si="19"/>
        <v>0</v>
      </c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>
        <f t="shared" si="16"/>
        <v>0</v>
      </c>
      <c r="W313" s="36"/>
      <c r="X313" s="38">
        <v>30000</v>
      </c>
      <c r="Y313" s="38" t="str">
        <f t="shared" si="17"/>
        <v>无需保养</v>
      </c>
      <c r="Z313" s="38">
        <f t="shared" si="18"/>
        <v>1</v>
      </c>
      <c r="AA313" s="164"/>
      <c r="AB313" s="164"/>
      <c r="AC313" s="164"/>
      <c r="AD313" s="164"/>
      <c r="AE313" s="164"/>
      <c r="AF313" s="164"/>
      <c r="AG313" s="164"/>
      <c r="AH313" s="164"/>
      <c r="AI313" s="164"/>
      <c r="AJ313" s="164"/>
      <c r="AK313" s="164"/>
      <c r="AL313" s="164"/>
      <c r="AM313" s="164"/>
      <c r="AN313" s="164"/>
      <c r="AO313" s="164"/>
      <c r="AP313" s="164"/>
      <c r="AQ313" s="164"/>
      <c r="AR313" s="164"/>
      <c r="AS313" s="164"/>
      <c r="AT313" s="164"/>
      <c r="AU313" s="164"/>
      <c r="AV313" s="164"/>
      <c r="AW313" s="164"/>
      <c r="AX313" s="164"/>
      <c r="AY313" s="164"/>
      <c r="AZ313" s="164"/>
      <c r="BA313" s="164"/>
      <c r="BB313" s="164"/>
      <c r="BC313" s="164"/>
      <c r="BD313" s="164"/>
    </row>
    <row r="314" spans="1:56" ht="14.25" customHeight="1">
      <c r="A314" s="2">
        <v>312</v>
      </c>
      <c r="B314" s="65" t="s">
        <v>705</v>
      </c>
      <c r="C314" s="53" t="s">
        <v>705</v>
      </c>
      <c r="D314" s="140" t="s">
        <v>691</v>
      </c>
      <c r="E314" s="42">
        <v>3</v>
      </c>
      <c r="F314" s="42">
        <v>3</v>
      </c>
      <c r="G314" s="35" t="s">
        <v>692</v>
      </c>
      <c r="H314" s="36"/>
      <c r="I314" s="37">
        <f t="shared" si="19"/>
        <v>0</v>
      </c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>
        <f t="shared" si="16"/>
        <v>0</v>
      </c>
      <c r="W314" s="36"/>
      <c r="X314" s="38">
        <v>30000</v>
      </c>
      <c r="Y314" s="38" t="str">
        <f t="shared" si="17"/>
        <v>无需保养</v>
      </c>
      <c r="Z314" s="38">
        <f t="shared" si="18"/>
        <v>1</v>
      </c>
      <c r="AA314" s="164"/>
      <c r="AB314" s="164"/>
      <c r="AC314" s="164"/>
      <c r="AD314" s="164"/>
      <c r="AE314" s="164"/>
      <c r="AF314" s="164"/>
      <c r="AG314" s="164"/>
      <c r="AH314" s="164"/>
      <c r="AI314" s="164"/>
      <c r="AJ314" s="164"/>
      <c r="AK314" s="164"/>
      <c r="AL314" s="164"/>
      <c r="AM314" s="164"/>
      <c r="AN314" s="164"/>
      <c r="AO314" s="164"/>
      <c r="AP314" s="164"/>
      <c r="AQ314" s="164"/>
      <c r="AR314" s="164"/>
      <c r="AS314" s="164"/>
      <c r="AT314" s="164"/>
      <c r="AU314" s="164"/>
      <c r="AV314" s="164"/>
      <c r="AW314" s="164"/>
      <c r="AX314" s="164"/>
      <c r="AY314" s="164"/>
      <c r="AZ314" s="164"/>
      <c r="BA314" s="164"/>
      <c r="BB314" s="164"/>
      <c r="BC314" s="164"/>
      <c r="BD314" s="164"/>
    </row>
    <row r="315" spans="1:56" ht="14.25" customHeight="1">
      <c r="A315" s="2">
        <v>313</v>
      </c>
      <c r="B315" s="108" t="s">
        <v>706</v>
      </c>
      <c r="C315" s="59" t="s">
        <v>706</v>
      </c>
      <c r="D315" s="140" t="s">
        <v>707</v>
      </c>
      <c r="E315" s="42">
        <v>3</v>
      </c>
      <c r="F315" s="42">
        <v>3</v>
      </c>
      <c r="G315" s="35" t="s">
        <v>692</v>
      </c>
      <c r="H315" s="36"/>
      <c r="I315" s="37">
        <f t="shared" si="19"/>
        <v>0</v>
      </c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>
        <f t="shared" si="16"/>
        <v>0</v>
      </c>
      <c r="W315" s="36"/>
      <c r="X315" s="38">
        <v>30000</v>
      </c>
      <c r="Y315" s="38" t="str">
        <f t="shared" si="17"/>
        <v>无需保养</v>
      </c>
      <c r="Z315" s="38">
        <f t="shared" si="18"/>
        <v>1</v>
      </c>
      <c r="AA315" s="164"/>
      <c r="AB315" s="164"/>
      <c r="AC315" s="164"/>
      <c r="AD315" s="164"/>
      <c r="AE315" s="164"/>
      <c r="AF315" s="164"/>
      <c r="AG315" s="164"/>
      <c r="AH315" s="164"/>
      <c r="AI315" s="164"/>
      <c r="AJ315" s="164"/>
      <c r="AK315" s="164"/>
      <c r="AL315" s="164"/>
      <c r="AM315" s="164"/>
      <c r="AN315" s="164"/>
      <c r="AO315" s="164"/>
      <c r="AP315" s="164"/>
      <c r="AQ315" s="164"/>
      <c r="AR315" s="164"/>
      <c r="AS315" s="164"/>
      <c r="AT315" s="164"/>
      <c r="AU315" s="164"/>
      <c r="AV315" s="164"/>
      <c r="AW315" s="164"/>
      <c r="AX315" s="164"/>
      <c r="AY315" s="164"/>
      <c r="AZ315" s="164"/>
      <c r="BA315" s="164"/>
      <c r="BB315" s="164"/>
      <c r="BC315" s="164"/>
      <c r="BD315" s="164"/>
    </row>
    <row r="316" spans="1:56" ht="14.25" customHeight="1">
      <c r="A316" s="2">
        <v>314</v>
      </c>
      <c r="B316" s="40" t="s">
        <v>708</v>
      </c>
      <c r="C316" s="53" t="s">
        <v>708</v>
      </c>
      <c r="D316" s="133" t="s">
        <v>709</v>
      </c>
      <c r="E316" s="42">
        <v>1</v>
      </c>
      <c r="F316" s="42">
        <v>1</v>
      </c>
      <c r="G316" s="35" t="s">
        <v>692</v>
      </c>
      <c r="H316" s="36"/>
      <c r="I316" s="37">
        <f t="shared" si="19"/>
        <v>0</v>
      </c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>
        <f t="shared" si="16"/>
        <v>0</v>
      </c>
      <c r="W316" s="36"/>
      <c r="X316" s="38">
        <v>30000</v>
      </c>
      <c r="Y316" s="38" t="str">
        <f t="shared" si="17"/>
        <v>无需保养</v>
      </c>
      <c r="Z316" s="38">
        <f t="shared" si="18"/>
        <v>1</v>
      </c>
      <c r="AA316" s="164"/>
      <c r="AB316" s="164"/>
      <c r="AC316" s="164"/>
      <c r="AD316" s="164"/>
      <c r="AE316" s="164"/>
      <c r="AF316" s="164"/>
      <c r="AG316" s="164"/>
      <c r="AH316" s="164"/>
      <c r="AI316" s="164"/>
      <c r="AJ316" s="164"/>
      <c r="AK316" s="164"/>
      <c r="AL316" s="164"/>
      <c r="AM316" s="164"/>
      <c r="AN316" s="164"/>
      <c r="AO316" s="164"/>
      <c r="AP316" s="164"/>
      <c r="AQ316" s="164"/>
      <c r="AR316" s="164"/>
      <c r="AS316" s="164"/>
      <c r="AT316" s="164"/>
      <c r="AU316" s="164"/>
      <c r="AV316" s="164"/>
      <c r="AW316" s="164"/>
      <c r="AX316" s="164"/>
      <c r="AY316" s="164"/>
      <c r="AZ316" s="164"/>
      <c r="BA316" s="164"/>
      <c r="BB316" s="164"/>
      <c r="BC316" s="164"/>
      <c r="BD316" s="164"/>
    </row>
    <row r="317" spans="1:56" ht="14.25" customHeight="1">
      <c r="A317" s="2">
        <v>315</v>
      </c>
      <c r="B317" s="65" t="s">
        <v>710</v>
      </c>
      <c r="C317" s="53" t="s">
        <v>710</v>
      </c>
      <c r="D317" s="140" t="s">
        <v>711</v>
      </c>
      <c r="E317" s="42">
        <v>3</v>
      </c>
      <c r="F317" s="42">
        <v>3</v>
      </c>
      <c r="G317" s="35" t="s">
        <v>692</v>
      </c>
      <c r="H317" s="36"/>
      <c r="I317" s="37">
        <f t="shared" si="19"/>
        <v>0</v>
      </c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>
        <f t="shared" si="16"/>
        <v>0</v>
      </c>
      <c r="W317" s="36"/>
      <c r="X317" s="38">
        <v>30000</v>
      </c>
      <c r="Y317" s="38" t="str">
        <f t="shared" si="17"/>
        <v>无需保养</v>
      </c>
      <c r="Z317" s="38">
        <f t="shared" si="18"/>
        <v>1</v>
      </c>
      <c r="AA317" s="164"/>
      <c r="AB317" s="164"/>
      <c r="AC317" s="164"/>
      <c r="AD317" s="164"/>
      <c r="AE317" s="164"/>
      <c r="AF317" s="164"/>
      <c r="AG317" s="164"/>
      <c r="AH317" s="164"/>
      <c r="AI317" s="164"/>
      <c r="AJ317" s="164"/>
      <c r="AK317" s="164"/>
      <c r="AL317" s="164"/>
      <c r="AM317" s="164"/>
      <c r="AN317" s="164"/>
      <c r="AO317" s="164"/>
      <c r="AP317" s="164"/>
      <c r="AQ317" s="164"/>
      <c r="AR317" s="164"/>
      <c r="AS317" s="164"/>
      <c r="AT317" s="164"/>
      <c r="AU317" s="164"/>
      <c r="AV317" s="164"/>
      <c r="AW317" s="164"/>
      <c r="AX317" s="164"/>
      <c r="AY317" s="164"/>
      <c r="AZ317" s="164"/>
      <c r="BA317" s="164"/>
      <c r="BB317" s="164"/>
      <c r="BC317" s="164"/>
      <c r="BD317" s="164"/>
    </row>
    <row r="318" spans="1:56" ht="14.25" customHeight="1">
      <c r="A318" s="2">
        <v>316</v>
      </c>
      <c r="B318" s="108" t="s">
        <v>712</v>
      </c>
      <c r="C318" s="53" t="s">
        <v>712</v>
      </c>
      <c r="D318" s="140" t="s">
        <v>713</v>
      </c>
      <c r="E318" s="42">
        <v>8</v>
      </c>
      <c r="F318" s="42">
        <v>8</v>
      </c>
      <c r="G318" s="35" t="s">
        <v>692</v>
      </c>
      <c r="H318" s="36"/>
      <c r="I318" s="37">
        <f t="shared" si="19"/>
        <v>0</v>
      </c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>
        <f t="shared" si="16"/>
        <v>0</v>
      </c>
      <c r="W318" s="36"/>
      <c r="X318" s="38">
        <v>30000</v>
      </c>
      <c r="Y318" s="38" t="str">
        <f t="shared" si="17"/>
        <v>无需保养</v>
      </c>
      <c r="Z318" s="38">
        <f t="shared" si="18"/>
        <v>1</v>
      </c>
      <c r="AA318" s="164"/>
      <c r="AB318" s="164"/>
      <c r="AC318" s="164"/>
      <c r="AD318" s="164"/>
      <c r="AE318" s="164"/>
      <c r="AF318" s="164"/>
      <c r="AG318" s="164"/>
      <c r="AH318" s="164"/>
      <c r="AI318" s="164"/>
      <c r="AJ318" s="164"/>
      <c r="AK318" s="164"/>
      <c r="AL318" s="164"/>
      <c r="AM318" s="164"/>
      <c r="AN318" s="164"/>
      <c r="AO318" s="164"/>
      <c r="AP318" s="164"/>
      <c r="AQ318" s="164"/>
      <c r="AR318" s="164"/>
      <c r="AS318" s="164"/>
      <c r="AT318" s="164"/>
      <c r="AU318" s="164"/>
      <c r="AV318" s="164"/>
      <c r="AW318" s="164"/>
      <c r="AX318" s="164"/>
      <c r="AY318" s="164"/>
      <c r="AZ318" s="164"/>
      <c r="BA318" s="164"/>
      <c r="BB318" s="164"/>
      <c r="BC318" s="164"/>
      <c r="BD318" s="164"/>
    </row>
    <row r="319" spans="1:56" ht="14.25" customHeight="1">
      <c r="A319" s="2">
        <v>317</v>
      </c>
      <c r="B319" s="60" t="s">
        <v>714</v>
      </c>
      <c r="C319" s="53" t="s">
        <v>714</v>
      </c>
      <c r="D319" s="133" t="s">
        <v>691</v>
      </c>
      <c r="E319" s="42">
        <v>4</v>
      </c>
      <c r="F319" s="42">
        <v>4</v>
      </c>
      <c r="G319" s="35" t="s">
        <v>692</v>
      </c>
      <c r="H319" s="36"/>
      <c r="I319" s="37">
        <f t="shared" si="19"/>
        <v>0</v>
      </c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>
        <f t="shared" si="16"/>
        <v>0</v>
      </c>
      <c r="W319" s="36"/>
      <c r="X319" s="38">
        <v>30000</v>
      </c>
      <c r="Y319" s="38" t="str">
        <f t="shared" si="17"/>
        <v>无需保养</v>
      </c>
      <c r="Z319" s="38">
        <f t="shared" si="18"/>
        <v>1</v>
      </c>
      <c r="AA319" s="164"/>
      <c r="AB319" s="164"/>
      <c r="AC319" s="164"/>
      <c r="AD319" s="164"/>
      <c r="AE319" s="164"/>
      <c r="AF319" s="164"/>
      <c r="AG319" s="164"/>
      <c r="AH319" s="164"/>
      <c r="AI319" s="164"/>
      <c r="AJ319" s="164"/>
      <c r="AK319" s="164"/>
      <c r="AL319" s="164"/>
      <c r="AM319" s="164"/>
      <c r="AN319" s="164"/>
      <c r="AO319" s="164"/>
      <c r="AP319" s="164"/>
      <c r="AQ319" s="164"/>
      <c r="AR319" s="164"/>
      <c r="AS319" s="164"/>
      <c r="AT319" s="164"/>
      <c r="AU319" s="164"/>
      <c r="AV319" s="164"/>
      <c r="AW319" s="164"/>
      <c r="AX319" s="164"/>
      <c r="AY319" s="164"/>
      <c r="AZ319" s="164"/>
      <c r="BA319" s="164"/>
      <c r="BB319" s="164"/>
      <c r="BC319" s="164"/>
      <c r="BD319" s="164"/>
    </row>
    <row r="320" spans="1:56" ht="14.25" customHeight="1">
      <c r="A320" s="2">
        <v>318</v>
      </c>
      <c r="B320" s="108" t="s">
        <v>715</v>
      </c>
      <c r="C320" s="51" t="s">
        <v>716</v>
      </c>
      <c r="D320" s="140" t="s">
        <v>709</v>
      </c>
      <c r="E320" s="42">
        <v>4</v>
      </c>
      <c r="F320" s="42">
        <v>4</v>
      </c>
      <c r="G320" s="35" t="s">
        <v>692</v>
      </c>
      <c r="H320" s="36"/>
      <c r="I320" s="37">
        <f t="shared" si="19"/>
        <v>0</v>
      </c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>
        <f t="shared" si="16"/>
        <v>0</v>
      </c>
      <c r="W320" s="36"/>
      <c r="X320" s="38">
        <v>30000</v>
      </c>
      <c r="Y320" s="38" t="str">
        <f t="shared" si="17"/>
        <v>无需保养</v>
      </c>
      <c r="Z320" s="38">
        <f t="shared" si="18"/>
        <v>1</v>
      </c>
      <c r="AA320" s="164"/>
      <c r="AB320" s="164"/>
      <c r="AC320" s="164"/>
      <c r="AD320" s="164"/>
      <c r="AE320" s="164"/>
      <c r="AF320" s="164"/>
      <c r="AG320" s="164"/>
      <c r="AH320" s="164"/>
      <c r="AI320" s="164"/>
      <c r="AJ320" s="164"/>
      <c r="AK320" s="164"/>
      <c r="AL320" s="164"/>
      <c r="AM320" s="164"/>
      <c r="AN320" s="164"/>
      <c r="AO320" s="164"/>
      <c r="AP320" s="164"/>
      <c r="AQ320" s="164"/>
      <c r="AR320" s="164"/>
      <c r="AS320" s="164"/>
      <c r="AT320" s="164"/>
      <c r="AU320" s="164"/>
      <c r="AV320" s="164"/>
      <c r="AW320" s="164"/>
      <c r="AX320" s="164"/>
      <c r="AY320" s="164"/>
      <c r="AZ320" s="164"/>
      <c r="BA320" s="164"/>
      <c r="BB320" s="164"/>
      <c r="BC320" s="164"/>
      <c r="BD320" s="164"/>
    </row>
    <row r="321" spans="1:56" ht="14.25" customHeight="1">
      <c r="A321" s="2">
        <v>319</v>
      </c>
      <c r="B321" s="65" t="s">
        <v>717</v>
      </c>
      <c r="C321" s="53" t="s">
        <v>718</v>
      </c>
      <c r="D321" s="140" t="s">
        <v>719</v>
      </c>
      <c r="E321" s="42">
        <v>4</v>
      </c>
      <c r="F321" s="42">
        <v>4</v>
      </c>
      <c r="G321" s="35" t="s">
        <v>692</v>
      </c>
      <c r="H321" s="36"/>
      <c r="I321" s="37">
        <f t="shared" si="19"/>
        <v>0</v>
      </c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>
        <f t="shared" si="16"/>
        <v>0</v>
      </c>
      <c r="W321" s="36"/>
      <c r="X321" s="38">
        <v>30000</v>
      </c>
      <c r="Y321" s="38" t="str">
        <f t="shared" si="17"/>
        <v>无需保养</v>
      </c>
      <c r="Z321" s="38">
        <f t="shared" si="18"/>
        <v>1</v>
      </c>
      <c r="AA321" s="164"/>
      <c r="AB321" s="164"/>
      <c r="AC321" s="164"/>
      <c r="AD321" s="164"/>
      <c r="AE321" s="164"/>
      <c r="AF321" s="164"/>
      <c r="AG321" s="164"/>
      <c r="AH321" s="164"/>
      <c r="AI321" s="164"/>
      <c r="AJ321" s="164"/>
      <c r="AK321" s="164"/>
      <c r="AL321" s="164"/>
      <c r="AM321" s="164"/>
      <c r="AN321" s="164"/>
      <c r="AO321" s="164"/>
      <c r="AP321" s="164"/>
      <c r="AQ321" s="164"/>
      <c r="AR321" s="164"/>
      <c r="AS321" s="164"/>
      <c r="AT321" s="164"/>
      <c r="AU321" s="164"/>
      <c r="AV321" s="164"/>
      <c r="AW321" s="164"/>
      <c r="AX321" s="164"/>
      <c r="AY321" s="164"/>
      <c r="AZ321" s="164"/>
      <c r="BA321" s="164"/>
      <c r="BB321" s="164"/>
      <c r="BC321" s="164"/>
      <c r="BD321" s="164"/>
    </row>
    <row r="322" spans="1:56" ht="14.25" customHeight="1">
      <c r="A322" s="2">
        <v>320</v>
      </c>
      <c r="B322" s="108" t="s">
        <v>720</v>
      </c>
      <c r="C322" s="53" t="s">
        <v>720</v>
      </c>
      <c r="D322" s="140" t="s">
        <v>721</v>
      </c>
      <c r="E322" s="42">
        <v>4</v>
      </c>
      <c r="F322" s="42">
        <v>4</v>
      </c>
      <c r="G322" s="35" t="s">
        <v>692</v>
      </c>
      <c r="H322" s="36"/>
      <c r="I322" s="37">
        <f t="shared" si="19"/>
        <v>0</v>
      </c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>
        <f t="shared" si="16"/>
        <v>0</v>
      </c>
      <c r="W322" s="36"/>
      <c r="X322" s="38">
        <v>30000</v>
      </c>
      <c r="Y322" s="38" t="str">
        <f t="shared" si="17"/>
        <v>无需保养</v>
      </c>
      <c r="Z322" s="38">
        <f t="shared" si="18"/>
        <v>1</v>
      </c>
      <c r="AA322" s="164"/>
      <c r="AB322" s="164"/>
      <c r="AC322" s="164"/>
      <c r="AD322" s="164"/>
      <c r="AE322" s="164"/>
      <c r="AF322" s="164"/>
      <c r="AG322" s="164"/>
      <c r="AH322" s="164"/>
      <c r="AI322" s="164"/>
      <c r="AJ322" s="164"/>
      <c r="AK322" s="164"/>
      <c r="AL322" s="164"/>
      <c r="AM322" s="164"/>
      <c r="AN322" s="164"/>
      <c r="AO322" s="164"/>
      <c r="AP322" s="164"/>
      <c r="AQ322" s="164"/>
      <c r="AR322" s="164"/>
      <c r="AS322" s="164"/>
      <c r="AT322" s="164"/>
      <c r="AU322" s="164"/>
      <c r="AV322" s="164"/>
      <c r="AW322" s="164"/>
      <c r="AX322" s="164"/>
      <c r="AY322" s="164"/>
      <c r="AZ322" s="164"/>
      <c r="BA322" s="164"/>
      <c r="BB322" s="164"/>
      <c r="BC322" s="164"/>
      <c r="BD322" s="164"/>
    </row>
    <row r="323" spans="1:56" ht="14.25" customHeight="1">
      <c r="A323" s="2">
        <v>321</v>
      </c>
      <c r="B323" s="65" t="s">
        <v>722</v>
      </c>
      <c r="C323" s="53" t="s">
        <v>722</v>
      </c>
      <c r="D323" s="140" t="s">
        <v>723</v>
      </c>
      <c r="E323" s="42">
        <v>8</v>
      </c>
      <c r="F323" s="42">
        <v>8</v>
      </c>
      <c r="G323" s="35" t="s">
        <v>692</v>
      </c>
      <c r="H323" s="36"/>
      <c r="I323" s="37">
        <f t="shared" si="19"/>
        <v>0</v>
      </c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>
        <f t="shared" si="16"/>
        <v>0</v>
      </c>
      <c r="W323" s="36"/>
      <c r="X323" s="38">
        <v>30000</v>
      </c>
      <c r="Y323" s="38" t="str">
        <f t="shared" si="17"/>
        <v>无需保养</v>
      </c>
      <c r="Z323" s="38">
        <f t="shared" si="18"/>
        <v>1</v>
      </c>
      <c r="AA323" s="164"/>
      <c r="AB323" s="164"/>
      <c r="AC323" s="164"/>
      <c r="AD323" s="164"/>
      <c r="AE323" s="164"/>
      <c r="AF323" s="164"/>
      <c r="AG323" s="164"/>
      <c r="AH323" s="164"/>
      <c r="AI323" s="164"/>
      <c r="AJ323" s="164"/>
      <c r="AK323" s="164"/>
      <c r="AL323" s="164"/>
      <c r="AM323" s="164"/>
      <c r="AN323" s="164"/>
      <c r="AO323" s="164"/>
      <c r="AP323" s="164"/>
      <c r="AQ323" s="164"/>
      <c r="AR323" s="164"/>
      <c r="AS323" s="164"/>
      <c r="AT323" s="164"/>
      <c r="AU323" s="164"/>
      <c r="AV323" s="164"/>
      <c r="AW323" s="164"/>
      <c r="AX323" s="164"/>
      <c r="AY323" s="164"/>
      <c r="AZ323" s="164"/>
      <c r="BA323" s="164"/>
      <c r="BB323" s="164"/>
      <c r="BC323" s="164"/>
      <c r="BD323" s="164"/>
    </row>
    <row r="324" spans="1:56" ht="14.25" customHeight="1">
      <c r="A324" s="2">
        <v>322</v>
      </c>
      <c r="B324" s="111" t="s">
        <v>724</v>
      </c>
      <c r="C324" s="53" t="s">
        <v>724</v>
      </c>
      <c r="D324" s="140" t="s">
        <v>725</v>
      </c>
      <c r="E324" s="42">
        <v>2</v>
      </c>
      <c r="F324" s="42">
        <v>2</v>
      </c>
      <c r="G324" s="35" t="s">
        <v>692</v>
      </c>
      <c r="H324" s="36"/>
      <c r="I324" s="37">
        <f t="shared" si="19"/>
        <v>0</v>
      </c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>
        <f t="shared" si="16"/>
        <v>0</v>
      </c>
      <c r="W324" s="36"/>
      <c r="X324" s="38">
        <v>30000</v>
      </c>
      <c r="Y324" s="38" t="str">
        <f t="shared" si="17"/>
        <v>无需保养</v>
      </c>
      <c r="Z324" s="38">
        <f t="shared" si="18"/>
        <v>1</v>
      </c>
      <c r="AA324" s="164"/>
      <c r="AB324" s="164"/>
      <c r="AC324" s="164"/>
      <c r="AD324" s="164"/>
      <c r="AE324" s="164"/>
      <c r="AF324" s="164"/>
      <c r="AG324" s="164"/>
      <c r="AH324" s="164"/>
      <c r="AI324" s="164"/>
      <c r="AJ324" s="164"/>
      <c r="AK324" s="164"/>
      <c r="AL324" s="164"/>
      <c r="AM324" s="164"/>
      <c r="AN324" s="164"/>
      <c r="AO324" s="164"/>
      <c r="AP324" s="164"/>
      <c r="AQ324" s="164"/>
      <c r="AR324" s="164"/>
      <c r="AS324" s="164"/>
      <c r="AT324" s="164"/>
      <c r="AU324" s="164"/>
      <c r="AV324" s="164"/>
      <c r="AW324" s="164"/>
      <c r="AX324" s="164"/>
      <c r="AY324" s="164"/>
      <c r="AZ324" s="164"/>
      <c r="BA324" s="164"/>
      <c r="BB324" s="164"/>
      <c r="BC324" s="164"/>
      <c r="BD324" s="164"/>
    </row>
    <row r="325" spans="1:56" ht="14.25" customHeight="1">
      <c r="A325" s="2">
        <v>323</v>
      </c>
      <c r="B325" s="41" t="s">
        <v>726</v>
      </c>
      <c r="C325" s="53" t="s">
        <v>727</v>
      </c>
      <c r="D325" s="133" t="s">
        <v>728</v>
      </c>
      <c r="E325" s="42">
        <v>1</v>
      </c>
      <c r="F325" s="42">
        <v>1</v>
      </c>
      <c r="G325" s="35" t="s">
        <v>692</v>
      </c>
      <c r="H325" s="36"/>
      <c r="I325" s="37">
        <f t="shared" si="19"/>
        <v>0</v>
      </c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>
        <f t="shared" ref="V325:V388" si="20">I325/F325</f>
        <v>0</v>
      </c>
      <c r="W325" s="36"/>
      <c r="X325" s="38">
        <v>30000</v>
      </c>
      <c r="Y325" s="38" t="str">
        <f t="shared" ref="Y325:Y388" si="21">IF(OR(AND(W325&lt;&gt;0,QUOTIENT(V325,X325)&gt;=1,(MOD(V325,X325)/X325)&gt;=0.9,(QUOTIENT(V325,X325)+1)&gt;W325),AND(QUOTIENT(V325,X325)=0,MOD(V325,X325)/X325&gt;=0.9,(QUOTIENT(V325,X325)+1)&gt;W325),QUOTIENT(V325,X325)&gt;W325),"保养","无需保养")</f>
        <v>无需保养</v>
      </c>
      <c r="Z325" s="38">
        <f t="shared" ref="Z325:Z388" si="22">COUNTIF($C$5:$C$542,C325)</f>
        <v>1</v>
      </c>
      <c r="AA325" s="164"/>
      <c r="AB325" s="164"/>
      <c r="AC325" s="164"/>
      <c r="AD325" s="164"/>
      <c r="AE325" s="164"/>
      <c r="AF325" s="164"/>
      <c r="AG325" s="164"/>
      <c r="AH325" s="164"/>
      <c r="AI325" s="164"/>
      <c r="AJ325" s="164"/>
      <c r="AK325" s="164"/>
      <c r="AL325" s="164"/>
      <c r="AM325" s="164"/>
      <c r="AN325" s="164"/>
      <c r="AO325" s="164"/>
      <c r="AP325" s="164"/>
      <c r="AQ325" s="164"/>
      <c r="AR325" s="164"/>
      <c r="AS325" s="164"/>
      <c r="AT325" s="164"/>
      <c r="AU325" s="164"/>
      <c r="AV325" s="164"/>
      <c r="AW325" s="164"/>
      <c r="AX325" s="164"/>
      <c r="AY325" s="164"/>
      <c r="AZ325" s="164"/>
      <c r="BA325" s="164"/>
      <c r="BB325" s="164"/>
      <c r="BC325" s="164"/>
      <c r="BD325" s="164"/>
    </row>
    <row r="326" spans="1:56" ht="14.25" customHeight="1">
      <c r="A326" s="2">
        <v>324</v>
      </c>
      <c r="B326" s="108" t="s">
        <v>729</v>
      </c>
      <c r="C326" s="53" t="s">
        <v>730</v>
      </c>
      <c r="D326" s="140" t="s">
        <v>728</v>
      </c>
      <c r="E326" s="42">
        <v>1</v>
      </c>
      <c r="F326" s="42">
        <v>1</v>
      </c>
      <c r="G326" s="35" t="s">
        <v>692</v>
      </c>
      <c r="H326" s="36"/>
      <c r="I326" s="37">
        <f t="shared" ref="I326:I389" si="23">J326+K326+L326+M326+N326+O326+P326+Q326+R326+S326+T326+U326</f>
        <v>0</v>
      </c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>
        <f t="shared" si="20"/>
        <v>0</v>
      </c>
      <c r="W326" s="36"/>
      <c r="X326" s="38">
        <v>30000</v>
      </c>
      <c r="Y326" s="38" t="str">
        <f t="shared" si="21"/>
        <v>无需保养</v>
      </c>
      <c r="Z326" s="38">
        <f t="shared" si="22"/>
        <v>1</v>
      </c>
      <c r="AA326" s="164"/>
      <c r="AB326" s="164"/>
      <c r="AC326" s="164"/>
      <c r="AD326" s="164"/>
      <c r="AE326" s="164"/>
      <c r="AF326" s="164"/>
      <c r="AG326" s="164"/>
      <c r="AH326" s="164"/>
      <c r="AI326" s="164"/>
      <c r="AJ326" s="164"/>
      <c r="AK326" s="164"/>
      <c r="AL326" s="164"/>
      <c r="AM326" s="164"/>
      <c r="AN326" s="164"/>
      <c r="AO326" s="164"/>
      <c r="AP326" s="164"/>
      <c r="AQ326" s="164"/>
      <c r="AR326" s="164"/>
      <c r="AS326" s="164"/>
      <c r="AT326" s="164"/>
      <c r="AU326" s="164"/>
      <c r="AV326" s="164"/>
      <c r="AW326" s="164"/>
      <c r="AX326" s="164"/>
      <c r="AY326" s="164"/>
      <c r="AZ326" s="164"/>
      <c r="BA326" s="164"/>
      <c r="BB326" s="164"/>
      <c r="BC326" s="164"/>
      <c r="BD326" s="164"/>
    </row>
    <row r="327" spans="1:56" ht="14.25" customHeight="1">
      <c r="A327" s="2">
        <v>325</v>
      </c>
      <c r="B327" s="110" t="s">
        <v>731</v>
      </c>
      <c r="C327" s="53" t="s">
        <v>732</v>
      </c>
      <c r="D327" s="140" t="s">
        <v>691</v>
      </c>
      <c r="E327" s="42">
        <v>1</v>
      </c>
      <c r="F327" s="42">
        <v>1</v>
      </c>
      <c r="G327" s="35" t="s">
        <v>692</v>
      </c>
      <c r="H327" s="36"/>
      <c r="I327" s="37">
        <f t="shared" si="23"/>
        <v>0</v>
      </c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>
        <f t="shared" si="20"/>
        <v>0</v>
      </c>
      <c r="W327" s="36"/>
      <c r="X327" s="38">
        <v>30000</v>
      </c>
      <c r="Y327" s="38" t="str">
        <f t="shared" si="21"/>
        <v>无需保养</v>
      </c>
      <c r="Z327" s="38">
        <f t="shared" si="22"/>
        <v>1</v>
      </c>
      <c r="AA327" s="164"/>
      <c r="AB327" s="164"/>
      <c r="AC327" s="164"/>
      <c r="AD327" s="164"/>
      <c r="AE327" s="164"/>
      <c r="AF327" s="164"/>
      <c r="AG327" s="164"/>
      <c r="AH327" s="164"/>
      <c r="AI327" s="164"/>
      <c r="AJ327" s="164"/>
      <c r="AK327" s="164"/>
      <c r="AL327" s="164"/>
      <c r="AM327" s="164"/>
      <c r="AN327" s="164"/>
      <c r="AO327" s="164"/>
      <c r="AP327" s="164"/>
      <c r="AQ327" s="164"/>
      <c r="AR327" s="164"/>
      <c r="AS327" s="164"/>
      <c r="AT327" s="164"/>
      <c r="AU327" s="164"/>
      <c r="AV327" s="164"/>
      <c r="AW327" s="164"/>
      <c r="AX327" s="164"/>
      <c r="AY327" s="164"/>
      <c r="AZ327" s="164"/>
      <c r="BA327" s="164"/>
      <c r="BB327" s="164"/>
      <c r="BC327" s="164"/>
      <c r="BD327" s="164"/>
    </row>
    <row r="328" spans="1:56" ht="14.25" customHeight="1">
      <c r="A328" s="2">
        <v>326</v>
      </c>
      <c r="B328" s="109" t="s">
        <v>733</v>
      </c>
      <c r="C328" s="61" t="s">
        <v>733</v>
      </c>
      <c r="D328" s="140" t="s">
        <v>734</v>
      </c>
      <c r="E328" s="52">
        <v>1</v>
      </c>
      <c r="F328" s="52">
        <v>1</v>
      </c>
      <c r="G328" s="35" t="s">
        <v>692</v>
      </c>
      <c r="H328" s="36"/>
      <c r="I328" s="37">
        <f t="shared" si="23"/>
        <v>0</v>
      </c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>
        <f t="shared" si="20"/>
        <v>0</v>
      </c>
      <c r="W328" s="36"/>
      <c r="X328" s="38">
        <v>30000</v>
      </c>
      <c r="Y328" s="38" t="str">
        <f t="shared" si="21"/>
        <v>无需保养</v>
      </c>
      <c r="Z328" s="38">
        <f t="shared" si="22"/>
        <v>1</v>
      </c>
      <c r="AA328" s="164"/>
      <c r="AB328" s="164"/>
      <c r="AC328" s="164"/>
      <c r="AD328" s="164"/>
      <c r="AE328" s="164"/>
      <c r="AF328" s="164"/>
      <c r="AG328" s="164"/>
      <c r="AH328" s="164"/>
      <c r="AI328" s="164"/>
      <c r="AJ328" s="164"/>
      <c r="AK328" s="164"/>
      <c r="AL328" s="164"/>
      <c r="AM328" s="164"/>
      <c r="AN328" s="164"/>
      <c r="AO328" s="164"/>
      <c r="AP328" s="164"/>
      <c r="AQ328" s="164"/>
      <c r="AR328" s="164"/>
      <c r="AS328" s="164"/>
      <c r="AT328" s="164"/>
      <c r="AU328" s="164"/>
      <c r="AV328" s="164"/>
      <c r="AW328" s="164"/>
      <c r="AX328" s="164"/>
      <c r="AY328" s="164"/>
      <c r="AZ328" s="164"/>
      <c r="BA328" s="164"/>
      <c r="BB328" s="164"/>
      <c r="BC328" s="164"/>
      <c r="BD328" s="164"/>
    </row>
    <row r="329" spans="1:56" ht="14.25" customHeight="1">
      <c r="A329" s="2">
        <v>327</v>
      </c>
      <c r="B329" s="41" t="s">
        <v>735</v>
      </c>
      <c r="C329" s="53" t="s">
        <v>735</v>
      </c>
      <c r="D329" s="133" t="s">
        <v>725</v>
      </c>
      <c r="E329" s="42">
        <v>1</v>
      </c>
      <c r="F329" s="42">
        <v>1</v>
      </c>
      <c r="G329" s="35" t="s">
        <v>692</v>
      </c>
      <c r="H329" s="36"/>
      <c r="I329" s="37">
        <f t="shared" si="23"/>
        <v>0</v>
      </c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>
        <f t="shared" si="20"/>
        <v>0</v>
      </c>
      <c r="W329" s="36"/>
      <c r="X329" s="38">
        <v>30000</v>
      </c>
      <c r="Y329" s="38" t="str">
        <f t="shared" si="21"/>
        <v>无需保养</v>
      </c>
      <c r="Z329" s="38">
        <f t="shared" si="22"/>
        <v>1</v>
      </c>
      <c r="AA329" s="164"/>
      <c r="AB329" s="164"/>
      <c r="AC329" s="164"/>
      <c r="AD329" s="164"/>
      <c r="AE329" s="164"/>
      <c r="AF329" s="164"/>
      <c r="AG329" s="164"/>
      <c r="AH329" s="164"/>
      <c r="AI329" s="164"/>
      <c r="AJ329" s="164"/>
      <c r="AK329" s="164"/>
      <c r="AL329" s="164"/>
      <c r="AM329" s="164"/>
      <c r="AN329" s="164"/>
      <c r="AO329" s="164"/>
      <c r="AP329" s="164"/>
      <c r="AQ329" s="164"/>
      <c r="AR329" s="164"/>
      <c r="AS329" s="164"/>
      <c r="AT329" s="164"/>
      <c r="AU329" s="164"/>
      <c r="AV329" s="164"/>
      <c r="AW329" s="164"/>
      <c r="AX329" s="164"/>
      <c r="AY329" s="164"/>
      <c r="AZ329" s="164"/>
      <c r="BA329" s="164"/>
      <c r="BB329" s="164"/>
      <c r="BC329" s="164"/>
      <c r="BD329" s="164"/>
    </row>
    <row r="330" spans="1:56" ht="14.25" customHeight="1">
      <c r="A330" s="2">
        <v>328</v>
      </c>
      <c r="B330" s="55" t="s">
        <v>736</v>
      </c>
      <c r="C330" s="53" t="s">
        <v>736</v>
      </c>
      <c r="D330" s="133" t="s">
        <v>697</v>
      </c>
      <c r="E330" s="42">
        <v>4</v>
      </c>
      <c r="F330" s="42">
        <v>4</v>
      </c>
      <c r="G330" s="35" t="s">
        <v>692</v>
      </c>
      <c r="H330" s="36"/>
      <c r="I330" s="37">
        <f t="shared" si="23"/>
        <v>0</v>
      </c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>
        <f t="shared" si="20"/>
        <v>0</v>
      </c>
      <c r="W330" s="36"/>
      <c r="X330" s="38">
        <v>30000</v>
      </c>
      <c r="Y330" s="38" t="str">
        <f t="shared" si="21"/>
        <v>无需保养</v>
      </c>
      <c r="Z330" s="38">
        <f t="shared" si="22"/>
        <v>1</v>
      </c>
      <c r="AA330" s="164"/>
      <c r="AB330" s="164"/>
      <c r="AC330" s="164"/>
      <c r="AD330" s="164"/>
      <c r="AE330" s="164"/>
      <c r="AF330" s="164"/>
      <c r="AG330" s="164"/>
      <c r="AH330" s="164"/>
      <c r="AI330" s="164"/>
      <c r="AJ330" s="164"/>
      <c r="AK330" s="164"/>
      <c r="AL330" s="164"/>
      <c r="AM330" s="164"/>
      <c r="AN330" s="164"/>
      <c r="AO330" s="164"/>
      <c r="AP330" s="164"/>
      <c r="AQ330" s="164"/>
      <c r="AR330" s="164"/>
      <c r="AS330" s="164"/>
      <c r="AT330" s="164"/>
      <c r="AU330" s="164"/>
      <c r="AV330" s="164"/>
      <c r="AW330" s="164"/>
      <c r="AX330" s="164"/>
      <c r="AY330" s="164"/>
      <c r="AZ330" s="164"/>
      <c r="BA330" s="164"/>
      <c r="BB330" s="164"/>
      <c r="BC330" s="164"/>
      <c r="BD330" s="164"/>
    </row>
    <row r="331" spans="1:56" ht="14.25" customHeight="1">
      <c r="A331" s="2">
        <v>329</v>
      </c>
      <c r="B331" s="41" t="s">
        <v>737</v>
      </c>
      <c r="C331" s="53" t="s">
        <v>737</v>
      </c>
      <c r="D331" s="133" t="s">
        <v>738</v>
      </c>
      <c r="E331" s="42">
        <v>4</v>
      </c>
      <c r="F331" s="42">
        <v>4</v>
      </c>
      <c r="G331" s="35" t="s">
        <v>692</v>
      </c>
      <c r="H331" s="36"/>
      <c r="I331" s="37">
        <f t="shared" si="23"/>
        <v>0</v>
      </c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>
        <f t="shared" si="20"/>
        <v>0</v>
      </c>
      <c r="W331" s="36"/>
      <c r="X331" s="38">
        <v>30000</v>
      </c>
      <c r="Y331" s="38" t="str">
        <f t="shared" si="21"/>
        <v>无需保养</v>
      </c>
      <c r="Z331" s="38">
        <f t="shared" si="22"/>
        <v>1</v>
      </c>
      <c r="AA331" s="164"/>
      <c r="AB331" s="164"/>
      <c r="AC331" s="164"/>
      <c r="AD331" s="164"/>
      <c r="AE331" s="164"/>
      <c r="AF331" s="164"/>
      <c r="AG331" s="164"/>
      <c r="AH331" s="164"/>
      <c r="AI331" s="164"/>
      <c r="AJ331" s="164"/>
      <c r="AK331" s="164"/>
      <c r="AL331" s="164"/>
      <c r="AM331" s="164"/>
      <c r="AN331" s="164"/>
      <c r="AO331" s="164"/>
      <c r="AP331" s="164"/>
      <c r="AQ331" s="164"/>
      <c r="AR331" s="164"/>
      <c r="AS331" s="164"/>
      <c r="AT331" s="164"/>
      <c r="AU331" s="164"/>
      <c r="AV331" s="164"/>
      <c r="AW331" s="164"/>
      <c r="AX331" s="164"/>
      <c r="AY331" s="164"/>
      <c r="AZ331" s="164"/>
      <c r="BA331" s="164"/>
      <c r="BB331" s="164"/>
      <c r="BC331" s="164"/>
      <c r="BD331" s="164"/>
    </row>
    <row r="332" spans="1:56" ht="14.25" customHeight="1">
      <c r="A332" s="2">
        <v>330</v>
      </c>
      <c r="B332" s="55" t="s">
        <v>739</v>
      </c>
      <c r="C332" s="53" t="s">
        <v>740</v>
      </c>
      <c r="D332" s="133" t="s">
        <v>741</v>
      </c>
      <c r="E332" s="42">
        <v>6</v>
      </c>
      <c r="F332" s="42">
        <v>6</v>
      </c>
      <c r="G332" s="35" t="s">
        <v>692</v>
      </c>
      <c r="H332" s="36"/>
      <c r="I332" s="37">
        <f t="shared" si="23"/>
        <v>0</v>
      </c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>
        <f t="shared" si="20"/>
        <v>0</v>
      </c>
      <c r="W332" s="36"/>
      <c r="X332" s="38">
        <v>30000</v>
      </c>
      <c r="Y332" s="38" t="str">
        <f t="shared" si="21"/>
        <v>无需保养</v>
      </c>
      <c r="Z332" s="38">
        <f t="shared" si="22"/>
        <v>1</v>
      </c>
      <c r="AA332" s="164"/>
      <c r="AB332" s="164"/>
      <c r="AC332" s="164"/>
      <c r="AD332" s="164"/>
      <c r="AE332" s="164"/>
      <c r="AF332" s="164"/>
      <c r="AG332" s="164"/>
      <c r="AH332" s="164"/>
      <c r="AI332" s="164"/>
      <c r="AJ332" s="164"/>
      <c r="AK332" s="164"/>
      <c r="AL332" s="164"/>
      <c r="AM332" s="164"/>
      <c r="AN332" s="164"/>
      <c r="AO332" s="164"/>
      <c r="AP332" s="164"/>
      <c r="AQ332" s="164"/>
      <c r="AR332" s="164"/>
      <c r="AS332" s="164"/>
      <c r="AT332" s="164"/>
      <c r="AU332" s="164"/>
      <c r="AV332" s="164"/>
      <c r="AW332" s="164"/>
      <c r="AX332" s="164"/>
      <c r="AY332" s="164"/>
      <c r="AZ332" s="164"/>
      <c r="BA332" s="164"/>
      <c r="BB332" s="164"/>
      <c r="BC332" s="164"/>
      <c r="BD332" s="164"/>
    </row>
    <row r="333" spans="1:56" ht="14.25" customHeight="1">
      <c r="A333" s="2">
        <v>331</v>
      </c>
      <c r="B333" s="55" t="s">
        <v>742</v>
      </c>
      <c r="C333" s="51" t="s">
        <v>742</v>
      </c>
      <c r="D333" s="133" t="s">
        <v>691</v>
      </c>
      <c r="E333" s="42">
        <v>1</v>
      </c>
      <c r="F333" s="42">
        <v>1</v>
      </c>
      <c r="G333" s="35" t="s">
        <v>692</v>
      </c>
      <c r="H333" s="36"/>
      <c r="I333" s="37">
        <f t="shared" si="23"/>
        <v>0</v>
      </c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>
        <f t="shared" si="20"/>
        <v>0</v>
      </c>
      <c r="W333" s="36"/>
      <c r="X333" s="38">
        <v>30000</v>
      </c>
      <c r="Y333" s="38" t="str">
        <f t="shared" si="21"/>
        <v>无需保养</v>
      </c>
      <c r="Z333" s="38">
        <f t="shared" si="22"/>
        <v>2</v>
      </c>
      <c r="AA333" s="164"/>
      <c r="AB333" s="164"/>
      <c r="AC333" s="164"/>
      <c r="AD333" s="164"/>
      <c r="AE333" s="164"/>
      <c r="AF333" s="164"/>
      <c r="AG333" s="164"/>
      <c r="AH333" s="164"/>
      <c r="AI333" s="164"/>
      <c r="AJ333" s="164"/>
      <c r="AK333" s="164"/>
      <c r="AL333" s="164"/>
      <c r="AM333" s="164"/>
      <c r="AN333" s="164"/>
      <c r="AO333" s="164"/>
      <c r="AP333" s="164"/>
      <c r="AQ333" s="164"/>
      <c r="AR333" s="164"/>
      <c r="AS333" s="164"/>
      <c r="AT333" s="164"/>
      <c r="AU333" s="164"/>
      <c r="AV333" s="164"/>
      <c r="AW333" s="164"/>
      <c r="AX333" s="164"/>
      <c r="AY333" s="164"/>
      <c r="AZ333" s="164"/>
      <c r="BA333" s="164"/>
      <c r="BB333" s="164"/>
      <c r="BC333" s="164"/>
      <c r="BD333" s="164"/>
    </row>
    <row r="334" spans="1:56" ht="14.25" customHeight="1">
      <c r="A334" s="2">
        <v>332</v>
      </c>
      <c r="B334" s="55" t="s">
        <v>743</v>
      </c>
      <c r="C334" s="53" t="s">
        <v>743</v>
      </c>
      <c r="D334" s="133" t="s">
        <v>691</v>
      </c>
      <c r="E334" s="42">
        <v>4</v>
      </c>
      <c r="F334" s="42">
        <v>4</v>
      </c>
      <c r="G334" s="35" t="s">
        <v>692</v>
      </c>
      <c r="H334" s="36"/>
      <c r="I334" s="37">
        <f t="shared" si="23"/>
        <v>0</v>
      </c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>
        <f t="shared" si="20"/>
        <v>0</v>
      </c>
      <c r="W334" s="36"/>
      <c r="X334" s="38">
        <v>30000</v>
      </c>
      <c r="Y334" s="38" t="str">
        <f t="shared" si="21"/>
        <v>无需保养</v>
      </c>
      <c r="Z334" s="38">
        <f t="shared" si="22"/>
        <v>1</v>
      </c>
      <c r="AA334" s="164"/>
      <c r="AB334" s="164"/>
      <c r="AC334" s="164"/>
      <c r="AD334" s="164"/>
      <c r="AE334" s="164"/>
      <c r="AF334" s="164"/>
      <c r="AG334" s="164"/>
      <c r="AH334" s="164"/>
      <c r="AI334" s="164"/>
      <c r="AJ334" s="164"/>
      <c r="AK334" s="164"/>
      <c r="AL334" s="164"/>
      <c r="AM334" s="164"/>
      <c r="AN334" s="164"/>
      <c r="AO334" s="164"/>
      <c r="AP334" s="164"/>
      <c r="AQ334" s="164"/>
      <c r="AR334" s="164"/>
      <c r="AS334" s="164"/>
      <c r="AT334" s="164"/>
      <c r="AU334" s="164"/>
      <c r="AV334" s="164"/>
      <c r="AW334" s="164"/>
      <c r="AX334" s="164"/>
      <c r="AY334" s="164"/>
      <c r="AZ334" s="164"/>
      <c r="BA334" s="164"/>
      <c r="BB334" s="164"/>
      <c r="BC334" s="164"/>
      <c r="BD334" s="164"/>
    </row>
    <row r="335" spans="1:56" ht="14.25" customHeight="1">
      <c r="A335" s="2">
        <v>333</v>
      </c>
      <c r="B335" s="56" t="s">
        <v>744</v>
      </c>
      <c r="C335" s="53" t="s">
        <v>745</v>
      </c>
      <c r="D335" s="133" t="s">
        <v>746</v>
      </c>
      <c r="E335" s="42">
        <v>1</v>
      </c>
      <c r="F335" s="42">
        <v>1</v>
      </c>
      <c r="G335" s="35" t="s">
        <v>692</v>
      </c>
      <c r="H335" s="36"/>
      <c r="I335" s="37">
        <f t="shared" si="23"/>
        <v>0</v>
      </c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>
        <f t="shared" si="20"/>
        <v>0</v>
      </c>
      <c r="W335" s="36"/>
      <c r="X335" s="38">
        <v>30000</v>
      </c>
      <c r="Y335" s="38" t="str">
        <f t="shared" si="21"/>
        <v>无需保养</v>
      </c>
      <c r="Z335" s="38">
        <f t="shared" si="22"/>
        <v>1</v>
      </c>
      <c r="AA335" s="164"/>
      <c r="AB335" s="164"/>
      <c r="AC335" s="164"/>
      <c r="AD335" s="164"/>
      <c r="AE335" s="164"/>
      <c r="AF335" s="164"/>
      <c r="AG335" s="164"/>
      <c r="AH335" s="164"/>
      <c r="AI335" s="164"/>
      <c r="AJ335" s="164"/>
      <c r="AK335" s="164"/>
      <c r="AL335" s="164"/>
      <c r="AM335" s="164"/>
      <c r="AN335" s="164"/>
      <c r="AO335" s="164"/>
      <c r="AP335" s="164"/>
      <c r="AQ335" s="164"/>
      <c r="AR335" s="164"/>
      <c r="AS335" s="164"/>
      <c r="AT335" s="164"/>
      <c r="AU335" s="164"/>
      <c r="AV335" s="164"/>
      <c r="AW335" s="164"/>
      <c r="AX335" s="164"/>
      <c r="AY335" s="164"/>
      <c r="AZ335" s="164"/>
      <c r="BA335" s="164"/>
      <c r="BB335" s="164"/>
      <c r="BC335" s="164"/>
      <c r="BD335" s="164"/>
    </row>
    <row r="336" spans="1:56" ht="14.25" customHeight="1">
      <c r="A336" s="2">
        <v>334</v>
      </c>
      <c r="B336" s="41" t="s">
        <v>747</v>
      </c>
      <c r="C336" s="53" t="s">
        <v>748</v>
      </c>
      <c r="D336" s="133" t="s">
        <v>749</v>
      </c>
      <c r="E336" s="42">
        <v>1</v>
      </c>
      <c r="F336" s="42">
        <v>1</v>
      </c>
      <c r="G336" s="35" t="s">
        <v>692</v>
      </c>
      <c r="H336" s="36"/>
      <c r="I336" s="37">
        <f t="shared" si="23"/>
        <v>0</v>
      </c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>
        <f t="shared" si="20"/>
        <v>0</v>
      </c>
      <c r="W336" s="36"/>
      <c r="X336" s="38">
        <v>30000</v>
      </c>
      <c r="Y336" s="38" t="str">
        <f t="shared" si="21"/>
        <v>无需保养</v>
      </c>
      <c r="Z336" s="38">
        <f t="shared" si="22"/>
        <v>1</v>
      </c>
      <c r="AA336" s="164"/>
      <c r="AB336" s="164"/>
      <c r="AC336" s="164"/>
      <c r="AD336" s="164"/>
      <c r="AE336" s="164"/>
      <c r="AF336" s="164"/>
      <c r="AG336" s="164"/>
      <c r="AH336" s="164"/>
      <c r="AI336" s="164"/>
      <c r="AJ336" s="164"/>
      <c r="AK336" s="164"/>
      <c r="AL336" s="164"/>
      <c r="AM336" s="164"/>
      <c r="AN336" s="164"/>
      <c r="AO336" s="164"/>
      <c r="AP336" s="164"/>
      <c r="AQ336" s="164"/>
      <c r="AR336" s="164"/>
      <c r="AS336" s="164"/>
      <c r="AT336" s="164"/>
      <c r="AU336" s="164"/>
      <c r="AV336" s="164"/>
      <c r="AW336" s="164"/>
      <c r="AX336" s="164"/>
      <c r="AY336" s="164"/>
      <c r="AZ336" s="164"/>
      <c r="BA336" s="164"/>
      <c r="BB336" s="164"/>
      <c r="BC336" s="164"/>
      <c r="BD336" s="164"/>
    </row>
    <row r="337" spans="1:56" ht="14.25" customHeight="1">
      <c r="A337" s="2">
        <v>335</v>
      </c>
      <c r="B337" s="56" t="s">
        <v>750</v>
      </c>
      <c r="C337" s="53" t="s">
        <v>750</v>
      </c>
      <c r="D337" s="133" t="s">
        <v>691</v>
      </c>
      <c r="E337" s="42">
        <v>1</v>
      </c>
      <c r="F337" s="42">
        <v>1</v>
      </c>
      <c r="G337" s="35" t="s">
        <v>692</v>
      </c>
      <c r="H337" s="36"/>
      <c r="I337" s="37">
        <f t="shared" si="23"/>
        <v>0</v>
      </c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>
        <f t="shared" si="20"/>
        <v>0</v>
      </c>
      <c r="W337" s="36"/>
      <c r="X337" s="38">
        <v>30000</v>
      </c>
      <c r="Y337" s="38" t="str">
        <f t="shared" si="21"/>
        <v>无需保养</v>
      </c>
      <c r="Z337" s="38">
        <f t="shared" si="22"/>
        <v>1</v>
      </c>
      <c r="AA337" s="164"/>
      <c r="AB337" s="164"/>
      <c r="AC337" s="164"/>
      <c r="AD337" s="164"/>
      <c r="AE337" s="164"/>
      <c r="AF337" s="164"/>
      <c r="AG337" s="164"/>
      <c r="AH337" s="164"/>
      <c r="AI337" s="164"/>
      <c r="AJ337" s="164"/>
      <c r="AK337" s="164"/>
      <c r="AL337" s="164"/>
      <c r="AM337" s="164"/>
      <c r="AN337" s="164"/>
      <c r="AO337" s="164"/>
      <c r="AP337" s="164"/>
      <c r="AQ337" s="164"/>
      <c r="AR337" s="164"/>
      <c r="AS337" s="164"/>
      <c r="AT337" s="164"/>
      <c r="AU337" s="164"/>
      <c r="AV337" s="164"/>
      <c r="AW337" s="164"/>
      <c r="AX337" s="164"/>
      <c r="AY337" s="164"/>
      <c r="AZ337" s="164"/>
      <c r="BA337" s="164"/>
      <c r="BB337" s="164"/>
      <c r="BC337" s="164"/>
      <c r="BD337" s="164"/>
    </row>
    <row r="338" spans="1:56" ht="14.25" customHeight="1">
      <c r="A338" s="2">
        <v>336</v>
      </c>
      <c r="B338" s="56" t="s">
        <v>751</v>
      </c>
      <c r="C338" s="53" t="s">
        <v>751</v>
      </c>
      <c r="D338" s="133" t="s">
        <v>691</v>
      </c>
      <c r="E338" s="42">
        <v>8</v>
      </c>
      <c r="F338" s="42">
        <v>8</v>
      </c>
      <c r="G338" s="35" t="s">
        <v>692</v>
      </c>
      <c r="H338" s="36"/>
      <c r="I338" s="37">
        <f t="shared" si="23"/>
        <v>0</v>
      </c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>
        <f t="shared" si="20"/>
        <v>0</v>
      </c>
      <c r="W338" s="36"/>
      <c r="X338" s="38">
        <v>30000</v>
      </c>
      <c r="Y338" s="38" t="str">
        <f t="shared" si="21"/>
        <v>无需保养</v>
      </c>
      <c r="Z338" s="38">
        <f t="shared" si="22"/>
        <v>1</v>
      </c>
      <c r="AA338" s="164"/>
      <c r="AB338" s="164"/>
      <c r="AC338" s="164"/>
      <c r="AD338" s="164"/>
      <c r="AE338" s="164"/>
      <c r="AF338" s="164"/>
      <c r="AG338" s="164"/>
      <c r="AH338" s="164"/>
      <c r="AI338" s="164"/>
      <c r="AJ338" s="164"/>
      <c r="AK338" s="164"/>
      <c r="AL338" s="164"/>
      <c r="AM338" s="164"/>
      <c r="AN338" s="164"/>
      <c r="AO338" s="164"/>
      <c r="AP338" s="164"/>
      <c r="AQ338" s="164"/>
      <c r="AR338" s="164"/>
      <c r="AS338" s="164"/>
      <c r="AT338" s="164"/>
      <c r="AU338" s="164"/>
      <c r="AV338" s="164"/>
      <c r="AW338" s="164"/>
      <c r="AX338" s="164"/>
      <c r="AY338" s="164"/>
      <c r="AZ338" s="164"/>
      <c r="BA338" s="164"/>
      <c r="BB338" s="164"/>
      <c r="BC338" s="164"/>
      <c r="BD338" s="164"/>
    </row>
    <row r="339" spans="1:56" ht="14.25" customHeight="1">
      <c r="A339" s="2">
        <v>337</v>
      </c>
      <c r="B339" s="41" t="s">
        <v>752</v>
      </c>
      <c r="C339" s="53" t="s">
        <v>752</v>
      </c>
      <c r="D339" s="133" t="s">
        <v>753</v>
      </c>
      <c r="E339" s="42">
        <v>2</v>
      </c>
      <c r="F339" s="42">
        <v>2</v>
      </c>
      <c r="G339" s="35" t="s">
        <v>692</v>
      </c>
      <c r="H339" s="36"/>
      <c r="I339" s="37">
        <f t="shared" si="23"/>
        <v>0</v>
      </c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>
        <f t="shared" si="20"/>
        <v>0</v>
      </c>
      <c r="W339" s="36"/>
      <c r="X339" s="38">
        <v>30000</v>
      </c>
      <c r="Y339" s="38" t="str">
        <f t="shared" si="21"/>
        <v>无需保养</v>
      </c>
      <c r="Z339" s="38">
        <f t="shared" si="22"/>
        <v>1</v>
      </c>
      <c r="AA339" s="164"/>
      <c r="AB339" s="164"/>
      <c r="AC339" s="164"/>
      <c r="AD339" s="164"/>
      <c r="AE339" s="164"/>
      <c r="AF339" s="164"/>
      <c r="AG339" s="164"/>
      <c r="AH339" s="164"/>
      <c r="AI339" s="164"/>
      <c r="AJ339" s="164"/>
      <c r="AK339" s="164"/>
      <c r="AL339" s="164"/>
      <c r="AM339" s="164"/>
      <c r="AN339" s="164"/>
      <c r="AO339" s="164"/>
      <c r="AP339" s="164"/>
      <c r="AQ339" s="164"/>
      <c r="AR339" s="164"/>
      <c r="AS339" s="164"/>
      <c r="AT339" s="164"/>
      <c r="AU339" s="164"/>
      <c r="AV339" s="164"/>
      <c r="AW339" s="164"/>
      <c r="AX339" s="164"/>
      <c r="AY339" s="164"/>
      <c r="AZ339" s="164"/>
      <c r="BA339" s="164"/>
      <c r="BB339" s="164"/>
      <c r="BC339" s="164"/>
      <c r="BD339" s="164"/>
    </row>
    <row r="340" spans="1:56" ht="14.25" customHeight="1">
      <c r="A340" s="2">
        <v>338</v>
      </c>
      <c r="B340" s="43" t="s">
        <v>754</v>
      </c>
      <c r="C340" s="53" t="s">
        <v>754</v>
      </c>
      <c r="D340" s="133" t="s">
        <v>755</v>
      </c>
      <c r="E340" s="42">
        <v>8</v>
      </c>
      <c r="F340" s="42">
        <v>8</v>
      </c>
      <c r="G340" s="35" t="s">
        <v>692</v>
      </c>
      <c r="H340" s="36"/>
      <c r="I340" s="37">
        <f t="shared" si="23"/>
        <v>0</v>
      </c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>
        <f t="shared" si="20"/>
        <v>0</v>
      </c>
      <c r="W340" s="36"/>
      <c r="X340" s="38">
        <v>30000</v>
      </c>
      <c r="Y340" s="38" t="str">
        <f t="shared" si="21"/>
        <v>无需保养</v>
      </c>
      <c r="Z340" s="38">
        <f t="shared" si="22"/>
        <v>1</v>
      </c>
      <c r="AA340" s="164"/>
      <c r="AB340" s="164"/>
      <c r="AC340" s="164"/>
      <c r="AD340" s="164"/>
      <c r="AE340" s="164"/>
      <c r="AF340" s="164"/>
      <c r="AG340" s="164"/>
      <c r="AH340" s="164"/>
      <c r="AI340" s="164"/>
      <c r="AJ340" s="164"/>
      <c r="AK340" s="164"/>
      <c r="AL340" s="164"/>
      <c r="AM340" s="164"/>
      <c r="AN340" s="164"/>
      <c r="AO340" s="164"/>
      <c r="AP340" s="164"/>
      <c r="AQ340" s="164"/>
      <c r="AR340" s="164"/>
      <c r="AS340" s="164"/>
      <c r="AT340" s="164"/>
      <c r="AU340" s="164"/>
      <c r="AV340" s="164"/>
      <c r="AW340" s="164"/>
      <c r="AX340" s="164"/>
      <c r="AY340" s="164"/>
      <c r="AZ340" s="164"/>
      <c r="BA340" s="164"/>
      <c r="BB340" s="164"/>
      <c r="BC340" s="164"/>
      <c r="BD340" s="164"/>
    </row>
    <row r="341" spans="1:56" ht="14.25" customHeight="1">
      <c r="A341" s="2">
        <v>339</v>
      </c>
      <c r="B341" s="56" t="s">
        <v>756</v>
      </c>
      <c r="C341" s="53" t="s">
        <v>757</v>
      </c>
      <c r="D341" s="133" t="s">
        <v>758</v>
      </c>
      <c r="E341" s="42">
        <v>8</v>
      </c>
      <c r="F341" s="42">
        <v>8</v>
      </c>
      <c r="G341" s="35" t="s">
        <v>692</v>
      </c>
      <c r="H341" s="36"/>
      <c r="I341" s="37">
        <f t="shared" si="23"/>
        <v>0</v>
      </c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>
        <f t="shared" si="20"/>
        <v>0</v>
      </c>
      <c r="W341" s="36"/>
      <c r="X341" s="38">
        <v>30000</v>
      </c>
      <c r="Y341" s="38" t="str">
        <f t="shared" si="21"/>
        <v>无需保养</v>
      </c>
      <c r="Z341" s="38">
        <f t="shared" si="22"/>
        <v>2</v>
      </c>
      <c r="AA341" s="164"/>
      <c r="AB341" s="164"/>
      <c r="AC341" s="164"/>
      <c r="AD341" s="164"/>
      <c r="AE341" s="164"/>
      <c r="AF341" s="164"/>
      <c r="AG341" s="164"/>
      <c r="AH341" s="164"/>
      <c r="AI341" s="164"/>
      <c r="AJ341" s="164"/>
      <c r="AK341" s="164"/>
      <c r="AL341" s="164"/>
      <c r="AM341" s="164"/>
      <c r="AN341" s="164"/>
      <c r="AO341" s="164"/>
      <c r="AP341" s="164"/>
      <c r="AQ341" s="164"/>
      <c r="AR341" s="164"/>
      <c r="AS341" s="164"/>
      <c r="AT341" s="164"/>
      <c r="AU341" s="164"/>
      <c r="AV341" s="164"/>
      <c r="AW341" s="164"/>
      <c r="AX341" s="164"/>
      <c r="AY341" s="164"/>
      <c r="AZ341" s="164"/>
      <c r="BA341" s="164"/>
      <c r="BB341" s="164"/>
      <c r="BC341" s="164"/>
      <c r="BD341" s="164"/>
    </row>
    <row r="342" spans="1:56" ht="14.25" customHeight="1">
      <c r="A342" s="2">
        <v>340</v>
      </c>
      <c r="B342" s="56" t="s">
        <v>759</v>
      </c>
      <c r="C342" s="53" t="s">
        <v>757</v>
      </c>
      <c r="D342" s="133" t="s">
        <v>758</v>
      </c>
      <c r="E342" s="42">
        <v>8</v>
      </c>
      <c r="F342" s="42">
        <v>8</v>
      </c>
      <c r="G342" s="35" t="s">
        <v>692</v>
      </c>
      <c r="H342" s="36"/>
      <c r="I342" s="37">
        <f t="shared" si="23"/>
        <v>0</v>
      </c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>
        <f t="shared" si="20"/>
        <v>0</v>
      </c>
      <c r="W342" s="36"/>
      <c r="X342" s="38">
        <v>30000</v>
      </c>
      <c r="Y342" s="38" t="str">
        <f t="shared" si="21"/>
        <v>无需保养</v>
      </c>
      <c r="Z342" s="38">
        <f t="shared" si="22"/>
        <v>2</v>
      </c>
      <c r="AA342" s="164"/>
      <c r="AB342" s="164"/>
      <c r="AC342" s="164"/>
      <c r="AD342" s="164"/>
      <c r="AE342" s="164"/>
      <c r="AF342" s="164"/>
      <c r="AG342" s="164"/>
      <c r="AH342" s="164"/>
      <c r="AI342" s="164"/>
      <c r="AJ342" s="164"/>
      <c r="AK342" s="164"/>
      <c r="AL342" s="164"/>
      <c r="AM342" s="164"/>
      <c r="AN342" s="164"/>
      <c r="AO342" s="164"/>
      <c r="AP342" s="164"/>
      <c r="AQ342" s="164"/>
      <c r="AR342" s="164"/>
      <c r="AS342" s="164"/>
      <c r="AT342" s="164"/>
      <c r="AU342" s="164"/>
      <c r="AV342" s="164"/>
      <c r="AW342" s="164"/>
      <c r="AX342" s="164"/>
      <c r="AY342" s="164"/>
      <c r="AZ342" s="164"/>
      <c r="BA342" s="164"/>
      <c r="BB342" s="164"/>
      <c r="BC342" s="164"/>
      <c r="BD342" s="164"/>
    </row>
    <row r="343" spans="1:56" ht="14.25" customHeight="1">
      <c r="A343" s="2">
        <v>341</v>
      </c>
      <c r="B343" s="56" t="s">
        <v>760</v>
      </c>
      <c r="C343" s="62" t="s">
        <v>760</v>
      </c>
      <c r="D343" s="133" t="s">
        <v>709</v>
      </c>
      <c r="E343" s="42">
        <v>16</v>
      </c>
      <c r="F343" s="42">
        <v>16</v>
      </c>
      <c r="G343" s="35" t="s">
        <v>692</v>
      </c>
      <c r="H343" s="36"/>
      <c r="I343" s="37">
        <f t="shared" si="23"/>
        <v>0</v>
      </c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>
        <f t="shared" si="20"/>
        <v>0</v>
      </c>
      <c r="W343" s="36"/>
      <c r="X343" s="38">
        <v>30000</v>
      </c>
      <c r="Y343" s="38" t="str">
        <f t="shared" si="21"/>
        <v>无需保养</v>
      </c>
      <c r="Z343" s="38">
        <f t="shared" si="22"/>
        <v>1</v>
      </c>
      <c r="AA343" s="164"/>
      <c r="AB343" s="164"/>
      <c r="AC343" s="164"/>
      <c r="AD343" s="164"/>
      <c r="AE343" s="164"/>
      <c r="AF343" s="164"/>
      <c r="AG343" s="164"/>
      <c r="AH343" s="164"/>
      <c r="AI343" s="164"/>
      <c r="AJ343" s="164"/>
      <c r="AK343" s="164"/>
      <c r="AL343" s="164"/>
      <c r="AM343" s="164"/>
      <c r="AN343" s="164"/>
      <c r="AO343" s="164"/>
      <c r="AP343" s="164"/>
      <c r="AQ343" s="164"/>
      <c r="AR343" s="164"/>
      <c r="AS343" s="164"/>
      <c r="AT343" s="164"/>
      <c r="AU343" s="164"/>
      <c r="AV343" s="164"/>
      <c r="AW343" s="164"/>
      <c r="AX343" s="164"/>
      <c r="AY343" s="164"/>
      <c r="AZ343" s="164"/>
      <c r="BA343" s="164"/>
      <c r="BB343" s="164"/>
      <c r="BC343" s="164"/>
      <c r="BD343" s="164"/>
    </row>
    <row r="344" spans="1:56" ht="14.25" customHeight="1">
      <c r="A344" s="2">
        <v>342</v>
      </c>
      <c r="B344" s="56" t="s">
        <v>761</v>
      </c>
      <c r="C344" s="53" t="s">
        <v>762</v>
      </c>
      <c r="D344" s="133" t="s">
        <v>725</v>
      </c>
      <c r="E344" s="42">
        <v>1</v>
      </c>
      <c r="F344" s="42">
        <v>1</v>
      </c>
      <c r="G344" s="35" t="s">
        <v>692</v>
      </c>
      <c r="H344" s="36"/>
      <c r="I344" s="37">
        <f t="shared" si="23"/>
        <v>0</v>
      </c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>
        <f t="shared" si="20"/>
        <v>0</v>
      </c>
      <c r="W344" s="36"/>
      <c r="X344" s="38">
        <v>30000</v>
      </c>
      <c r="Y344" s="38" t="str">
        <f t="shared" si="21"/>
        <v>无需保养</v>
      </c>
      <c r="Z344" s="38">
        <f t="shared" si="22"/>
        <v>1</v>
      </c>
      <c r="AA344" s="164"/>
      <c r="AB344" s="164"/>
      <c r="AC344" s="164"/>
      <c r="AD344" s="164"/>
      <c r="AE344" s="164"/>
      <c r="AF344" s="164"/>
      <c r="AG344" s="164"/>
      <c r="AH344" s="164"/>
      <c r="AI344" s="164"/>
      <c r="AJ344" s="164"/>
      <c r="AK344" s="164"/>
      <c r="AL344" s="164"/>
      <c r="AM344" s="164"/>
      <c r="AN344" s="164"/>
      <c r="AO344" s="164"/>
      <c r="AP344" s="164"/>
      <c r="AQ344" s="164"/>
      <c r="AR344" s="164"/>
      <c r="AS344" s="164"/>
      <c r="AT344" s="164"/>
      <c r="AU344" s="164"/>
      <c r="AV344" s="164"/>
      <c r="AW344" s="164"/>
      <c r="AX344" s="164"/>
      <c r="AY344" s="164"/>
      <c r="AZ344" s="164"/>
      <c r="BA344" s="164"/>
      <c r="BB344" s="164"/>
      <c r="BC344" s="164"/>
      <c r="BD344" s="164"/>
    </row>
    <row r="345" spans="1:56" ht="14.25" customHeight="1">
      <c r="A345" s="2">
        <v>343</v>
      </c>
      <c r="B345" s="41" t="s">
        <v>763</v>
      </c>
      <c r="C345" s="53" t="s">
        <v>764</v>
      </c>
      <c r="D345" s="133" t="s">
        <v>765</v>
      </c>
      <c r="E345" s="42">
        <v>4</v>
      </c>
      <c r="F345" s="42">
        <v>4</v>
      </c>
      <c r="G345" s="35" t="s">
        <v>692</v>
      </c>
      <c r="H345" s="36"/>
      <c r="I345" s="37">
        <f t="shared" si="23"/>
        <v>0</v>
      </c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>
        <f t="shared" si="20"/>
        <v>0</v>
      </c>
      <c r="W345" s="36"/>
      <c r="X345" s="38">
        <v>30000</v>
      </c>
      <c r="Y345" s="38" t="str">
        <f t="shared" si="21"/>
        <v>无需保养</v>
      </c>
      <c r="Z345" s="38">
        <f t="shared" si="22"/>
        <v>1</v>
      </c>
      <c r="AA345" s="164"/>
      <c r="AB345" s="164"/>
      <c r="AC345" s="164"/>
      <c r="AD345" s="164"/>
      <c r="AE345" s="164"/>
      <c r="AF345" s="164"/>
      <c r="AG345" s="164"/>
      <c r="AH345" s="164"/>
      <c r="AI345" s="164"/>
      <c r="AJ345" s="164"/>
      <c r="AK345" s="164"/>
      <c r="AL345" s="164"/>
      <c r="AM345" s="164"/>
      <c r="AN345" s="164"/>
      <c r="AO345" s="164"/>
      <c r="AP345" s="164"/>
      <c r="AQ345" s="164"/>
      <c r="AR345" s="164"/>
      <c r="AS345" s="164"/>
      <c r="AT345" s="164"/>
      <c r="AU345" s="164"/>
      <c r="AV345" s="164"/>
      <c r="AW345" s="164"/>
      <c r="AX345" s="164"/>
      <c r="AY345" s="164"/>
      <c r="AZ345" s="164"/>
      <c r="BA345" s="164"/>
      <c r="BB345" s="164"/>
      <c r="BC345" s="164"/>
      <c r="BD345" s="164"/>
    </row>
    <row r="346" spans="1:56" ht="14.25" customHeight="1">
      <c r="A346" s="2">
        <v>344</v>
      </c>
      <c r="B346" s="41" t="s">
        <v>766</v>
      </c>
      <c r="C346" s="53" t="s">
        <v>767</v>
      </c>
      <c r="D346" s="133" t="s">
        <v>765</v>
      </c>
      <c r="E346" s="42">
        <v>2</v>
      </c>
      <c r="F346" s="42">
        <v>2</v>
      </c>
      <c r="G346" s="35" t="s">
        <v>692</v>
      </c>
      <c r="H346" s="36"/>
      <c r="I346" s="37">
        <f t="shared" si="23"/>
        <v>0</v>
      </c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>
        <f t="shared" si="20"/>
        <v>0</v>
      </c>
      <c r="W346" s="36"/>
      <c r="X346" s="38">
        <v>30000</v>
      </c>
      <c r="Y346" s="38" t="str">
        <f t="shared" si="21"/>
        <v>无需保养</v>
      </c>
      <c r="Z346" s="38">
        <f t="shared" si="22"/>
        <v>1</v>
      </c>
      <c r="AA346" s="164"/>
      <c r="AB346" s="164"/>
      <c r="AC346" s="164"/>
      <c r="AD346" s="164"/>
      <c r="AE346" s="164"/>
      <c r="AF346" s="164"/>
      <c r="AG346" s="164"/>
      <c r="AH346" s="164"/>
      <c r="AI346" s="164"/>
      <c r="AJ346" s="164"/>
      <c r="AK346" s="164"/>
      <c r="AL346" s="164"/>
      <c r="AM346" s="164"/>
      <c r="AN346" s="164"/>
      <c r="AO346" s="164"/>
      <c r="AP346" s="164"/>
      <c r="AQ346" s="164"/>
      <c r="AR346" s="164"/>
      <c r="AS346" s="164"/>
      <c r="AT346" s="164"/>
      <c r="AU346" s="164"/>
      <c r="AV346" s="164"/>
      <c r="AW346" s="164"/>
      <c r="AX346" s="164"/>
      <c r="AY346" s="164"/>
      <c r="AZ346" s="164"/>
      <c r="BA346" s="164"/>
      <c r="BB346" s="164"/>
      <c r="BC346" s="164"/>
      <c r="BD346" s="164"/>
    </row>
    <row r="347" spans="1:56" ht="14.25" customHeight="1">
      <c r="A347" s="2">
        <v>345</v>
      </c>
      <c r="B347" s="56" t="s">
        <v>768</v>
      </c>
      <c r="C347" s="53" t="s">
        <v>768</v>
      </c>
      <c r="D347" s="133" t="s">
        <v>695</v>
      </c>
      <c r="E347" s="42">
        <v>1</v>
      </c>
      <c r="F347" s="42">
        <v>1</v>
      </c>
      <c r="G347" s="35" t="s">
        <v>692</v>
      </c>
      <c r="H347" s="36"/>
      <c r="I347" s="37">
        <f t="shared" si="23"/>
        <v>0</v>
      </c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>
        <f t="shared" si="20"/>
        <v>0</v>
      </c>
      <c r="W347" s="36"/>
      <c r="X347" s="38">
        <v>30000</v>
      </c>
      <c r="Y347" s="38" t="str">
        <f t="shared" si="21"/>
        <v>无需保养</v>
      </c>
      <c r="Z347" s="38">
        <f t="shared" si="22"/>
        <v>1</v>
      </c>
      <c r="AA347" s="164"/>
      <c r="AB347" s="164"/>
      <c r="AC347" s="164"/>
      <c r="AD347" s="164"/>
      <c r="AE347" s="164"/>
      <c r="AF347" s="164"/>
      <c r="AG347" s="164"/>
      <c r="AH347" s="164"/>
      <c r="AI347" s="164"/>
      <c r="AJ347" s="164"/>
      <c r="AK347" s="164"/>
      <c r="AL347" s="164"/>
      <c r="AM347" s="164"/>
      <c r="AN347" s="164"/>
      <c r="AO347" s="164"/>
      <c r="AP347" s="164"/>
      <c r="AQ347" s="164"/>
      <c r="AR347" s="164"/>
      <c r="AS347" s="164"/>
      <c r="AT347" s="164"/>
      <c r="AU347" s="164"/>
      <c r="AV347" s="164"/>
      <c r="AW347" s="164"/>
      <c r="AX347" s="164"/>
      <c r="AY347" s="164"/>
      <c r="AZ347" s="164"/>
      <c r="BA347" s="164"/>
      <c r="BB347" s="164"/>
      <c r="BC347" s="164"/>
      <c r="BD347" s="164"/>
    </row>
    <row r="348" spans="1:56" ht="14.25" customHeight="1">
      <c r="A348" s="2">
        <v>346</v>
      </c>
      <c r="B348" s="60" t="s">
        <v>769</v>
      </c>
      <c r="C348" s="53" t="s">
        <v>769</v>
      </c>
      <c r="D348" s="133" t="s">
        <v>770</v>
      </c>
      <c r="E348" s="42">
        <v>2</v>
      </c>
      <c r="F348" s="42">
        <v>2</v>
      </c>
      <c r="G348" s="35" t="s">
        <v>692</v>
      </c>
      <c r="H348" s="36"/>
      <c r="I348" s="37">
        <f t="shared" si="23"/>
        <v>0</v>
      </c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>
        <f t="shared" si="20"/>
        <v>0</v>
      </c>
      <c r="W348" s="36"/>
      <c r="X348" s="38">
        <v>30000</v>
      </c>
      <c r="Y348" s="38" t="str">
        <f t="shared" si="21"/>
        <v>无需保养</v>
      </c>
      <c r="Z348" s="38">
        <f t="shared" si="22"/>
        <v>1</v>
      </c>
      <c r="AA348" s="164"/>
      <c r="AB348" s="164"/>
      <c r="AC348" s="164"/>
      <c r="AD348" s="164"/>
      <c r="AE348" s="164"/>
      <c r="AF348" s="164"/>
      <c r="AG348" s="164"/>
      <c r="AH348" s="164"/>
      <c r="AI348" s="164"/>
      <c r="AJ348" s="164"/>
      <c r="AK348" s="164"/>
      <c r="AL348" s="164"/>
      <c r="AM348" s="164"/>
      <c r="AN348" s="164"/>
      <c r="AO348" s="164"/>
      <c r="AP348" s="164"/>
      <c r="AQ348" s="164"/>
      <c r="AR348" s="164"/>
      <c r="AS348" s="164"/>
      <c r="AT348" s="164"/>
      <c r="AU348" s="164"/>
      <c r="AV348" s="164"/>
      <c r="AW348" s="164"/>
      <c r="AX348" s="164"/>
      <c r="AY348" s="164"/>
      <c r="AZ348" s="164"/>
      <c r="BA348" s="164"/>
      <c r="BB348" s="164"/>
      <c r="BC348" s="164"/>
      <c r="BD348" s="164"/>
    </row>
    <row r="349" spans="1:56" ht="14.25" customHeight="1">
      <c r="A349" s="2">
        <v>347</v>
      </c>
      <c r="B349" s="41" t="s">
        <v>771</v>
      </c>
      <c r="C349" s="53" t="s">
        <v>772</v>
      </c>
      <c r="D349" s="133" t="s">
        <v>691</v>
      </c>
      <c r="E349" s="42">
        <v>4</v>
      </c>
      <c r="F349" s="42">
        <v>4</v>
      </c>
      <c r="G349" s="35" t="s">
        <v>692</v>
      </c>
      <c r="H349" s="36"/>
      <c r="I349" s="37">
        <f t="shared" si="23"/>
        <v>0</v>
      </c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>
        <f t="shared" si="20"/>
        <v>0</v>
      </c>
      <c r="W349" s="36"/>
      <c r="X349" s="38">
        <v>30000</v>
      </c>
      <c r="Y349" s="38" t="str">
        <f t="shared" si="21"/>
        <v>无需保养</v>
      </c>
      <c r="Z349" s="38">
        <f t="shared" si="22"/>
        <v>1</v>
      </c>
      <c r="AA349" s="164"/>
      <c r="AB349" s="164"/>
      <c r="AC349" s="164"/>
      <c r="AD349" s="164"/>
      <c r="AE349" s="164"/>
      <c r="AF349" s="164"/>
      <c r="AG349" s="164"/>
      <c r="AH349" s="164"/>
      <c r="AI349" s="164"/>
      <c r="AJ349" s="164"/>
      <c r="AK349" s="164"/>
      <c r="AL349" s="164"/>
      <c r="AM349" s="164"/>
      <c r="AN349" s="164"/>
      <c r="AO349" s="164"/>
      <c r="AP349" s="164"/>
      <c r="AQ349" s="164"/>
      <c r="AR349" s="164"/>
      <c r="AS349" s="164"/>
      <c r="AT349" s="164"/>
      <c r="AU349" s="164"/>
      <c r="AV349" s="164"/>
      <c r="AW349" s="164"/>
      <c r="AX349" s="164"/>
      <c r="AY349" s="164"/>
      <c r="AZ349" s="164"/>
      <c r="BA349" s="164"/>
      <c r="BB349" s="164"/>
      <c r="BC349" s="164"/>
      <c r="BD349" s="164"/>
    </row>
    <row r="350" spans="1:56" ht="14.25" customHeight="1">
      <c r="A350" s="2">
        <v>348</v>
      </c>
      <c r="B350" s="56" t="s">
        <v>773</v>
      </c>
      <c r="C350" s="53" t="s">
        <v>773</v>
      </c>
      <c r="D350" s="133" t="s">
        <v>774</v>
      </c>
      <c r="E350" s="42">
        <v>2</v>
      </c>
      <c r="F350" s="42">
        <v>2</v>
      </c>
      <c r="G350" s="35" t="s">
        <v>692</v>
      </c>
      <c r="H350" s="36"/>
      <c r="I350" s="37">
        <f t="shared" si="23"/>
        <v>0</v>
      </c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>
        <f t="shared" si="20"/>
        <v>0</v>
      </c>
      <c r="W350" s="36"/>
      <c r="X350" s="38">
        <v>30000</v>
      </c>
      <c r="Y350" s="38" t="str">
        <f t="shared" si="21"/>
        <v>无需保养</v>
      </c>
      <c r="Z350" s="38">
        <f t="shared" si="22"/>
        <v>1</v>
      </c>
      <c r="AA350" s="164"/>
      <c r="AB350" s="164"/>
      <c r="AC350" s="164"/>
      <c r="AD350" s="164"/>
      <c r="AE350" s="164"/>
      <c r="AF350" s="164"/>
      <c r="AG350" s="164"/>
      <c r="AH350" s="164"/>
      <c r="AI350" s="164"/>
      <c r="AJ350" s="164"/>
      <c r="AK350" s="164"/>
      <c r="AL350" s="164"/>
      <c r="AM350" s="164"/>
      <c r="AN350" s="164"/>
      <c r="AO350" s="164"/>
      <c r="AP350" s="164"/>
      <c r="AQ350" s="164"/>
      <c r="AR350" s="164"/>
      <c r="AS350" s="164"/>
      <c r="AT350" s="164"/>
      <c r="AU350" s="164"/>
      <c r="AV350" s="164"/>
      <c r="AW350" s="164"/>
      <c r="AX350" s="164"/>
      <c r="AY350" s="164"/>
      <c r="AZ350" s="164"/>
      <c r="BA350" s="164"/>
      <c r="BB350" s="164"/>
      <c r="BC350" s="164"/>
      <c r="BD350" s="164"/>
    </row>
    <row r="351" spans="1:56" ht="14.25" customHeight="1">
      <c r="A351" s="2">
        <v>349</v>
      </c>
      <c r="B351" s="56" t="s">
        <v>775</v>
      </c>
      <c r="C351" s="63" t="s">
        <v>776</v>
      </c>
      <c r="D351" s="133" t="s">
        <v>777</v>
      </c>
      <c r="E351" s="42">
        <v>4</v>
      </c>
      <c r="F351" s="42">
        <v>4</v>
      </c>
      <c r="G351" s="35" t="s">
        <v>692</v>
      </c>
      <c r="H351" s="36"/>
      <c r="I351" s="37">
        <f t="shared" si="23"/>
        <v>0</v>
      </c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>
        <f t="shared" si="20"/>
        <v>0</v>
      </c>
      <c r="W351" s="36"/>
      <c r="X351" s="38">
        <v>30000</v>
      </c>
      <c r="Y351" s="38" t="str">
        <f t="shared" si="21"/>
        <v>无需保养</v>
      </c>
      <c r="Z351" s="38">
        <f t="shared" si="22"/>
        <v>1</v>
      </c>
      <c r="AA351" s="164"/>
      <c r="AB351" s="164"/>
      <c r="AC351" s="164"/>
      <c r="AD351" s="164"/>
      <c r="AE351" s="164"/>
      <c r="AF351" s="164"/>
      <c r="AG351" s="164"/>
      <c r="AH351" s="164"/>
      <c r="AI351" s="164"/>
      <c r="AJ351" s="164"/>
      <c r="AK351" s="164"/>
      <c r="AL351" s="164"/>
      <c r="AM351" s="164"/>
      <c r="AN351" s="164"/>
      <c r="AO351" s="164"/>
      <c r="AP351" s="164"/>
      <c r="AQ351" s="164"/>
      <c r="AR351" s="164"/>
      <c r="AS351" s="164"/>
      <c r="AT351" s="164"/>
      <c r="AU351" s="164"/>
      <c r="AV351" s="164"/>
      <c r="AW351" s="164"/>
      <c r="AX351" s="164"/>
      <c r="AY351" s="164"/>
      <c r="AZ351" s="164"/>
      <c r="BA351" s="164"/>
      <c r="BB351" s="164"/>
      <c r="BC351" s="164"/>
      <c r="BD351" s="164"/>
    </row>
    <row r="352" spans="1:56" ht="14.25" customHeight="1">
      <c r="A352" s="2">
        <v>350</v>
      </c>
      <c r="B352" s="60" t="s">
        <v>778</v>
      </c>
      <c r="C352" s="50" t="s">
        <v>778</v>
      </c>
      <c r="D352" s="133" t="s">
        <v>691</v>
      </c>
      <c r="E352" s="42">
        <v>7</v>
      </c>
      <c r="F352" s="42">
        <v>7</v>
      </c>
      <c r="G352" s="35" t="s">
        <v>692</v>
      </c>
      <c r="H352" s="36"/>
      <c r="I352" s="37">
        <f t="shared" si="23"/>
        <v>0</v>
      </c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>
        <f t="shared" si="20"/>
        <v>0</v>
      </c>
      <c r="W352" s="36"/>
      <c r="X352" s="38">
        <v>30000</v>
      </c>
      <c r="Y352" s="38" t="str">
        <f t="shared" si="21"/>
        <v>无需保养</v>
      </c>
      <c r="Z352" s="38">
        <f t="shared" si="22"/>
        <v>1</v>
      </c>
      <c r="AA352" s="164"/>
      <c r="AB352" s="164"/>
      <c r="AC352" s="164"/>
      <c r="AD352" s="164"/>
      <c r="AE352" s="164"/>
      <c r="AF352" s="164"/>
      <c r="AG352" s="164"/>
      <c r="AH352" s="164"/>
      <c r="AI352" s="164"/>
      <c r="AJ352" s="164"/>
      <c r="AK352" s="164"/>
      <c r="AL352" s="164"/>
      <c r="AM352" s="164"/>
      <c r="AN352" s="164"/>
      <c r="AO352" s="164"/>
      <c r="AP352" s="164"/>
      <c r="AQ352" s="164"/>
      <c r="AR352" s="164"/>
      <c r="AS352" s="164"/>
      <c r="AT352" s="164"/>
      <c r="AU352" s="164"/>
      <c r="AV352" s="164"/>
      <c r="AW352" s="164"/>
      <c r="AX352" s="164"/>
      <c r="AY352" s="164"/>
      <c r="AZ352" s="164"/>
      <c r="BA352" s="164"/>
      <c r="BB352" s="164"/>
      <c r="BC352" s="164"/>
      <c r="BD352" s="164"/>
    </row>
    <row r="353" spans="1:56" ht="14.25" customHeight="1">
      <c r="A353" s="2">
        <v>351</v>
      </c>
      <c r="B353" s="41" t="s">
        <v>779</v>
      </c>
      <c r="C353" s="53" t="s">
        <v>780</v>
      </c>
      <c r="D353" s="133" t="s">
        <v>781</v>
      </c>
      <c r="E353" s="42">
        <v>4</v>
      </c>
      <c r="F353" s="42">
        <v>4</v>
      </c>
      <c r="G353" s="35" t="s">
        <v>692</v>
      </c>
      <c r="H353" s="36"/>
      <c r="I353" s="37">
        <f t="shared" si="23"/>
        <v>0</v>
      </c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>
        <f t="shared" si="20"/>
        <v>0</v>
      </c>
      <c r="W353" s="36"/>
      <c r="X353" s="38">
        <v>30000</v>
      </c>
      <c r="Y353" s="38" t="str">
        <f t="shared" si="21"/>
        <v>无需保养</v>
      </c>
      <c r="Z353" s="38">
        <f t="shared" si="22"/>
        <v>1</v>
      </c>
      <c r="AA353" s="164"/>
      <c r="AB353" s="164"/>
      <c r="AC353" s="164"/>
      <c r="AD353" s="164"/>
      <c r="AE353" s="164"/>
      <c r="AF353" s="164"/>
      <c r="AG353" s="164"/>
      <c r="AH353" s="164"/>
      <c r="AI353" s="164"/>
      <c r="AJ353" s="164"/>
      <c r="AK353" s="164"/>
      <c r="AL353" s="164"/>
      <c r="AM353" s="164"/>
      <c r="AN353" s="164"/>
      <c r="AO353" s="164"/>
      <c r="AP353" s="164"/>
      <c r="AQ353" s="164"/>
      <c r="AR353" s="164"/>
      <c r="AS353" s="164"/>
      <c r="AT353" s="164"/>
      <c r="AU353" s="164"/>
      <c r="AV353" s="164"/>
      <c r="AW353" s="164"/>
      <c r="AX353" s="164"/>
      <c r="AY353" s="164"/>
      <c r="AZ353" s="164"/>
      <c r="BA353" s="164"/>
      <c r="BB353" s="164"/>
      <c r="BC353" s="164"/>
      <c r="BD353" s="164"/>
    </row>
    <row r="354" spans="1:56" ht="14.25" customHeight="1">
      <c r="A354" s="2">
        <v>352</v>
      </c>
      <c r="B354" s="41" t="s">
        <v>782</v>
      </c>
      <c r="C354" s="53" t="s">
        <v>782</v>
      </c>
      <c r="D354" s="133" t="s">
        <v>734</v>
      </c>
      <c r="E354" s="42">
        <v>4</v>
      </c>
      <c r="F354" s="42">
        <v>4</v>
      </c>
      <c r="G354" s="35" t="s">
        <v>783</v>
      </c>
      <c r="H354" s="36"/>
      <c r="I354" s="37">
        <f t="shared" si="23"/>
        <v>0</v>
      </c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>
        <f t="shared" si="20"/>
        <v>0</v>
      </c>
      <c r="W354" s="36"/>
      <c r="X354" s="38">
        <v>30000</v>
      </c>
      <c r="Y354" s="38" t="str">
        <f t="shared" si="21"/>
        <v>无需保养</v>
      </c>
      <c r="Z354" s="38">
        <f t="shared" si="22"/>
        <v>1</v>
      </c>
      <c r="AA354" s="164"/>
      <c r="AB354" s="164"/>
      <c r="AC354" s="164"/>
      <c r="AD354" s="164"/>
      <c r="AE354" s="164"/>
      <c r="AF354" s="164"/>
      <c r="AG354" s="164"/>
      <c r="AH354" s="164"/>
      <c r="AI354" s="164"/>
      <c r="AJ354" s="164"/>
      <c r="AK354" s="164"/>
      <c r="AL354" s="164"/>
      <c r="AM354" s="164"/>
      <c r="AN354" s="164"/>
      <c r="AO354" s="164"/>
      <c r="AP354" s="164"/>
      <c r="AQ354" s="164"/>
      <c r="AR354" s="164"/>
      <c r="AS354" s="164"/>
      <c r="AT354" s="164"/>
      <c r="AU354" s="164"/>
      <c r="AV354" s="164"/>
      <c r="AW354" s="164"/>
      <c r="AX354" s="164"/>
      <c r="AY354" s="164"/>
      <c r="AZ354" s="164"/>
      <c r="BA354" s="164"/>
      <c r="BB354" s="164"/>
      <c r="BC354" s="164"/>
      <c r="BD354" s="164"/>
    </row>
    <row r="355" spans="1:56" ht="14.25" customHeight="1">
      <c r="A355" s="2">
        <v>353</v>
      </c>
      <c r="B355" s="41" t="s">
        <v>784</v>
      </c>
      <c r="C355" s="53" t="s">
        <v>784</v>
      </c>
      <c r="D355" s="133" t="s">
        <v>785</v>
      </c>
      <c r="E355" s="42">
        <v>2</v>
      </c>
      <c r="F355" s="42">
        <v>2</v>
      </c>
      <c r="G355" s="35" t="s">
        <v>783</v>
      </c>
      <c r="H355" s="36"/>
      <c r="I355" s="37">
        <f t="shared" si="23"/>
        <v>0</v>
      </c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>
        <f t="shared" si="20"/>
        <v>0</v>
      </c>
      <c r="W355" s="36"/>
      <c r="X355" s="38">
        <v>30000</v>
      </c>
      <c r="Y355" s="38" t="str">
        <f t="shared" si="21"/>
        <v>无需保养</v>
      </c>
      <c r="Z355" s="38">
        <f t="shared" si="22"/>
        <v>1</v>
      </c>
      <c r="AA355" s="164"/>
      <c r="AB355" s="164"/>
      <c r="AC355" s="164"/>
      <c r="AD355" s="164"/>
      <c r="AE355" s="164"/>
      <c r="AF355" s="164"/>
      <c r="AG355" s="164"/>
      <c r="AH355" s="164"/>
      <c r="AI355" s="164"/>
      <c r="AJ355" s="164"/>
      <c r="AK355" s="164"/>
      <c r="AL355" s="164"/>
      <c r="AM355" s="164"/>
      <c r="AN355" s="164"/>
      <c r="AO355" s="164"/>
      <c r="AP355" s="164"/>
      <c r="AQ355" s="164"/>
      <c r="AR355" s="164"/>
      <c r="AS355" s="164"/>
      <c r="AT355" s="164"/>
      <c r="AU355" s="164"/>
      <c r="AV355" s="164"/>
      <c r="AW355" s="164"/>
      <c r="AX355" s="164"/>
      <c r="AY355" s="164"/>
      <c r="AZ355" s="164"/>
      <c r="BA355" s="164"/>
      <c r="BB355" s="164"/>
      <c r="BC355" s="164"/>
      <c r="BD355" s="164"/>
    </row>
    <row r="356" spans="1:56" ht="14.25" customHeight="1">
      <c r="A356" s="2">
        <v>354</v>
      </c>
      <c r="B356" s="41" t="s">
        <v>786</v>
      </c>
      <c r="C356" s="53" t="s">
        <v>786</v>
      </c>
      <c r="D356" s="133" t="s">
        <v>787</v>
      </c>
      <c r="E356" s="42">
        <v>1</v>
      </c>
      <c r="F356" s="42">
        <v>1</v>
      </c>
      <c r="G356" s="64" t="s">
        <v>788</v>
      </c>
      <c r="H356" s="124"/>
      <c r="I356" s="37">
        <f t="shared" si="23"/>
        <v>0</v>
      </c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>
        <f t="shared" si="20"/>
        <v>0</v>
      </c>
      <c r="W356" s="36"/>
      <c r="X356" s="38">
        <v>30000</v>
      </c>
      <c r="Y356" s="38" t="str">
        <f t="shared" si="21"/>
        <v>无需保养</v>
      </c>
      <c r="Z356" s="38">
        <f t="shared" si="22"/>
        <v>1</v>
      </c>
      <c r="AA356" s="164"/>
      <c r="AB356" s="164"/>
      <c r="AC356" s="164"/>
      <c r="AD356" s="164"/>
      <c r="AE356" s="164"/>
      <c r="AF356" s="164"/>
      <c r="AG356" s="164"/>
      <c r="AH356" s="164"/>
      <c r="AI356" s="164"/>
      <c r="AJ356" s="164"/>
      <c r="AK356" s="164"/>
      <c r="AL356" s="164"/>
      <c r="AM356" s="164"/>
      <c r="AN356" s="164"/>
      <c r="AO356" s="164"/>
      <c r="AP356" s="164"/>
      <c r="AQ356" s="164"/>
      <c r="AR356" s="164"/>
      <c r="AS356" s="164"/>
      <c r="AT356" s="164"/>
      <c r="AU356" s="164"/>
      <c r="AV356" s="164"/>
      <c r="AW356" s="164"/>
      <c r="AX356" s="164"/>
      <c r="AY356" s="164"/>
      <c r="AZ356" s="164"/>
      <c r="BA356" s="164"/>
      <c r="BB356" s="164"/>
      <c r="BC356" s="164"/>
      <c r="BD356" s="164"/>
    </row>
    <row r="357" spans="1:56" ht="14.25" customHeight="1">
      <c r="A357" s="2">
        <v>355</v>
      </c>
      <c r="B357" s="41" t="s">
        <v>789</v>
      </c>
      <c r="C357" s="53" t="s">
        <v>789</v>
      </c>
      <c r="D357" s="133" t="s">
        <v>790</v>
      </c>
      <c r="E357" s="42">
        <v>1</v>
      </c>
      <c r="F357" s="42">
        <v>1</v>
      </c>
      <c r="G357" s="64" t="s">
        <v>788</v>
      </c>
      <c r="H357" s="124"/>
      <c r="I357" s="37">
        <f t="shared" si="23"/>
        <v>0</v>
      </c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>
        <f t="shared" si="20"/>
        <v>0</v>
      </c>
      <c r="W357" s="36"/>
      <c r="X357" s="38">
        <v>30000</v>
      </c>
      <c r="Y357" s="38" t="str">
        <f t="shared" si="21"/>
        <v>无需保养</v>
      </c>
      <c r="Z357" s="38">
        <f t="shared" si="22"/>
        <v>1</v>
      </c>
      <c r="AA357" s="164"/>
      <c r="AB357" s="164"/>
      <c r="AC357" s="164"/>
      <c r="AD357" s="164"/>
      <c r="AE357" s="164"/>
      <c r="AF357" s="164"/>
      <c r="AG357" s="164"/>
      <c r="AH357" s="164"/>
      <c r="AI357" s="164"/>
      <c r="AJ357" s="164"/>
      <c r="AK357" s="164"/>
      <c r="AL357" s="164"/>
      <c r="AM357" s="164"/>
      <c r="AN357" s="164"/>
      <c r="AO357" s="164"/>
      <c r="AP357" s="164"/>
      <c r="AQ357" s="164"/>
      <c r="AR357" s="164"/>
      <c r="AS357" s="164"/>
      <c r="AT357" s="164"/>
      <c r="AU357" s="164"/>
      <c r="AV357" s="164"/>
      <c r="AW357" s="164"/>
      <c r="AX357" s="164"/>
      <c r="AY357" s="164"/>
      <c r="AZ357" s="164"/>
      <c r="BA357" s="164"/>
      <c r="BB357" s="164"/>
      <c r="BC357" s="164"/>
      <c r="BD357" s="164"/>
    </row>
    <row r="358" spans="1:56" ht="14.25" customHeight="1">
      <c r="A358" s="2">
        <v>356</v>
      </c>
      <c r="B358" s="65" t="s">
        <v>791</v>
      </c>
      <c r="C358" s="53" t="s">
        <v>791</v>
      </c>
      <c r="D358" s="53" t="s">
        <v>792</v>
      </c>
      <c r="E358" s="42">
        <v>1</v>
      </c>
      <c r="F358" s="42">
        <v>1</v>
      </c>
      <c r="G358" s="64" t="s">
        <v>788</v>
      </c>
      <c r="H358" s="124"/>
      <c r="I358" s="37">
        <f t="shared" si="23"/>
        <v>0</v>
      </c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>
        <f t="shared" si="20"/>
        <v>0</v>
      </c>
      <c r="W358" s="36"/>
      <c r="X358" s="38">
        <v>30000</v>
      </c>
      <c r="Y358" s="38" t="str">
        <f t="shared" si="21"/>
        <v>无需保养</v>
      </c>
      <c r="Z358" s="38">
        <f t="shared" si="22"/>
        <v>1</v>
      </c>
      <c r="AA358" s="164"/>
      <c r="AB358" s="164"/>
      <c r="AC358" s="164"/>
      <c r="AD358" s="164"/>
      <c r="AE358" s="164"/>
      <c r="AF358" s="164"/>
      <c r="AG358" s="164"/>
      <c r="AH358" s="164"/>
      <c r="AI358" s="164"/>
      <c r="AJ358" s="164"/>
      <c r="AK358" s="164"/>
      <c r="AL358" s="164"/>
      <c r="AM358" s="164"/>
      <c r="AN358" s="164"/>
      <c r="AO358" s="164"/>
      <c r="AP358" s="164"/>
      <c r="AQ358" s="164"/>
      <c r="AR358" s="164"/>
      <c r="AS358" s="164"/>
      <c r="AT358" s="164"/>
      <c r="AU358" s="164"/>
      <c r="AV358" s="164"/>
      <c r="AW358" s="164"/>
      <c r="AX358" s="164"/>
      <c r="AY358" s="164"/>
      <c r="AZ358" s="164"/>
      <c r="BA358" s="164"/>
      <c r="BB358" s="164"/>
      <c r="BC358" s="164"/>
      <c r="BD358" s="164"/>
    </row>
    <row r="359" spans="1:56" ht="14.25" customHeight="1">
      <c r="A359" s="2">
        <v>357</v>
      </c>
      <c r="B359" s="65" t="s">
        <v>793</v>
      </c>
      <c r="C359" s="53" t="s">
        <v>793</v>
      </c>
      <c r="D359" s="53" t="s">
        <v>792</v>
      </c>
      <c r="E359" s="42">
        <v>1</v>
      </c>
      <c r="F359" s="42">
        <v>1</v>
      </c>
      <c r="G359" s="64" t="s">
        <v>788</v>
      </c>
      <c r="H359" s="124"/>
      <c r="I359" s="37">
        <f t="shared" si="23"/>
        <v>0</v>
      </c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>
        <f t="shared" si="20"/>
        <v>0</v>
      </c>
      <c r="W359" s="36"/>
      <c r="X359" s="38">
        <v>30000</v>
      </c>
      <c r="Y359" s="38" t="str">
        <f t="shared" si="21"/>
        <v>无需保养</v>
      </c>
      <c r="Z359" s="38">
        <f t="shared" si="22"/>
        <v>1</v>
      </c>
      <c r="AA359" s="164"/>
      <c r="AB359" s="164"/>
      <c r="AC359" s="164"/>
      <c r="AD359" s="164"/>
      <c r="AE359" s="164"/>
      <c r="AF359" s="164"/>
      <c r="AG359" s="164"/>
      <c r="AH359" s="164"/>
      <c r="AI359" s="164"/>
      <c r="AJ359" s="164"/>
      <c r="AK359" s="164"/>
      <c r="AL359" s="164"/>
      <c r="AM359" s="164"/>
      <c r="AN359" s="164"/>
      <c r="AO359" s="164"/>
      <c r="AP359" s="164"/>
      <c r="AQ359" s="164"/>
      <c r="AR359" s="164"/>
      <c r="AS359" s="164"/>
      <c r="AT359" s="164"/>
      <c r="AU359" s="164"/>
      <c r="AV359" s="164"/>
      <c r="AW359" s="164"/>
      <c r="AX359" s="164"/>
      <c r="AY359" s="164"/>
      <c r="AZ359" s="164"/>
      <c r="BA359" s="164"/>
      <c r="BB359" s="164"/>
      <c r="BC359" s="164"/>
      <c r="BD359" s="164"/>
    </row>
    <row r="360" spans="1:56" ht="14.25" customHeight="1">
      <c r="A360" s="2">
        <v>358</v>
      </c>
      <c r="B360" s="65" t="s">
        <v>794</v>
      </c>
      <c r="C360" s="53" t="s">
        <v>794</v>
      </c>
      <c r="D360" s="53" t="s">
        <v>795</v>
      </c>
      <c r="E360" s="42">
        <v>2</v>
      </c>
      <c r="F360" s="42">
        <v>2</v>
      </c>
      <c r="G360" s="64" t="s">
        <v>788</v>
      </c>
      <c r="H360" s="124"/>
      <c r="I360" s="37">
        <f t="shared" si="23"/>
        <v>0</v>
      </c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>
        <f t="shared" si="20"/>
        <v>0</v>
      </c>
      <c r="W360" s="36"/>
      <c r="X360" s="38">
        <v>30000</v>
      </c>
      <c r="Y360" s="38" t="str">
        <f t="shared" si="21"/>
        <v>无需保养</v>
      </c>
      <c r="Z360" s="38">
        <f t="shared" si="22"/>
        <v>1</v>
      </c>
      <c r="AA360" s="164"/>
      <c r="AB360" s="164"/>
      <c r="AC360" s="164"/>
      <c r="AD360" s="164"/>
      <c r="AE360" s="164"/>
      <c r="AF360" s="164"/>
      <c r="AG360" s="164"/>
      <c r="AH360" s="164"/>
      <c r="AI360" s="164"/>
      <c r="AJ360" s="164"/>
      <c r="AK360" s="164"/>
      <c r="AL360" s="164"/>
      <c r="AM360" s="164"/>
      <c r="AN360" s="164"/>
      <c r="AO360" s="164"/>
      <c r="AP360" s="164"/>
      <c r="AQ360" s="164"/>
      <c r="AR360" s="164"/>
      <c r="AS360" s="164"/>
      <c r="AT360" s="164"/>
      <c r="AU360" s="164"/>
      <c r="AV360" s="164"/>
      <c r="AW360" s="164"/>
      <c r="AX360" s="164"/>
      <c r="AY360" s="164"/>
      <c r="AZ360" s="164"/>
      <c r="BA360" s="164"/>
      <c r="BB360" s="164"/>
      <c r="BC360" s="164"/>
      <c r="BD360" s="164"/>
    </row>
    <row r="361" spans="1:56" ht="14.25" customHeight="1">
      <c r="A361" s="2">
        <v>359</v>
      </c>
      <c r="B361" s="65" t="s">
        <v>796</v>
      </c>
      <c r="C361" s="53" t="s">
        <v>796</v>
      </c>
      <c r="D361" s="53" t="s">
        <v>797</v>
      </c>
      <c r="E361" s="42">
        <v>1</v>
      </c>
      <c r="F361" s="42">
        <v>1</v>
      </c>
      <c r="G361" s="64" t="s">
        <v>788</v>
      </c>
      <c r="H361" s="124"/>
      <c r="I361" s="37">
        <f t="shared" si="23"/>
        <v>0</v>
      </c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>
        <f t="shared" si="20"/>
        <v>0</v>
      </c>
      <c r="W361" s="36"/>
      <c r="X361" s="38">
        <v>30000</v>
      </c>
      <c r="Y361" s="38" t="str">
        <f t="shared" si="21"/>
        <v>无需保养</v>
      </c>
      <c r="Z361" s="38">
        <f t="shared" si="22"/>
        <v>1</v>
      </c>
      <c r="AA361" s="164"/>
      <c r="AB361" s="164"/>
      <c r="AC361" s="164"/>
      <c r="AD361" s="164"/>
      <c r="AE361" s="164"/>
      <c r="AF361" s="164"/>
      <c r="AG361" s="164"/>
      <c r="AH361" s="164"/>
      <c r="AI361" s="164"/>
      <c r="AJ361" s="164"/>
      <c r="AK361" s="164"/>
      <c r="AL361" s="164"/>
      <c r="AM361" s="164"/>
      <c r="AN361" s="164"/>
      <c r="AO361" s="164"/>
      <c r="AP361" s="164"/>
      <c r="AQ361" s="164"/>
      <c r="AR361" s="164"/>
      <c r="AS361" s="164"/>
      <c r="AT361" s="164"/>
      <c r="AU361" s="164"/>
      <c r="AV361" s="164"/>
      <c r="AW361" s="164"/>
      <c r="AX361" s="164"/>
      <c r="AY361" s="164"/>
      <c r="AZ361" s="164"/>
      <c r="BA361" s="164"/>
      <c r="BB361" s="164"/>
      <c r="BC361" s="164"/>
      <c r="BD361" s="164"/>
    </row>
    <row r="362" spans="1:56" ht="14.25" customHeight="1">
      <c r="A362" s="2">
        <v>360</v>
      </c>
      <c r="B362" s="65" t="s">
        <v>798</v>
      </c>
      <c r="C362" s="53" t="s">
        <v>798</v>
      </c>
      <c r="D362" s="53" t="s">
        <v>799</v>
      </c>
      <c r="E362" s="42">
        <v>1</v>
      </c>
      <c r="F362" s="42">
        <v>1</v>
      </c>
      <c r="G362" s="64" t="s">
        <v>788</v>
      </c>
      <c r="H362" s="124"/>
      <c r="I362" s="37">
        <f t="shared" si="23"/>
        <v>0</v>
      </c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>
        <f t="shared" si="20"/>
        <v>0</v>
      </c>
      <c r="W362" s="36"/>
      <c r="X362" s="38">
        <v>30000</v>
      </c>
      <c r="Y362" s="38" t="str">
        <f t="shared" si="21"/>
        <v>无需保养</v>
      </c>
      <c r="Z362" s="38">
        <f t="shared" si="22"/>
        <v>1</v>
      </c>
      <c r="AA362" s="164"/>
      <c r="AB362" s="164"/>
      <c r="AC362" s="164"/>
      <c r="AD362" s="164"/>
      <c r="AE362" s="164"/>
      <c r="AF362" s="164"/>
      <c r="AG362" s="164"/>
      <c r="AH362" s="164"/>
      <c r="AI362" s="164"/>
      <c r="AJ362" s="164"/>
      <c r="AK362" s="164"/>
      <c r="AL362" s="164"/>
      <c r="AM362" s="164"/>
      <c r="AN362" s="164"/>
      <c r="AO362" s="164"/>
      <c r="AP362" s="164"/>
      <c r="AQ362" s="164"/>
      <c r="AR362" s="164"/>
      <c r="AS362" s="164"/>
      <c r="AT362" s="164"/>
      <c r="AU362" s="164"/>
      <c r="AV362" s="164"/>
      <c r="AW362" s="164"/>
      <c r="AX362" s="164"/>
      <c r="AY362" s="164"/>
      <c r="AZ362" s="164"/>
      <c r="BA362" s="164"/>
      <c r="BB362" s="164"/>
      <c r="BC362" s="164"/>
      <c r="BD362" s="164"/>
    </row>
    <row r="363" spans="1:56" ht="14.25" customHeight="1">
      <c r="A363" s="2">
        <v>361</v>
      </c>
      <c r="B363" s="65" t="s">
        <v>800</v>
      </c>
      <c r="C363" s="116" t="s">
        <v>801</v>
      </c>
      <c r="D363" s="145" t="s">
        <v>802</v>
      </c>
      <c r="E363" s="42">
        <v>2</v>
      </c>
      <c r="F363" s="42">
        <v>2</v>
      </c>
      <c r="G363" s="64" t="s">
        <v>788</v>
      </c>
      <c r="H363" s="124"/>
      <c r="I363" s="37">
        <f t="shared" si="23"/>
        <v>0</v>
      </c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>
        <f t="shared" si="20"/>
        <v>0</v>
      </c>
      <c r="W363" s="36"/>
      <c r="X363" s="38">
        <v>30000</v>
      </c>
      <c r="Y363" s="38" t="str">
        <f t="shared" si="21"/>
        <v>无需保养</v>
      </c>
      <c r="Z363" s="38">
        <f t="shared" si="22"/>
        <v>1</v>
      </c>
      <c r="AA363" s="164"/>
      <c r="AB363" s="164"/>
      <c r="AC363" s="164"/>
      <c r="AD363" s="164"/>
      <c r="AE363" s="164"/>
      <c r="AF363" s="164"/>
      <c r="AG363" s="164"/>
      <c r="AH363" s="164"/>
      <c r="AI363" s="164"/>
      <c r="AJ363" s="164"/>
      <c r="AK363" s="164"/>
      <c r="AL363" s="164"/>
      <c r="AM363" s="164"/>
      <c r="AN363" s="164"/>
      <c r="AO363" s="164"/>
      <c r="AP363" s="164"/>
      <c r="AQ363" s="164"/>
      <c r="AR363" s="164"/>
      <c r="AS363" s="164"/>
      <c r="AT363" s="164"/>
      <c r="AU363" s="164"/>
      <c r="AV363" s="164"/>
      <c r="AW363" s="164"/>
      <c r="AX363" s="164"/>
      <c r="AY363" s="164"/>
      <c r="AZ363" s="164"/>
      <c r="BA363" s="164"/>
      <c r="BB363" s="164"/>
      <c r="BC363" s="164"/>
      <c r="BD363" s="164"/>
    </row>
    <row r="364" spans="1:56" ht="14.25" customHeight="1">
      <c r="A364" s="2">
        <v>362</v>
      </c>
      <c r="B364" s="65" t="s">
        <v>803</v>
      </c>
      <c r="C364" s="53" t="s">
        <v>803</v>
      </c>
      <c r="D364" s="53" t="s">
        <v>797</v>
      </c>
      <c r="E364" s="42">
        <v>1</v>
      </c>
      <c r="F364" s="42">
        <v>1</v>
      </c>
      <c r="G364" s="64" t="s">
        <v>788</v>
      </c>
      <c r="H364" s="124"/>
      <c r="I364" s="37">
        <f t="shared" si="23"/>
        <v>0</v>
      </c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>
        <f t="shared" si="20"/>
        <v>0</v>
      </c>
      <c r="W364" s="36"/>
      <c r="X364" s="38">
        <v>30000</v>
      </c>
      <c r="Y364" s="38" t="str">
        <f t="shared" si="21"/>
        <v>无需保养</v>
      </c>
      <c r="Z364" s="38">
        <f t="shared" si="22"/>
        <v>1</v>
      </c>
      <c r="AA364" s="164"/>
      <c r="AB364" s="164"/>
      <c r="AC364" s="164"/>
      <c r="AD364" s="164"/>
      <c r="AE364" s="164"/>
      <c r="AF364" s="164"/>
      <c r="AG364" s="164"/>
      <c r="AH364" s="164"/>
      <c r="AI364" s="164"/>
      <c r="AJ364" s="164"/>
      <c r="AK364" s="164"/>
      <c r="AL364" s="164"/>
      <c r="AM364" s="164"/>
      <c r="AN364" s="164"/>
      <c r="AO364" s="164"/>
      <c r="AP364" s="164"/>
      <c r="AQ364" s="164"/>
      <c r="AR364" s="164"/>
      <c r="AS364" s="164"/>
      <c r="AT364" s="164"/>
      <c r="AU364" s="164"/>
      <c r="AV364" s="164"/>
      <c r="AW364" s="164"/>
      <c r="AX364" s="164"/>
      <c r="AY364" s="164"/>
      <c r="AZ364" s="164"/>
      <c r="BA364" s="164"/>
      <c r="BB364" s="164"/>
      <c r="BC364" s="164"/>
      <c r="BD364" s="164"/>
    </row>
    <row r="365" spans="1:56" ht="14.25" customHeight="1">
      <c r="A365" s="2">
        <v>363</v>
      </c>
      <c r="B365" s="65" t="s">
        <v>804</v>
      </c>
      <c r="C365" s="53" t="s">
        <v>804</v>
      </c>
      <c r="D365" s="53" t="s">
        <v>799</v>
      </c>
      <c r="E365" s="42">
        <v>1</v>
      </c>
      <c r="F365" s="42">
        <v>1</v>
      </c>
      <c r="G365" s="64" t="s">
        <v>788</v>
      </c>
      <c r="H365" s="124"/>
      <c r="I365" s="37">
        <f t="shared" si="23"/>
        <v>0</v>
      </c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>
        <f t="shared" si="20"/>
        <v>0</v>
      </c>
      <c r="W365" s="36"/>
      <c r="X365" s="38">
        <v>30000</v>
      </c>
      <c r="Y365" s="38" t="str">
        <f t="shared" si="21"/>
        <v>无需保养</v>
      </c>
      <c r="Z365" s="38">
        <f t="shared" si="22"/>
        <v>1</v>
      </c>
      <c r="AA365" s="164"/>
      <c r="AB365" s="164"/>
      <c r="AC365" s="164"/>
      <c r="AD365" s="164"/>
      <c r="AE365" s="164"/>
      <c r="AF365" s="164"/>
      <c r="AG365" s="164"/>
      <c r="AH365" s="164"/>
      <c r="AI365" s="164"/>
      <c r="AJ365" s="164"/>
      <c r="AK365" s="164"/>
      <c r="AL365" s="164"/>
      <c r="AM365" s="164"/>
      <c r="AN365" s="164"/>
      <c r="AO365" s="164"/>
      <c r="AP365" s="164"/>
      <c r="AQ365" s="164"/>
      <c r="AR365" s="164"/>
      <c r="AS365" s="164"/>
      <c r="AT365" s="164"/>
      <c r="AU365" s="164"/>
      <c r="AV365" s="164"/>
      <c r="AW365" s="164"/>
      <c r="AX365" s="164"/>
      <c r="AY365" s="164"/>
      <c r="AZ365" s="164"/>
      <c r="BA365" s="164"/>
      <c r="BB365" s="164"/>
      <c r="BC365" s="164"/>
      <c r="BD365" s="164"/>
    </row>
    <row r="366" spans="1:56" ht="14.25" customHeight="1">
      <c r="A366" s="2">
        <v>364</v>
      </c>
      <c r="B366" s="66" t="s">
        <v>805</v>
      </c>
      <c r="C366" s="53" t="s">
        <v>805</v>
      </c>
      <c r="D366" s="146" t="s">
        <v>806</v>
      </c>
      <c r="E366" s="61">
        <v>1</v>
      </c>
      <c r="F366" s="61">
        <v>1</v>
      </c>
      <c r="G366" s="64" t="s">
        <v>788</v>
      </c>
      <c r="H366" s="124"/>
      <c r="I366" s="37">
        <f t="shared" si="23"/>
        <v>0</v>
      </c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>
        <f t="shared" si="20"/>
        <v>0</v>
      </c>
      <c r="W366" s="36"/>
      <c r="X366" s="38">
        <v>30000</v>
      </c>
      <c r="Y366" s="38" t="str">
        <f t="shared" si="21"/>
        <v>无需保养</v>
      </c>
      <c r="Z366" s="38">
        <f t="shared" si="22"/>
        <v>1</v>
      </c>
      <c r="AA366" s="164"/>
      <c r="AB366" s="164"/>
      <c r="AC366" s="164"/>
      <c r="AD366" s="164"/>
      <c r="AE366" s="164"/>
      <c r="AF366" s="164"/>
      <c r="AG366" s="164"/>
      <c r="AH366" s="164"/>
      <c r="AI366" s="164"/>
      <c r="AJ366" s="164"/>
      <c r="AK366" s="164"/>
      <c r="AL366" s="164"/>
      <c r="AM366" s="164"/>
      <c r="AN366" s="164"/>
      <c r="AO366" s="164"/>
      <c r="AP366" s="164"/>
      <c r="AQ366" s="164"/>
      <c r="AR366" s="164"/>
      <c r="AS366" s="164"/>
      <c r="AT366" s="164"/>
      <c r="AU366" s="164"/>
      <c r="AV366" s="164"/>
      <c r="AW366" s="164"/>
      <c r="AX366" s="164"/>
      <c r="AY366" s="164"/>
      <c r="AZ366" s="164"/>
      <c r="BA366" s="164"/>
      <c r="BB366" s="164"/>
      <c r="BC366" s="164"/>
      <c r="BD366" s="164"/>
    </row>
    <row r="367" spans="1:56" ht="14.25" customHeight="1">
      <c r="A367" s="2">
        <v>365</v>
      </c>
      <c r="B367" s="66" t="s">
        <v>807</v>
      </c>
      <c r="C367" s="53" t="s">
        <v>807</v>
      </c>
      <c r="D367" s="53" t="s">
        <v>808</v>
      </c>
      <c r="E367" s="61">
        <v>1</v>
      </c>
      <c r="F367" s="61">
        <v>1</v>
      </c>
      <c r="G367" s="64" t="s">
        <v>788</v>
      </c>
      <c r="H367" s="124"/>
      <c r="I367" s="37">
        <f t="shared" si="23"/>
        <v>0</v>
      </c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>
        <f t="shared" si="20"/>
        <v>0</v>
      </c>
      <c r="W367" s="36"/>
      <c r="X367" s="38">
        <v>30000</v>
      </c>
      <c r="Y367" s="38" t="str">
        <f t="shared" si="21"/>
        <v>无需保养</v>
      </c>
      <c r="Z367" s="38">
        <f t="shared" si="22"/>
        <v>1</v>
      </c>
      <c r="AA367" s="164"/>
      <c r="AB367" s="164"/>
      <c r="AC367" s="164"/>
      <c r="AD367" s="164"/>
      <c r="AE367" s="164"/>
      <c r="AF367" s="164"/>
      <c r="AG367" s="164"/>
      <c r="AH367" s="164"/>
      <c r="AI367" s="164"/>
      <c r="AJ367" s="164"/>
      <c r="AK367" s="164"/>
      <c r="AL367" s="164"/>
      <c r="AM367" s="164"/>
      <c r="AN367" s="164"/>
      <c r="AO367" s="164"/>
      <c r="AP367" s="164"/>
      <c r="AQ367" s="164"/>
      <c r="AR367" s="164"/>
      <c r="AS367" s="164"/>
      <c r="AT367" s="164"/>
      <c r="AU367" s="164"/>
      <c r="AV367" s="164"/>
      <c r="AW367" s="164"/>
      <c r="AX367" s="164"/>
      <c r="AY367" s="164"/>
      <c r="AZ367" s="164"/>
      <c r="BA367" s="164"/>
      <c r="BB367" s="164"/>
      <c r="BC367" s="164"/>
      <c r="BD367" s="164"/>
    </row>
    <row r="368" spans="1:56" ht="14.25" customHeight="1">
      <c r="A368" s="2">
        <v>366</v>
      </c>
      <c r="B368" s="60" t="s">
        <v>809</v>
      </c>
      <c r="C368" s="53" t="s">
        <v>810</v>
      </c>
      <c r="D368" s="53" t="s">
        <v>811</v>
      </c>
      <c r="E368" s="53">
        <v>1</v>
      </c>
      <c r="F368" s="53">
        <v>1</v>
      </c>
      <c r="G368" s="64" t="s">
        <v>788</v>
      </c>
      <c r="H368" s="124"/>
      <c r="I368" s="37">
        <f t="shared" si="23"/>
        <v>0</v>
      </c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>
        <f t="shared" si="20"/>
        <v>0</v>
      </c>
      <c r="W368" s="36"/>
      <c r="X368" s="38">
        <v>30000</v>
      </c>
      <c r="Y368" s="38" t="str">
        <f t="shared" si="21"/>
        <v>无需保养</v>
      </c>
      <c r="Z368" s="38">
        <f t="shared" si="22"/>
        <v>1</v>
      </c>
      <c r="AA368" s="164"/>
      <c r="AB368" s="164"/>
      <c r="AC368" s="164"/>
      <c r="AD368" s="164"/>
      <c r="AE368" s="164"/>
      <c r="AF368" s="164"/>
      <c r="AG368" s="164"/>
      <c r="AH368" s="164"/>
      <c r="AI368" s="164"/>
      <c r="AJ368" s="164"/>
      <c r="AK368" s="164"/>
      <c r="AL368" s="164"/>
      <c r="AM368" s="164"/>
      <c r="AN368" s="164"/>
      <c r="AO368" s="164"/>
      <c r="AP368" s="164"/>
      <c r="AQ368" s="164"/>
      <c r="AR368" s="164"/>
      <c r="AS368" s="164"/>
      <c r="AT368" s="164"/>
      <c r="AU368" s="164"/>
      <c r="AV368" s="164"/>
      <c r="AW368" s="164"/>
      <c r="AX368" s="164"/>
      <c r="AY368" s="164"/>
      <c r="AZ368" s="164"/>
      <c r="BA368" s="164"/>
      <c r="BB368" s="164"/>
      <c r="BC368" s="164"/>
      <c r="BD368" s="164"/>
    </row>
    <row r="369" spans="1:56" ht="14.25" customHeight="1">
      <c r="A369" s="2">
        <v>367</v>
      </c>
      <c r="B369" s="60" t="s">
        <v>812</v>
      </c>
      <c r="C369" s="53" t="s">
        <v>812</v>
      </c>
      <c r="D369" s="53" t="s">
        <v>813</v>
      </c>
      <c r="E369" s="53">
        <v>2</v>
      </c>
      <c r="F369" s="53">
        <v>2</v>
      </c>
      <c r="G369" s="64" t="s">
        <v>788</v>
      </c>
      <c r="H369" s="124"/>
      <c r="I369" s="37">
        <f t="shared" si="23"/>
        <v>0</v>
      </c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>
        <f t="shared" si="20"/>
        <v>0</v>
      </c>
      <c r="W369" s="36"/>
      <c r="X369" s="38">
        <v>30000</v>
      </c>
      <c r="Y369" s="38" t="str">
        <f t="shared" si="21"/>
        <v>无需保养</v>
      </c>
      <c r="Z369" s="38">
        <f t="shared" si="22"/>
        <v>1</v>
      </c>
      <c r="AA369" s="164"/>
      <c r="AB369" s="164"/>
      <c r="AC369" s="164"/>
      <c r="AD369" s="164"/>
      <c r="AE369" s="164"/>
      <c r="AF369" s="164"/>
      <c r="AG369" s="164"/>
      <c r="AH369" s="164"/>
      <c r="AI369" s="164"/>
      <c r="AJ369" s="164"/>
      <c r="AK369" s="164"/>
      <c r="AL369" s="164"/>
      <c r="AM369" s="164"/>
      <c r="AN369" s="164"/>
      <c r="AO369" s="164"/>
      <c r="AP369" s="164"/>
      <c r="AQ369" s="164"/>
      <c r="AR369" s="164"/>
      <c r="AS369" s="164"/>
      <c r="AT369" s="164"/>
      <c r="AU369" s="164"/>
      <c r="AV369" s="164"/>
      <c r="AW369" s="164"/>
      <c r="AX369" s="164"/>
      <c r="AY369" s="164"/>
      <c r="AZ369" s="164"/>
      <c r="BA369" s="164"/>
      <c r="BB369" s="164"/>
      <c r="BC369" s="164"/>
      <c r="BD369" s="164"/>
    </row>
    <row r="370" spans="1:56" ht="14.25" customHeight="1">
      <c r="A370" s="2">
        <v>368</v>
      </c>
      <c r="B370" s="66" t="s">
        <v>814</v>
      </c>
      <c r="C370" s="53" t="s">
        <v>815</v>
      </c>
      <c r="D370" s="53" t="s">
        <v>811</v>
      </c>
      <c r="E370" s="61">
        <v>4</v>
      </c>
      <c r="F370" s="61">
        <v>4</v>
      </c>
      <c r="G370" s="64" t="s">
        <v>788</v>
      </c>
      <c r="H370" s="124"/>
      <c r="I370" s="37">
        <f t="shared" si="23"/>
        <v>0</v>
      </c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>
        <f t="shared" si="20"/>
        <v>0</v>
      </c>
      <c r="W370" s="36"/>
      <c r="X370" s="38">
        <v>30000</v>
      </c>
      <c r="Y370" s="38" t="str">
        <f t="shared" si="21"/>
        <v>无需保养</v>
      </c>
      <c r="Z370" s="38">
        <f t="shared" si="22"/>
        <v>2</v>
      </c>
      <c r="AA370" s="164"/>
      <c r="AB370" s="164"/>
      <c r="AC370" s="164"/>
      <c r="AD370" s="164"/>
      <c r="AE370" s="164"/>
      <c r="AF370" s="164"/>
      <c r="AG370" s="164"/>
      <c r="AH370" s="164"/>
      <c r="AI370" s="164"/>
      <c r="AJ370" s="164"/>
      <c r="AK370" s="164"/>
      <c r="AL370" s="164"/>
      <c r="AM370" s="164"/>
      <c r="AN370" s="164"/>
      <c r="AO370" s="164"/>
      <c r="AP370" s="164"/>
      <c r="AQ370" s="164"/>
      <c r="AR370" s="164"/>
      <c r="AS370" s="164"/>
      <c r="AT370" s="164"/>
      <c r="AU370" s="164"/>
      <c r="AV370" s="164"/>
      <c r="AW370" s="164"/>
      <c r="AX370" s="164"/>
      <c r="AY370" s="164"/>
      <c r="AZ370" s="164"/>
      <c r="BA370" s="164"/>
      <c r="BB370" s="164"/>
      <c r="BC370" s="164"/>
      <c r="BD370" s="164"/>
    </row>
    <row r="371" spans="1:56" ht="14.25" customHeight="1">
      <c r="A371" s="2">
        <v>369</v>
      </c>
      <c r="B371" s="60" t="s">
        <v>816</v>
      </c>
      <c r="C371" s="53" t="s">
        <v>815</v>
      </c>
      <c r="D371" s="53" t="s">
        <v>811</v>
      </c>
      <c r="E371" s="53">
        <v>2</v>
      </c>
      <c r="F371" s="53">
        <v>2</v>
      </c>
      <c r="G371" s="64" t="s">
        <v>788</v>
      </c>
      <c r="H371" s="124"/>
      <c r="I371" s="37">
        <f t="shared" si="23"/>
        <v>0</v>
      </c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>
        <f t="shared" si="20"/>
        <v>0</v>
      </c>
      <c r="W371" s="36"/>
      <c r="X371" s="38">
        <v>30000</v>
      </c>
      <c r="Y371" s="38" t="str">
        <f t="shared" si="21"/>
        <v>无需保养</v>
      </c>
      <c r="Z371" s="38">
        <f t="shared" si="22"/>
        <v>2</v>
      </c>
      <c r="AA371" s="164"/>
      <c r="AB371" s="164"/>
      <c r="AC371" s="164"/>
      <c r="AD371" s="164"/>
      <c r="AE371" s="164"/>
      <c r="AF371" s="164"/>
      <c r="AG371" s="164"/>
      <c r="AH371" s="164"/>
      <c r="AI371" s="164"/>
      <c r="AJ371" s="164"/>
      <c r="AK371" s="164"/>
      <c r="AL371" s="164"/>
      <c r="AM371" s="164"/>
      <c r="AN371" s="164"/>
      <c r="AO371" s="164"/>
      <c r="AP371" s="164"/>
      <c r="AQ371" s="164"/>
      <c r="AR371" s="164"/>
      <c r="AS371" s="164"/>
      <c r="AT371" s="164"/>
      <c r="AU371" s="164"/>
      <c r="AV371" s="164"/>
      <c r="AW371" s="164"/>
      <c r="AX371" s="164"/>
      <c r="AY371" s="164"/>
      <c r="AZ371" s="164"/>
      <c r="BA371" s="164"/>
      <c r="BB371" s="164"/>
      <c r="BC371" s="164"/>
      <c r="BD371" s="164"/>
    </row>
    <row r="372" spans="1:56" ht="14.25" customHeight="1">
      <c r="A372" s="2">
        <v>370</v>
      </c>
      <c r="B372" s="60" t="s">
        <v>817</v>
      </c>
      <c r="C372" s="50" t="s">
        <v>818</v>
      </c>
      <c r="D372" s="53" t="s">
        <v>819</v>
      </c>
      <c r="E372" s="53">
        <v>2</v>
      </c>
      <c r="F372" s="53">
        <v>2</v>
      </c>
      <c r="G372" s="64" t="s">
        <v>820</v>
      </c>
      <c r="H372" s="124"/>
      <c r="I372" s="37">
        <f t="shared" si="23"/>
        <v>0</v>
      </c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>
        <f t="shared" si="20"/>
        <v>0</v>
      </c>
      <c r="W372" s="36"/>
      <c r="X372" s="38">
        <v>30000</v>
      </c>
      <c r="Y372" s="38" t="str">
        <f t="shared" si="21"/>
        <v>无需保养</v>
      </c>
      <c r="Z372" s="38">
        <f t="shared" si="22"/>
        <v>1</v>
      </c>
      <c r="AA372" s="164"/>
      <c r="AB372" s="164"/>
      <c r="AC372" s="164"/>
      <c r="AD372" s="164"/>
      <c r="AE372" s="164"/>
      <c r="AF372" s="164"/>
      <c r="AG372" s="164"/>
      <c r="AH372" s="164"/>
      <c r="AI372" s="164"/>
      <c r="AJ372" s="164"/>
      <c r="AK372" s="164"/>
      <c r="AL372" s="164"/>
      <c r="AM372" s="164"/>
      <c r="AN372" s="164"/>
      <c r="AO372" s="164"/>
      <c r="AP372" s="164"/>
      <c r="AQ372" s="164"/>
      <c r="AR372" s="164"/>
      <c r="AS372" s="164"/>
      <c r="AT372" s="164"/>
      <c r="AU372" s="164"/>
      <c r="AV372" s="164"/>
      <c r="AW372" s="164"/>
      <c r="AX372" s="164"/>
      <c r="AY372" s="164"/>
      <c r="AZ372" s="164"/>
      <c r="BA372" s="164"/>
      <c r="BB372" s="164"/>
      <c r="BC372" s="164"/>
      <c r="BD372" s="164"/>
    </row>
    <row r="373" spans="1:56" ht="14.25" customHeight="1">
      <c r="A373" s="2">
        <v>371</v>
      </c>
      <c r="B373" s="60" t="s">
        <v>821</v>
      </c>
      <c r="C373" s="50" t="s">
        <v>822</v>
      </c>
      <c r="D373" s="53" t="s">
        <v>823</v>
      </c>
      <c r="E373" s="53">
        <v>1</v>
      </c>
      <c r="F373" s="53">
        <v>1</v>
      </c>
      <c r="G373" s="64" t="s">
        <v>820</v>
      </c>
      <c r="H373" s="124"/>
      <c r="I373" s="37">
        <f t="shared" si="23"/>
        <v>0</v>
      </c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>
        <f t="shared" si="20"/>
        <v>0</v>
      </c>
      <c r="W373" s="36"/>
      <c r="X373" s="38">
        <v>30000</v>
      </c>
      <c r="Y373" s="38" t="str">
        <f t="shared" si="21"/>
        <v>无需保养</v>
      </c>
      <c r="Z373" s="38">
        <f t="shared" si="22"/>
        <v>1</v>
      </c>
      <c r="AA373" s="164"/>
      <c r="AB373" s="164"/>
      <c r="AC373" s="164"/>
      <c r="AD373" s="164"/>
      <c r="AE373" s="164"/>
      <c r="AF373" s="164"/>
      <c r="AG373" s="164"/>
      <c r="AH373" s="164"/>
      <c r="AI373" s="164"/>
      <c r="AJ373" s="164"/>
      <c r="AK373" s="164"/>
      <c r="AL373" s="164"/>
      <c r="AM373" s="164"/>
      <c r="AN373" s="164"/>
      <c r="AO373" s="164"/>
      <c r="AP373" s="164"/>
      <c r="AQ373" s="164"/>
      <c r="AR373" s="164"/>
      <c r="AS373" s="164"/>
      <c r="AT373" s="164"/>
      <c r="AU373" s="164"/>
      <c r="AV373" s="164"/>
      <c r="AW373" s="164"/>
      <c r="AX373" s="164"/>
      <c r="AY373" s="164"/>
      <c r="AZ373" s="164"/>
      <c r="BA373" s="164"/>
      <c r="BB373" s="164"/>
      <c r="BC373" s="164"/>
      <c r="BD373" s="164"/>
    </row>
    <row r="374" spans="1:56" ht="14.25" customHeight="1">
      <c r="A374" s="2">
        <v>372</v>
      </c>
      <c r="B374" s="60" t="s">
        <v>824</v>
      </c>
      <c r="C374" s="50" t="s">
        <v>825</v>
      </c>
      <c r="D374" s="53" t="s">
        <v>826</v>
      </c>
      <c r="E374" s="53">
        <v>1</v>
      </c>
      <c r="F374" s="53">
        <v>1</v>
      </c>
      <c r="G374" s="64" t="s">
        <v>820</v>
      </c>
      <c r="H374" s="124"/>
      <c r="I374" s="37">
        <f t="shared" si="23"/>
        <v>0</v>
      </c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>
        <f t="shared" si="20"/>
        <v>0</v>
      </c>
      <c r="W374" s="36"/>
      <c r="X374" s="38">
        <v>30000</v>
      </c>
      <c r="Y374" s="38" t="str">
        <f t="shared" si="21"/>
        <v>无需保养</v>
      </c>
      <c r="Z374" s="38">
        <f t="shared" si="22"/>
        <v>1</v>
      </c>
      <c r="AA374" s="164"/>
      <c r="AB374" s="164"/>
      <c r="AC374" s="164"/>
      <c r="AD374" s="164"/>
      <c r="AE374" s="164"/>
      <c r="AF374" s="164"/>
      <c r="AG374" s="164"/>
      <c r="AH374" s="164"/>
      <c r="AI374" s="164"/>
      <c r="AJ374" s="164"/>
      <c r="AK374" s="164"/>
      <c r="AL374" s="164"/>
      <c r="AM374" s="164"/>
      <c r="AN374" s="164"/>
      <c r="AO374" s="164"/>
      <c r="AP374" s="164"/>
      <c r="AQ374" s="164"/>
      <c r="AR374" s="164"/>
      <c r="AS374" s="164"/>
      <c r="AT374" s="164"/>
      <c r="AU374" s="164"/>
      <c r="AV374" s="164"/>
      <c r="AW374" s="164"/>
      <c r="AX374" s="164"/>
      <c r="AY374" s="164"/>
      <c r="AZ374" s="164"/>
      <c r="BA374" s="164"/>
      <c r="BB374" s="164"/>
      <c r="BC374" s="164"/>
      <c r="BD374" s="164"/>
    </row>
    <row r="375" spans="1:56" ht="14.25" customHeight="1">
      <c r="A375" s="2">
        <v>373</v>
      </c>
      <c r="B375" s="60" t="s">
        <v>827</v>
      </c>
      <c r="C375" s="50" t="s">
        <v>828</v>
      </c>
      <c r="D375" s="53" t="s">
        <v>829</v>
      </c>
      <c r="E375" s="53">
        <v>1</v>
      </c>
      <c r="F375" s="53">
        <v>1</v>
      </c>
      <c r="G375" s="64" t="s">
        <v>820</v>
      </c>
      <c r="H375" s="124"/>
      <c r="I375" s="37">
        <f t="shared" si="23"/>
        <v>0</v>
      </c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>
        <f t="shared" si="20"/>
        <v>0</v>
      </c>
      <c r="W375" s="36"/>
      <c r="X375" s="38">
        <v>30000</v>
      </c>
      <c r="Y375" s="38" t="str">
        <f t="shared" si="21"/>
        <v>无需保养</v>
      </c>
      <c r="Z375" s="38">
        <f t="shared" si="22"/>
        <v>1</v>
      </c>
      <c r="AA375" s="164"/>
      <c r="AB375" s="164"/>
      <c r="AC375" s="164"/>
      <c r="AD375" s="164"/>
      <c r="AE375" s="164"/>
      <c r="AF375" s="164"/>
      <c r="AG375" s="164"/>
      <c r="AH375" s="164"/>
      <c r="AI375" s="164"/>
      <c r="AJ375" s="164"/>
      <c r="AK375" s="164"/>
      <c r="AL375" s="164"/>
      <c r="AM375" s="164"/>
      <c r="AN375" s="164"/>
      <c r="AO375" s="164"/>
      <c r="AP375" s="164"/>
      <c r="AQ375" s="164"/>
      <c r="AR375" s="164"/>
      <c r="AS375" s="164"/>
      <c r="AT375" s="164"/>
      <c r="AU375" s="164"/>
      <c r="AV375" s="164"/>
      <c r="AW375" s="164"/>
      <c r="AX375" s="164"/>
      <c r="AY375" s="164"/>
      <c r="AZ375" s="164"/>
      <c r="BA375" s="164"/>
      <c r="BB375" s="164"/>
      <c r="BC375" s="164"/>
      <c r="BD375" s="164"/>
    </row>
    <row r="376" spans="1:56" ht="14.25" customHeight="1">
      <c r="A376" s="2">
        <v>374</v>
      </c>
      <c r="B376" s="60" t="s">
        <v>830</v>
      </c>
      <c r="C376" s="50" t="s">
        <v>831</v>
      </c>
      <c r="D376" s="53" t="s">
        <v>832</v>
      </c>
      <c r="E376" s="53">
        <v>2</v>
      </c>
      <c r="F376" s="53">
        <v>2</v>
      </c>
      <c r="G376" s="64" t="s">
        <v>820</v>
      </c>
      <c r="H376" s="124"/>
      <c r="I376" s="37">
        <f t="shared" si="23"/>
        <v>0</v>
      </c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>
        <f t="shared" si="20"/>
        <v>0</v>
      </c>
      <c r="W376" s="36"/>
      <c r="X376" s="38">
        <v>30000</v>
      </c>
      <c r="Y376" s="38" t="str">
        <f t="shared" si="21"/>
        <v>无需保养</v>
      </c>
      <c r="Z376" s="38">
        <f t="shared" si="22"/>
        <v>1</v>
      </c>
      <c r="AA376" s="164"/>
      <c r="AB376" s="164"/>
      <c r="AC376" s="164"/>
      <c r="AD376" s="164"/>
      <c r="AE376" s="164"/>
      <c r="AF376" s="164"/>
      <c r="AG376" s="164"/>
      <c r="AH376" s="164"/>
      <c r="AI376" s="164"/>
      <c r="AJ376" s="164"/>
      <c r="AK376" s="164"/>
      <c r="AL376" s="164"/>
      <c r="AM376" s="164"/>
      <c r="AN376" s="164"/>
      <c r="AO376" s="164"/>
      <c r="AP376" s="164"/>
      <c r="AQ376" s="164"/>
      <c r="AR376" s="164"/>
      <c r="AS376" s="164"/>
      <c r="AT376" s="164"/>
      <c r="AU376" s="164"/>
      <c r="AV376" s="164"/>
      <c r="AW376" s="164"/>
      <c r="AX376" s="164"/>
      <c r="AY376" s="164"/>
      <c r="AZ376" s="164"/>
      <c r="BA376" s="164"/>
      <c r="BB376" s="164"/>
      <c r="BC376" s="164"/>
      <c r="BD376" s="164"/>
    </row>
    <row r="377" spans="1:56" ht="14.25" customHeight="1">
      <c r="A377" s="2">
        <v>375</v>
      </c>
      <c r="B377" s="60" t="s">
        <v>833</v>
      </c>
      <c r="C377" s="50" t="s">
        <v>834</v>
      </c>
      <c r="D377" s="53" t="s">
        <v>835</v>
      </c>
      <c r="E377" s="53">
        <v>2</v>
      </c>
      <c r="F377" s="53">
        <v>2</v>
      </c>
      <c r="G377" s="64" t="s">
        <v>820</v>
      </c>
      <c r="H377" s="124"/>
      <c r="I377" s="37">
        <f t="shared" si="23"/>
        <v>0</v>
      </c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>
        <f t="shared" si="20"/>
        <v>0</v>
      </c>
      <c r="W377" s="36"/>
      <c r="X377" s="38">
        <v>30000</v>
      </c>
      <c r="Y377" s="38" t="str">
        <f t="shared" si="21"/>
        <v>无需保养</v>
      </c>
      <c r="Z377" s="38">
        <f t="shared" si="22"/>
        <v>1</v>
      </c>
      <c r="AA377" s="164"/>
      <c r="AB377" s="164"/>
      <c r="AC377" s="164"/>
      <c r="AD377" s="164"/>
      <c r="AE377" s="164"/>
      <c r="AF377" s="164"/>
      <c r="AG377" s="164"/>
      <c r="AH377" s="164"/>
      <c r="AI377" s="164"/>
      <c r="AJ377" s="164"/>
      <c r="AK377" s="164"/>
      <c r="AL377" s="164"/>
      <c r="AM377" s="164"/>
      <c r="AN377" s="164"/>
      <c r="AO377" s="164"/>
      <c r="AP377" s="164"/>
      <c r="AQ377" s="164"/>
      <c r="AR377" s="164"/>
      <c r="AS377" s="164"/>
      <c r="AT377" s="164"/>
      <c r="AU377" s="164"/>
      <c r="AV377" s="164"/>
      <c r="AW377" s="164"/>
      <c r="AX377" s="164"/>
      <c r="AY377" s="164"/>
      <c r="AZ377" s="164"/>
      <c r="BA377" s="164"/>
      <c r="BB377" s="164"/>
      <c r="BC377" s="164"/>
      <c r="BD377" s="164"/>
    </row>
    <row r="378" spans="1:56" ht="14.25" customHeight="1">
      <c r="A378" s="2">
        <v>376</v>
      </c>
      <c r="B378" s="60" t="s">
        <v>836</v>
      </c>
      <c r="C378" s="50" t="s">
        <v>837</v>
      </c>
      <c r="D378" s="53" t="s">
        <v>838</v>
      </c>
      <c r="E378" s="53">
        <v>2</v>
      </c>
      <c r="F378" s="53">
        <v>2</v>
      </c>
      <c r="G378" s="64" t="s">
        <v>820</v>
      </c>
      <c r="H378" s="124"/>
      <c r="I378" s="37">
        <f t="shared" si="23"/>
        <v>0</v>
      </c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>
        <f t="shared" si="20"/>
        <v>0</v>
      </c>
      <c r="W378" s="36"/>
      <c r="X378" s="38">
        <v>30000</v>
      </c>
      <c r="Y378" s="38" t="str">
        <f t="shared" si="21"/>
        <v>无需保养</v>
      </c>
      <c r="Z378" s="38">
        <f t="shared" si="22"/>
        <v>1</v>
      </c>
      <c r="AA378" s="164"/>
      <c r="AB378" s="164"/>
      <c r="AC378" s="164"/>
      <c r="AD378" s="164"/>
      <c r="AE378" s="164"/>
      <c r="AF378" s="164"/>
      <c r="AG378" s="164"/>
      <c r="AH378" s="164"/>
      <c r="AI378" s="164"/>
      <c r="AJ378" s="164"/>
      <c r="AK378" s="164"/>
      <c r="AL378" s="164"/>
      <c r="AM378" s="164"/>
      <c r="AN378" s="164"/>
      <c r="AO378" s="164"/>
      <c r="AP378" s="164"/>
      <c r="AQ378" s="164"/>
      <c r="AR378" s="164"/>
      <c r="AS378" s="164"/>
      <c r="AT378" s="164"/>
      <c r="AU378" s="164"/>
      <c r="AV378" s="164"/>
      <c r="AW378" s="164"/>
      <c r="AX378" s="164"/>
      <c r="AY378" s="164"/>
      <c r="AZ378" s="164"/>
      <c r="BA378" s="164"/>
      <c r="BB378" s="164"/>
      <c r="BC378" s="164"/>
      <c r="BD378" s="164"/>
    </row>
    <row r="379" spans="1:56" ht="14.25" customHeight="1">
      <c r="A379" s="2">
        <v>377</v>
      </c>
      <c r="B379" s="60" t="s">
        <v>839</v>
      </c>
      <c r="C379" s="50" t="s">
        <v>840</v>
      </c>
      <c r="D379" s="53" t="s">
        <v>841</v>
      </c>
      <c r="E379" s="53">
        <v>4</v>
      </c>
      <c r="F379" s="53">
        <v>4</v>
      </c>
      <c r="G379" s="64" t="s">
        <v>820</v>
      </c>
      <c r="H379" s="124"/>
      <c r="I379" s="37">
        <f t="shared" si="23"/>
        <v>0</v>
      </c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>
        <f t="shared" si="20"/>
        <v>0</v>
      </c>
      <c r="W379" s="36"/>
      <c r="X379" s="38">
        <v>30000</v>
      </c>
      <c r="Y379" s="38" t="str">
        <f t="shared" si="21"/>
        <v>无需保养</v>
      </c>
      <c r="Z379" s="38">
        <f t="shared" si="22"/>
        <v>1</v>
      </c>
      <c r="AA379" s="164"/>
      <c r="AB379" s="164"/>
      <c r="AC379" s="164"/>
      <c r="AD379" s="164"/>
      <c r="AE379" s="164"/>
      <c r="AF379" s="164"/>
      <c r="AG379" s="164"/>
      <c r="AH379" s="164"/>
      <c r="AI379" s="164"/>
      <c r="AJ379" s="164"/>
      <c r="AK379" s="164"/>
      <c r="AL379" s="164"/>
      <c r="AM379" s="164"/>
      <c r="AN379" s="164"/>
      <c r="AO379" s="164"/>
      <c r="AP379" s="164"/>
      <c r="AQ379" s="164"/>
      <c r="AR379" s="164"/>
      <c r="AS379" s="164"/>
      <c r="AT379" s="164"/>
      <c r="AU379" s="164"/>
      <c r="AV379" s="164"/>
      <c r="AW379" s="164"/>
      <c r="AX379" s="164"/>
      <c r="AY379" s="164"/>
      <c r="AZ379" s="164"/>
      <c r="BA379" s="164"/>
      <c r="BB379" s="164"/>
      <c r="BC379" s="164"/>
      <c r="BD379" s="164"/>
    </row>
    <row r="380" spans="1:56" ht="14.25" customHeight="1">
      <c r="A380" s="2">
        <v>378</v>
      </c>
      <c r="B380" s="66" t="s">
        <v>842</v>
      </c>
      <c r="C380" s="50" t="s">
        <v>843</v>
      </c>
      <c r="D380" s="53" t="s">
        <v>844</v>
      </c>
      <c r="E380" s="53">
        <v>2</v>
      </c>
      <c r="F380" s="53">
        <v>2</v>
      </c>
      <c r="G380" s="64" t="s">
        <v>820</v>
      </c>
      <c r="H380" s="124"/>
      <c r="I380" s="37">
        <f t="shared" si="23"/>
        <v>0</v>
      </c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>
        <f t="shared" si="20"/>
        <v>0</v>
      </c>
      <c r="W380" s="36"/>
      <c r="X380" s="38">
        <v>30000</v>
      </c>
      <c r="Y380" s="38" t="str">
        <f t="shared" si="21"/>
        <v>无需保养</v>
      </c>
      <c r="Z380" s="38">
        <f t="shared" si="22"/>
        <v>1</v>
      </c>
      <c r="AA380" s="164"/>
      <c r="AB380" s="164"/>
      <c r="AC380" s="164"/>
      <c r="AD380" s="164"/>
      <c r="AE380" s="164"/>
      <c r="AF380" s="164"/>
      <c r="AG380" s="164"/>
      <c r="AH380" s="164"/>
      <c r="AI380" s="164"/>
      <c r="AJ380" s="164"/>
      <c r="AK380" s="164"/>
      <c r="AL380" s="164"/>
      <c r="AM380" s="164"/>
      <c r="AN380" s="164"/>
      <c r="AO380" s="164"/>
      <c r="AP380" s="164"/>
      <c r="AQ380" s="164"/>
      <c r="AR380" s="164"/>
      <c r="AS380" s="164"/>
      <c r="AT380" s="164"/>
      <c r="AU380" s="164"/>
      <c r="AV380" s="164"/>
      <c r="AW380" s="164"/>
      <c r="AX380" s="164"/>
      <c r="AY380" s="164"/>
      <c r="AZ380" s="164"/>
      <c r="BA380" s="164"/>
      <c r="BB380" s="164"/>
      <c r="BC380" s="164"/>
      <c r="BD380" s="164"/>
    </row>
    <row r="381" spans="1:56" ht="14.25" customHeight="1">
      <c r="A381" s="2">
        <v>379</v>
      </c>
      <c r="B381" s="60" t="s">
        <v>845</v>
      </c>
      <c r="C381" s="50" t="s">
        <v>846</v>
      </c>
      <c r="D381" s="53" t="s">
        <v>847</v>
      </c>
      <c r="E381" s="53">
        <v>4</v>
      </c>
      <c r="F381" s="53">
        <v>4</v>
      </c>
      <c r="G381" s="64" t="s">
        <v>820</v>
      </c>
      <c r="H381" s="124"/>
      <c r="I381" s="37">
        <f t="shared" si="23"/>
        <v>0</v>
      </c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>
        <f t="shared" si="20"/>
        <v>0</v>
      </c>
      <c r="W381" s="36"/>
      <c r="X381" s="38">
        <v>30000</v>
      </c>
      <c r="Y381" s="38" t="str">
        <f t="shared" si="21"/>
        <v>无需保养</v>
      </c>
      <c r="Z381" s="38">
        <f t="shared" si="22"/>
        <v>1</v>
      </c>
      <c r="AA381" s="164"/>
      <c r="AB381" s="164"/>
      <c r="AC381" s="164"/>
      <c r="AD381" s="164"/>
      <c r="AE381" s="164"/>
      <c r="AF381" s="164"/>
      <c r="AG381" s="164"/>
      <c r="AH381" s="164"/>
      <c r="AI381" s="164"/>
      <c r="AJ381" s="164"/>
      <c r="AK381" s="164"/>
      <c r="AL381" s="164"/>
      <c r="AM381" s="164"/>
      <c r="AN381" s="164"/>
      <c r="AO381" s="164"/>
      <c r="AP381" s="164"/>
      <c r="AQ381" s="164"/>
      <c r="AR381" s="164"/>
      <c r="AS381" s="164"/>
      <c r="AT381" s="164"/>
      <c r="AU381" s="164"/>
      <c r="AV381" s="164"/>
      <c r="AW381" s="164"/>
      <c r="AX381" s="164"/>
      <c r="AY381" s="164"/>
      <c r="AZ381" s="164"/>
      <c r="BA381" s="164"/>
      <c r="BB381" s="164"/>
      <c r="BC381" s="164"/>
      <c r="BD381" s="164"/>
    </row>
    <row r="382" spans="1:56" ht="14.25" customHeight="1">
      <c r="A382" s="2">
        <v>380</v>
      </c>
      <c r="B382" s="60" t="s">
        <v>848</v>
      </c>
      <c r="C382" s="50" t="s">
        <v>849</v>
      </c>
      <c r="D382" s="53" t="s">
        <v>850</v>
      </c>
      <c r="E382" s="53">
        <v>2</v>
      </c>
      <c r="F382" s="53">
        <v>2</v>
      </c>
      <c r="G382" s="64" t="s">
        <v>820</v>
      </c>
      <c r="H382" s="124"/>
      <c r="I382" s="37">
        <f t="shared" si="23"/>
        <v>0</v>
      </c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>
        <f t="shared" si="20"/>
        <v>0</v>
      </c>
      <c r="W382" s="36"/>
      <c r="X382" s="38">
        <v>30000</v>
      </c>
      <c r="Y382" s="38" t="str">
        <f t="shared" si="21"/>
        <v>无需保养</v>
      </c>
      <c r="Z382" s="38">
        <f t="shared" si="22"/>
        <v>1</v>
      </c>
      <c r="AA382" s="164"/>
      <c r="AB382" s="164"/>
      <c r="AC382" s="164"/>
      <c r="AD382" s="164"/>
      <c r="AE382" s="164"/>
      <c r="AF382" s="164"/>
      <c r="AG382" s="164"/>
      <c r="AH382" s="164"/>
      <c r="AI382" s="164"/>
      <c r="AJ382" s="164"/>
      <c r="AK382" s="164"/>
      <c r="AL382" s="164"/>
      <c r="AM382" s="164"/>
      <c r="AN382" s="164"/>
      <c r="AO382" s="164"/>
      <c r="AP382" s="164"/>
      <c r="AQ382" s="164"/>
      <c r="AR382" s="164"/>
      <c r="AS382" s="164"/>
      <c r="AT382" s="164"/>
      <c r="AU382" s="164"/>
      <c r="AV382" s="164"/>
      <c r="AW382" s="164"/>
      <c r="AX382" s="164"/>
      <c r="AY382" s="164"/>
      <c r="AZ382" s="164"/>
      <c r="BA382" s="164"/>
      <c r="BB382" s="164"/>
      <c r="BC382" s="164"/>
      <c r="BD382" s="164"/>
    </row>
    <row r="383" spans="1:56" ht="14.25" customHeight="1">
      <c r="A383" s="2">
        <v>381</v>
      </c>
      <c r="B383" s="112" t="s">
        <v>851</v>
      </c>
      <c r="C383" s="53" t="s">
        <v>852</v>
      </c>
      <c r="D383" s="147" t="s">
        <v>853</v>
      </c>
      <c r="E383" s="67">
        <v>4</v>
      </c>
      <c r="F383" s="67">
        <v>4</v>
      </c>
      <c r="G383" s="64" t="s">
        <v>854</v>
      </c>
      <c r="H383" s="124"/>
      <c r="I383" s="37">
        <f t="shared" si="23"/>
        <v>0</v>
      </c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>
        <f t="shared" si="20"/>
        <v>0</v>
      </c>
      <c r="W383" s="36"/>
      <c r="X383" s="38">
        <v>30000</v>
      </c>
      <c r="Y383" s="38" t="str">
        <f t="shared" si="21"/>
        <v>无需保养</v>
      </c>
      <c r="Z383" s="38">
        <f t="shared" si="22"/>
        <v>1</v>
      </c>
      <c r="AA383" s="164"/>
      <c r="AB383" s="164"/>
      <c r="AC383" s="164"/>
      <c r="AD383" s="164"/>
      <c r="AE383" s="164"/>
      <c r="AF383" s="164"/>
      <c r="AG383" s="164"/>
      <c r="AH383" s="164"/>
      <c r="AI383" s="164"/>
      <c r="AJ383" s="164"/>
      <c r="AK383" s="164"/>
      <c r="AL383" s="164"/>
      <c r="AM383" s="164"/>
      <c r="AN383" s="164"/>
      <c r="AO383" s="164"/>
      <c r="AP383" s="164"/>
      <c r="AQ383" s="164"/>
      <c r="AR383" s="164"/>
      <c r="AS383" s="164"/>
      <c r="AT383" s="164"/>
      <c r="AU383" s="164"/>
      <c r="AV383" s="164"/>
      <c r="AW383" s="164"/>
      <c r="AX383" s="164"/>
      <c r="AY383" s="164"/>
      <c r="AZ383" s="164"/>
      <c r="BA383" s="164"/>
      <c r="BB383" s="164"/>
      <c r="BC383" s="164"/>
      <c r="BD383" s="164"/>
    </row>
    <row r="384" spans="1:56" ht="14.25" customHeight="1">
      <c r="A384" s="2">
        <v>382</v>
      </c>
      <c r="B384" s="112" t="s">
        <v>855</v>
      </c>
      <c r="C384" s="53" t="s">
        <v>856</v>
      </c>
      <c r="D384" s="147" t="s">
        <v>857</v>
      </c>
      <c r="E384" s="67">
        <v>4</v>
      </c>
      <c r="F384" s="67">
        <v>4</v>
      </c>
      <c r="G384" s="64" t="s">
        <v>854</v>
      </c>
      <c r="H384" s="124"/>
      <c r="I384" s="37">
        <f t="shared" si="23"/>
        <v>0</v>
      </c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>
        <f t="shared" si="20"/>
        <v>0</v>
      </c>
      <c r="W384" s="36"/>
      <c r="X384" s="38">
        <v>30000</v>
      </c>
      <c r="Y384" s="38" t="str">
        <f t="shared" si="21"/>
        <v>无需保养</v>
      </c>
      <c r="Z384" s="38">
        <f t="shared" si="22"/>
        <v>1</v>
      </c>
      <c r="AA384" s="164"/>
      <c r="AB384" s="164"/>
      <c r="AC384" s="164"/>
      <c r="AD384" s="164"/>
      <c r="AE384" s="164"/>
      <c r="AF384" s="164"/>
      <c r="AG384" s="164"/>
      <c r="AH384" s="164"/>
      <c r="AI384" s="164"/>
      <c r="AJ384" s="164"/>
      <c r="AK384" s="164"/>
      <c r="AL384" s="164"/>
      <c r="AM384" s="164"/>
      <c r="AN384" s="164"/>
      <c r="AO384" s="164"/>
      <c r="AP384" s="164"/>
      <c r="AQ384" s="164"/>
      <c r="AR384" s="164"/>
      <c r="AS384" s="164"/>
      <c r="AT384" s="164"/>
      <c r="AU384" s="164"/>
      <c r="AV384" s="164"/>
      <c r="AW384" s="164"/>
      <c r="AX384" s="164"/>
      <c r="AY384" s="164"/>
      <c r="AZ384" s="164"/>
      <c r="BA384" s="164"/>
      <c r="BB384" s="164"/>
      <c r="BC384" s="164"/>
      <c r="BD384" s="164"/>
    </row>
    <row r="385" spans="1:56" ht="14.25" customHeight="1">
      <c r="A385" s="2">
        <v>383</v>
      </c>
      <c r="B385" s="112" t="s">
        <v>858</v>
      </c>
      <c r="C385" s="53" t="s">
        <v>859</v>
      </c>
      <c r="D385" s="147" t="s">
        <v>860</v>
      </c>
      <c r="E385" s="67">
        <v>2</v>
      </c>
      <c r="F385" s="67">
        <v>2</v>
      </c>
      <c r="G385" s="64" t="s">
        <v>854</v>
      </c>
      <c r="H385" s="124"/>
      <c r="I385" s="37">
        <f t="shared" si="23"/>
        <v>0</v>
      </c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>
        <f t="shared" si="20"/>
        <v>0</v>
      </c>
      <c r="W385" s="36"/>
      <c r="X385" s="38">
        <v>30000</v>
      </c>
      <c r="Y385" s="38" t="str">
        <f t="shared" si="21"/>
        <v>无需保养</v>
      </c>
      <c r="Z385" s="38">
        <f t="shared" si="22"/>
        <v>1</v>
      </c>
      <c r="AA385" s="164"/>
      <c r="AB385" s="164"/>
      <c r="AC385" s="164"/>
      <c r="AD385" s="164"/>
      <c r="AE385" s="164"/>
      <c r="AF385" s="164"/>
      <c r="AG385" s="164"/>
      <c r="AH385" s="164"/>
      <c r="AI385" s="164"/>
      <c r="AJ385" s="164"/>
      <c r="AK385" s="164"/>
      <c r="AL385" s="164"/>
      <c r="AM385" s="164"/>
      <c r="AN385" s="164"/>
      <c r="AO385" s="164"/>
      <c r="AP385" s="164"/>
      <c r="AQ385" s="164"/>
      <c r="AR385" s="164"/>
      <c r="AS385" s="164"/>
      <c r="AT385" s="164"/>
      <c r="AU385" s="164"/>
      <c r="AV385" s="164"/>
      <c r="AW385" s="164"/>
      <c r="AX385" s="164"/>
      <c r="AY385" s="164"/>
      <c r="AZ385" s="164"/>
      <c r="BA385" s="164"/>
      <c r="BB385" s="164"/>
      <c r="BC385" s="164"/>
      <c r="BD385" s="164"/>
    </row>
    <row r="386" spans="1:56" ht="14.25" customHeight="1">
      <c r="A386" s="2">
        <v>384</v>
      </c>
      <c r="B386" s="112" t="s">
        <v>861</v>
      </c>
      <c r="C386" s="53" t="s">
        <v>862</v>
      </c>
      <c r="D386" s="147" t="s">
        <v>863</v>
      </c>
      <c r="E386" s="67">
        <v>2</v>
      </c>
      <c r="F386" s="67">
        <v>2</v>
      </c>
      <c r="G386" s="64" t="s">
        <v>854</v>
      </c>
      <c r="H386" s="124"/>
      <c r="I386" s="37">
        <f t="shared" si="23"/>
        <v>0</v>
      </c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>
        <f t="shared" si="20"/>
        <v>0</v>
      </c>
      <c r="W386" s="36"/>
      <c r="X386" s="38">
        <v>30000</v>
      </c>
      <c r="Y386" s="38" t="str">
        <f t="shared" si="21"/>
        <v>无需保养</v>
      </c>
      <c r="Z386" s="38">
        <f t="shared" si="22"/>
        <v>1</v>
      </c>
      <c r="AA386" s="164"/>
      <c r="AB386" s="164"/>
      <c r="AC386" s="164"/>
      <c r="AD386" s="164"/>
      <c r="AE386" s="164"/>
      <c r="AF386" s="164"/>
      <c r="AG386" s="164"/>
      <c r="AH386" s="164"/>
      <c r="AI386" s="164"/>
      <c r="AJ386" s="164"/>
      <c r="AK386" s="164"/>
      <c r="AL386" s="164"/>
      <c r="AM386" s="164"/>
      <c r="AN386" s="164"/>
      <c r="AO386" s="164"/>
      <c r="AP386" s="164"/>
      <c r="AQ386" s="164"/>
      <c r="AR386" s="164"/>
      <c r="AS386" s="164"/>
      <c r="AT386" s="164"/>
      <c r="AU386" s="164"/>
      <c r="AV386" s="164"/>
      <c r="AW386" s="164"/>
      <c r="AX386" s="164"/>
      <c r="AY386" s="164"/>
      <c r="AZ386" s="164"/>
      <c r="BA386" s="164"/>
      <c r="BB386" s="164"/>
      <c r="BC386" s="164"/>
      <c r="BD386" s="164"/>
    </row>
    <row r="387" spans="1:56" ht="14.25" customHeight="1">
      <c r="A387" s="2">
        <v>385</v>
      </c>
      <c r="B387" s="112" t="s">
        <v>864</v>
      </c>
      <c r="C387" s="53" t="s">
        <v>865</v>
      </c>
      <c r="D387" s="147" t="s">
        <v>866</v>
      </c>
      <c r="E387" s="68">
        <v>2</v>
      </c>
      <c r="F387" s="68">
        <v>2</v>
      </c>
      <c r="G387" s="64" t="s">
        <v>854</v>
      </c>
      <c r="H387" s="124"/>
      <c r="I387" s="37">
        <f t="shared" si="23"/>
        <v>0</v>
      </c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>
        <f t="shared" si="20"/>
        <v>0</v>
      </c>
      <c r="W387" s="36"/>
      <c r="X387" s="38">
        <v>30000</v>
      </c>
      <c r="Y387" s="38" t="str">
        <f t="shared" si="21"/>
        <v>无需保养</v>
      </c>
      <c r="Z387" s="38">
        <f t="shared" si="22"/>
        <v>1</v>
      </c>
      <c r="AA387" s="164"/>
      <c r="AB387" s="164"/>
      <c r="AC387" s="164"/>
      <c r="AD387" s="164"/>
      <c r="AE387" s="164"/>
      <c r="AF387" s="164"/>
      <c r="AG387" s="164"/>
      <c r="AH387" s="164"/>
      <c r="AI387" s="164"/>
      <c r="AJ387" s="164"/>
      <c r="AK387" s="164"/>
      <c r="AL387" s="164"/>
      <c r="AM387" s="164"/>
      <c r="AN387" s="164"/>
      <c r="AO387" s="164"/>
      <c r="AP387" s="164"/>
      <c r="AQ387" s="164"/>
      <c r="AR387" s="164"/>
      <c r="AS387" s="164"/>
      <c r="AT387" s="164"/>
      <c r="AU387" s="164"/>
      <c r="AV387" s="164"/>
      <c r="AW387" s="164"/>
      <c r="AX387" s="164"/>
      <c r="AY387" s="164"/>
      <c r="AZ387" s="164"/>
      <c r="BA387" s="164"/>
      <c r="BB387" s="164"/>
      <c r="BC387" s="164"/>
      <c r="BD387" s="164"/>
    </row>
    <row r="388" spans="1:56" ht="14.25" customHeight="1">
      <c r="A388" s="2">
        <v>386</v>
      </c>
      <c r="B388" s="112" t="s">
        <v>867</v>
      </c>
      <c r="C388" s="53" t="s">
        <v>868</v>
      </c>
      <c r="D388" s="147" t="s">
        <v>869</v>
      </c>
      <c r="E388" s="68">
        <v>2</v>
      </c>
      <c r="F388" s="68">
        <v>2</v>
      </c>
      <c r="G388" s="64" t="s">
        <v>854</v>
      </c>
      <c r="H388" s="124"/>
      <c r="I388" s="37">
        <f t="shared" si="23"/>
        <v>0</v>
      </c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>
        <f t="shared" si="20"/>
        <v>0</v>
      </c>
      <c r="W388" s="36"/>
      <c r="X388" s="38">
        <v>30000</v>
      </c>
      <c r="Y388" s="38" t="str">
        <f t="shared" si="21"/>
        <v>无需保养</v>
      </c>
      <c r="Z388" s="38">
        <f t="shared" si="22"/>
        <v>1</v>
      </c>
      <c r="AA388" s="164"/>
      <c r="AB388" s="164"/>
      <c r="AC388" s="164"/>
      <c r="AD388" s="164"/>
      <c r="AE388" s="164"/>
      <c r="AF388" s="164"/>
      <c r="AG388" s="164"/>
      <c r="AH388" s="164"/>
      <c r="AI388" s="164"/>
      <c r="AJ388" s="164"/>
      <c r="AK388" s="164"/>
      <c r="AL388" s="164"/>
      <c r="AM388" s="164"/>
      <c r="AN388" s="164"/>
      <c r="AO388" s="164"/>
      <c r="AP388" s="164"/>
      <c r="AQ388" s="164"/>
      <c r="AR388" s="164"/>
      <c r="AS388" s="164"/>
      <c r="AT388" s="164"/>
      <c r="AU388" s="164"/>
      <c r="AV388" s="164"/>
      <c r="AW388" s="164"/>
      <c r="AX388" s="164"/>
      <c r="AY388" s="164"/>
      <c r="AZ388" s="164"/>
      <c r="BA388" s="164"/>
      <c r="BB388" s="164"/>
      <c r="BC388" s="164"/>
      <c r="BD388" s="164"/>
    </row>
    <row r="389" spans="1:56" ht="14.25" customHeight="1">
      <c r="A389" s="2">
        <v>387</v>
      </c>
      <c r="B389" s="113" t="s">
        <v>870</v>
      </c>
      <c r="C389" s="53" t="s">
        <v>871</v>
      </c>
      <c r="D389" s="147" t="s">
        <v>872</v>
      </c>
      <c r="E389" s="68">
        <v>4</v>
      </c>
      <c r="F389" s="68">
        <v>4</v>
      </c>
      <c r="G389" s="64" t="s">
        <v>854</v>
      </c>
      <c r="H389" s="124"/>
      <c r="I389" s="37">
        <f t="shared" si="23"/>
        <v>0</v>
      </c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>
        <f t="shared" ref="V389:V452" si="24">I389/F389</f>
        <v>0</v>
      </c>
      <c r="W389" s="36"/>
      <c r="X389" s="38">
        <v>30000</v>
      </c>
      <c r="Y389" s="38" t="str">
        <f t="shared" ref="Y389:Y452" si="25">IF(OR(AND(W389&lt;&gt;0,QUOTIENT(V389,X389)&gt;=1,(MOD(V389,X389)/X389)&gt;=0.9,(QUOTIENT(V389,X389)+1)&gt;W389),AND(QUOTIENT(V389,X389)=0,MOD(V389,X389)/X389&gt;=0.9,(QUOTIENT(V389,X389)+1)&gt;W389),QUOTIENT(V389,X389)&gt;W389),"保养","无需保养")</f>
        <v>无需保养</v>
      </c>
      <c r="Z389" s="38">
        <f t="shared" ref="Z389:Z452" si="26">COUNTIF($C$5:$C$542,C389)</f>
        <v>1</v>
      </c>
      <c r="AA389" s="164"/>
      <c r="AB389" s="164"/>
      <c r="AC389" s="164"/>
      <c r="AD389" s="164"/>
      <c r="AE389" s="164"/>
      <c r="AF389" s="164"/>
      <c r="AG389" s="164"/>
      <c r="AH389" s="164"/>
      <c r="AI389" s="164"/>
      <c r="AJ389" s="164"/>
      <c r="AK389" s="164"/>
      <c r="AL389" s="164"/>
      <c r="AM389" s="164"/>
      <c r="AN389" s="164"/>
      <c r="AO389" s="164"/>
      <c r="AP389" s="164"/>
      <c r="AQ389" s="164"/>
      <c r="AR389" s="164"/>
      <c r="AS389" s="164"/>
      <c r="AT389" s="164"/>
      <c r="AU389" s="164"/>
      <c r="AV389" s="164"/>
      <c r="AW389" s="164"/>
      <c r="AX389" s="164"/>
      <c r="AY389" s="164"/>
      <c r="AZ389" s="164"/>
      <c r="BA389" s="164"/>
      <c r="BB389" s="164"/>
      <c r="BC389" s="164"/>
      <c r="BD389" s="164"/>
    </row>
    <row r="390" spans="1:56" ht="14.25" customHeight="1">
      <c r="A390" s="2">
        <v>388</v>
      </c>
      <c r="B390" s="113" t="s">
        <v>873</v>
      </c>
      <c r="C390" s="53" t="s">
        <v>874</v>
      </c>
      <c r="D390" s="35" t="s">
        <v>875</v>
      </c>
      <c r="E390" s="69">
        <v>8</v>
      </c>
      <c r="F390" s="69">
        <v>8</v>
      </c>
      <c r="G390" s="64" t="s">
        <v>854</v>
      </c>
      <c r="H390" s="124"/>
      <c r="I390" s="37">
        <f t="shared" ref="I390:I453" si="27">J390+K390+L390+M390+N390+O390+P390+Q390+R390+S390+T390+U390</f>
        <v>0</v>
      </c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>
        <f t="shared" si="24"/>
        <v>0</v>
      </c>
      <c r="W390" s="36"/>
      <c r="X390" s="38">
        <v>30000</v>
      </c>
      <c r="Y390" s="38" t="str">
        <f t="shared" si="25"/>
        <v>无需保养</v>
      </c>
      <c r="Z390" s="38">
        <f t="shared" si="26"/>
        <v>1</v>
      </c>
      <c r="AA390" s="164"/>
      <c r="AB390" s="164"/>
      <c r="AC390" s="164"/>
      <c r="AD390" s="164"/>
      <c r="AE390" s="164"/>
      <c r="AF390" s="164"/>
      <c r="AG390" s="164"/>
      <c r="AH390" s="164"/>
      <c r="AI390" s="164"/>
      <c r="AJ390" s="164"/>
      <c r="AK390" s="164"/>
      <c r="AL390" s="164"/>
      <c r="AM390" s="164"/>
      <c r="AN390" s="164"/>
      <c r="AO390" s="164"/>
      <c r="AP390" s="164"/>
      <c r="AQ390" s="164"/>
      <c r="AR390" s="164"/>
      <c r="AS390" s="164"/>
      <c r="AT390" s="164"/>
      <c r="AU390" s="164"/>
      <c r="AV390" s="164"/>
      <c r="AW390" s="164"/>
      <c r="AX390" s="164"/>
      <c r="AY390" s="164"/>
      <c r="AZ390" s="164"/>
      <c r="BA390" s="164"/>
      <c r="BB390" s="164"/>
      <c r="BC390" s="164"/>
      <c r="BD390" s="164"/>
    </row>
    <row r="391" spans="1:56" ht="14.25" customHeight="1">
      <c r="A391" s="2">
        <v>389</v>
      </c>
      <c r="B391" s="113" t="s">
        <v>876</v>
      </c>
      <c r="C391" s="53" t="s">
        <v>877</v>
      </c>
      <c r="D391" s="147" t="s">
        <v>878</v>
      </c>
      <c r="E391" s="69">
        <v>2</v>
      </c>
      <c r="F391" s="69">
        <v>2</v>
      </c>
      <c r="G391" s="64" t="s">
        <v>854</v>
      </c>
      <c r="H391" s="124"/>
      <c r="I391" s="37">
        <f t="shared" si="27"/>
        <v>0</v>
      </c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>
        <f t="shared" si="24"/>
        <v>0</v>
      </c>
      <c r="W391" s="36"/>
      <c r="X391" s="38">
        <v>30000</v>
      </c>
      <c r="Y391" s="38" t="str">
        <f t="shared" si="25"/>
        <v>无需保养</v>
      </c>
      <c r="Z391" s="38">
        <f t="shared" si="26"/>
        <v>1</v>
      </c>
      <c r="AA391" s="164"/>
      <c r="AB391" s="164"/>
      <c r="AC391" s="164"/>
      <c r="AD391" s="164"/>
      <c r="AE391" s="164"/>
      <c r="AF391" s="164"/>
      <c r="AG391" s="164"/>
      <c r="AH391" s="164"/>
      <c r="AI391" s="164"/>
      <c r="AJ391" s="164"/>
      <c r="AK391" s="164"/>
      <c r="AL391" s="164"/>
      <c r="AM391" s="164"/>
      <c r="AN391" s="164"/>
      <c r="AO391" s="164"/>
      <c r="AP391" s="164"/>
      <c r="AQ391" s="164"/>
      <c r="AR391" s="164"/>
      <c r="AS391" s="164"/>
      <c r="AT391" s="164"/>
      <c r="AU391" s="164"/>
      <c r="AV391" s="164"/>
      <c r="AW391" s="164"/>
      <c r="AX391" s="164"/>
      <c r="AY391" s="164"/>
      <c r="AZ391" s="164"/>
      <c r="BA391" s="164"/>
      <c r="BB391" s="164"/>
      <c r="BC391" s="164"/>
      <c r="BD391" s="164"/>
    </row>
    <row r="392" spans="1:56" ht="14.25" customHeight="1">
      <c r="A392" s="2">
        <v>390</v>
      </c>
      <c r="B392" s="112" t="s">
        <v>879</v>
      </c>
      <c r="C392" s="53" t="s">
        <v>880</v>
      </c>
      <c r="D392" s="147" t="s">
        <v>881</v>
      </c>
      <c r="E392" s="69">
        <v>2</v>
      </c>
      <c r="F392" s="69">
        <v>2</v>
      </c>
      <c r="G392" s="64" t="s">
        <v>854</v>
      </c>
      <c r="H392" s="124"/>
      <c r="I392" s="37">
        <f t="shared" si="27"/>
        <v>0</v>
      </c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>
        <f t="shared" si="24"/>
        <v>0</v>
      </c>
      <c r="W392" s="36"/>
      <c r="X392" s="38">
        <v>30000</v>
      </c>
      <c r="Y392" s="38" t="str">
        <f t="shared" si="25"/>
        <v>无需保养</v>
      </c>
      <c r="Z392" s="38">
        <f t="shared" si="26"/>
        <v>1</v>
      </c>
      <c r="AA392" s="164"/>
      <c r="AB392" s="164"/>
      <c r="AC392" s="164"/>
      <c r="AD392" s="164"/>
      <c r="AE392" s="164"/>
      <c r="AF392" s="164"/>
      <c r="AG392" s="164"/>
      <c r="AH392" s="164"/>
      <c r="AI392" s="164"/>
      <c r="AJ392" s="164"/>
      <c r="AK392" s="164"/>
      <c r="AL392" s="164"/>
      <c r="AM392" s="164"/>
      <c r="AN392" s="164"/>
      <c r="AO392" s="164"/>
      <c r="AP392" s="164"/>
      <c r="AQ392" s="164"/>
      <c r="AR392" s="164"/>
      <c r="AS392" s="164"/>
      <c r="AT392" s="164"/>
      <c r="AU392" s="164"/>
      <c r="AV392" s="164"/>
      <c r="AW392" s="164"/>
      <c r="AX392" s="164"/>
      <c r="AY392" s="164"/>
      <c r="AZ392" s="164"/>
      <c r="BA392" s="164"/>
      <c r="BB392" s="164"/>
      <c r="BC392" s="164"/>
      <c r="BD392" s="164"/>
    </row>
    <row r="393" spans="1:56" ht="14.25" customHeight="1">
      <c r="A393" s="2">
        <v>391</v>
      </c>
      <c r="B393" s="112" t="s">
        <v>882</v>
      </c>
      <c r="C393" s="53" t="s">
        <v>883</v>
      </c>
      <c r="D393" s="147" t="s">
        <v>884</v>
      </c>
      <c r="E393" s="69">
        <v>4</v>
      </c>
      <c r="F393" s="69">
        <v>4</v>
      </c>
      <c r="G393" s="64" t="s">
        <v>854</v>
      </c>
      <c r="H393" s="124"/>
      <c r="I393" s="37">
        <f t="shared" si="27"/>
        <v>0</v>
      </c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>
        <f t="shared" si="24"/>
        <v>0</v>
      </c>
      <c r="W393" s="36"/>
      <c r="X393" s="38">
        <v>30000</v>
      </c>
      <c r="Y393" s="38" t="str">
        <f t="shared" si="25"/>
        <v>无需保养</v>
      </c>
      <c r="Z393" s="38">
        <f t="shared" si="26"/>
        <v>1</v>
      </c>
      <c r="AA393" s="164"/>
      <c r="AB393" s="164"/>
      <c r="AC393" s="164"/>
      <c r="AD393" s="164"/>
      <c r="AE393" s="164"/>
      <c r="AF393" s="164"/>
      <c r="AG393" s="164"/>
      <c r="AH393" s="164"/>
      <c r="AI393" s="164"/>
      <c r="AJ393" s="164"/>
      <c r="AK393" s="164"/>
      <c r="AL393" s="164"/>
      <c r="AM393" s="164"/>
      <c r="AN393" s="164"/>
      <c r="AO393" s="164"/>
      <c r="AP393" s="164"/>
      <c r="AQ393" s="164"/>
      <c r="AR393" s="164"/>
      <c r="AS393" s="164"/>
      <c r="AT393" s="164"/>
      <c r="AU393" s="164"/>
      <c r="AV393" s="164"/>
      <c r="AW393" s="164"/>
      <c r="AX393" s="164"/>
      <c r="AY393" s="164"/>
      <c r="AZ393" s="164"/>
      <c r="BA393" s="164"/>
      <c r="BB393" s="164"/>
      <c r="BC393" s="164"/>
      <c r="BD393" s="164"/>
    </row>
    <row r="394" spans="1:56" ht="14.25" customHeight="1">
      <c r="A394" s="2">
        <v>392</v>
      </c>
      <c r="B394" s="112" t="s">
        <v>885</v>
      </c>
      <c r="C394" s="53" t="s">
        <v>886</v>
      </c>
      <c r="D394" s="147" t="s">
        <v>887</v>
      </c>
      <c r="E394" s="69">
        <v>2</v>
      </c>
      <c r="F394" s="69">
        <v>2</v>
      </c>
      <c r="G394" s="64" t="s">
        <v>854</v>
      </c>
      <c r="H394" s="124"/>
      <c r="I394" s="37">
        <f t="shared" si="27"/>
        <v>0</v>
      </c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>
        <f t="shared" si="24"/>
        <v>0</v>
      </c>
      <c r="W394" s="36"/>
      <c r="X394" s="38">
        <v>30000</v>
      </c>
      <c r="Y394" s="38" t="str">
        <f t="shared" si="25"/>
        <v>无需保养</v>
      </c>
      <c r="Z394" s="38">
        <f t="shared" si="26"/>
        <v>1</v>
      </c>
      <c r="AA394" s="164"/>
      <c r="AB394" s="164"/>
      <c r="AC394" s="164"/>
      <c r="AD394" s="164"/>
      <c r="AE394" s="164"/>
      <c r="AF394" s="164"/>
      <c r="AG394" s="164"/>
      <c r="AH394" s="164"/>
      <c r="AI394" s="164"/>
      <c r="AJ394" s="164"/>
      <c r="AK394" s="164"/>
      <c r="AL394" s="164"/>
      <c r="AM394" s="164"/>
      <c r="AN394" s="164"/>
      <c r="AO394" s="164"/>
      <c r="AP394" s="164"/>
      <c r="AQ394" s="164"/>
      <c r="AR394" s="164"/>
      <c r="AS394" s="164"/>
      <c r="AT394" s="164"/>
      <c r="AU394" s="164"/>
      <c r="AV394" s="164"/>
      <c r="AW394" s="164"/>
      <c r="AX394" s="164"/>
      <c r="AY394" s="164"/>
      <c r="AZ394" s="164"/>
      <c r="BA394" s="164"/>
      <c r="BB394" s="164"/>
      <c r="BC394" s="164"/>
      <c r="BD394" s="164"/>
    </row>
    <row r="395" spans="1:56" ht="14.25" customHeight="1">
      <c r="A395" s="2">
        <v>393</v>
      </c>
      <c r="B395" s="112" t="s">
        <v>888</v>
      </c>
      <c r="C395" s="53" t="s">
        <v>889</v>
      </c>
      <c r="D395" s="147" t="s">
        <v>890</v>
      </c>
      <c r="E395" s="69">
        <v>2</v>
      </c>
      <c r="F395" s="69">
        <v>2</v>
      </c>
      <c r="G395" s="64" t="s">
        <v>854</v>
      </c>
      <c r="H395" s="124"/>
      <c r="I395" s="37">
        <f t="shared" si="27"/>
        <v>0</v>
      </c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>
        <f t="shared" si="24"/>
        <v>0</v>
      </c>
      <c r="W395" s="36"/>
      <c r="X395" s="38">
        <v>30000</v>
      </c>
      <c r="Y395" s="38" t="str">
        <f t="shared" si="25"/>
        <v>无需保养</v>
      </c>
      <c r="Z395" s="38">
        <f t="shared" si="26"/>
        <v>1</v>
      </c>
      <c r="AA395" s="164"/>
      <c r="AB395" s="164"/>
      <c r="AC395" s="164"/>
      <c r="AD395" s="164"/>
      <c r="AE395" s="164"/>
      <c r="AF395" s="164"/>
      <c r="AG395" s="164"/>
      <c r="AH395" s="164"/>
      <c r="AI395" s="164"/>
      <c r="AJ395" s="164"/>
      <c r="AK395" s="164"/>
      <c r="AL395" s="164"/>
      <c r="AM395" s="164"/>
      <c r="AN395" s="164"/>
      <c r="AO395" s="164"/>
      <c r="AP395" s="164"/>
      <c r="AQ395" s="164"/>
      <c r="AR395" s="164"/>
      <c r="AS395" s="164"/>
      <c r="AT395" s="164"/>
      <c r="AU395" s="164"/>
      <c r="AV395" s="164"/>
      <c r="AW395" s="164"/>
      <c r="AX395" s="164"/>
      <c r="AY395" s="164"/>
      <c r="AZ395" s="164"/>
      <c r="BA395" s="164"/>
      <c r="BB395" s="164"/>
      <c r="BC395" s="164"/>
      <c r="BD395" s="164"/>
    </row>
    <row r="396" spans="1:56" ht="14.25" customHeight="1">
      <c r="A396" s="2">
        <v>394</v>
      </c>
      <c r="B396" s="112" t="s">
        <v>891</v>
      </c>
      <c r="C396" s="53" t="s">
        <v>892</v>
      </c>
      <c r="D396" s="147" t="s">
        <v>893</v>
      </c>
      <c r="E396" s="69">
        <v>1</v>
      </c>
      <c r="F396" s="69">
        <v>1</v>
      </c>
      <c r="G396" s="64" t="s">
        <v>854</v>
      </c>
      <c r="H396" s="124"/>
      <c r="I396" s="37">
        <f t="shared" si="27"/>
        <v>0</v>
      </c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>
        <f t="shared" si="24"/>
        <v>0</v>
      </c>
      <c r="W396" s="36"/>
      <c r="X396" s="38">
        <v>30000</v>
      </c>
      <c r="Y396" s="38" t="str">
        <f t="shared" si="25"/>
        <v>无需保养</v>
      </c>
      <c r="Z396" s="38">
        <f t="shared" si="26"/>
        <v>1</v>
      </c>
      <c r="AA396" s="164"/>
      <c r="AB396" s="164"/>
      <c r="AC396" s="164"/>
      <c r="AD396" s="164"/>
      <c r="AE396" s="164"/>
      <c r="AF396" s="164"/>
      <c r="AG396" s="164"/>
      <c r="AH396" s="164"/>
      <c r="AI396" s="164"/>
      <c r="AJ396" s="164"/>
      <c r="AK396" s="164"/>
      <c r="AL396" s="164"/>
      <c r="AM396" s="164"/>
      <c r="AN396" s="164"/>
      <c r="AO396" s="164"/>
      <c r="AP396" s="164"/>
      <c r="AQ396" s="164"/>
      <c r="AR396" s="164"/>
      <c r="AS396" s="164"/>
      <c r="AT396" s="164"/>
      <c r="AU396" s="164"/>
      <c r="AV396" s="164"/>
      <c r="AW396" s="164"/>
      <c r="AX396" s="164"/>
      <c r="AY396" s="164"/>
      <c r="AZ396" s="164"/>
      <c r="BA396" s="164"/>
      <c r="BB396" s="164"/>
      <c r="BC396" s="164"/>
      <c r="BD396" s="164"/>
    </row>
    <row r="397" spans="1:56" ht="14.25" customHeight="1">
      <c r="A397" s="2">
        <v>395</v>
      </c>
      <c r="B397" s="112" t="s">
        <v>894</v>
      </c>
      <c r="C397" s="35" t="s">
        <v>895</v>
      </c>
      <c r="D397" s="147" t="s">
        <v>896</v>
      </c>
      <c r="E397" s="69">
        <v>2</v>
      </c>
      <c r="F397" s="69">
        <v>2</v>
      </c>
      <c r="G397" s="64" t="s">
        <v>854</v>
      </c>
      <c r="H397" s="124"/>
      <c r="I397" s="37">
        <f t="shared" si="27"/>
        <v>0</v>
      </c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>
        <f t="shared" si="24"/>
        <v>0</v>
      </c>
      <c r="W397" s="36"/>
      <c r="X397" s="38">
        <v>30000</v>
      </c>
      <c r="Y397" s="38" t="str">
        <f t="shared" si="25"/>
        <v>无需保养</v>
      </c>
      <c r="Z397" s="38">
        <f t="shared" si="26"/>
        <v>1</v>
      </c>
      <c r="AA397" s="164"/>
      <c r="AB397" s="164"/>
      <c r="AC397" s="164"/>
      <c r="AD397" s="164"/>
      <c r="AE397" s="164"/>
      <c r="AF397" s="164"/>
      <c r="AG397" s="164"/>
      <c r="AH397" s="164"/>
      <c r="AI397" s="164"/>
      <c r="AJ397" s="164"/>
      <c r="AK397" s="164"/>
      <c r="AL397" s="164"/>
      <c r="AM397" s="164"/>
      <c r="AN397" s="164"/>
      <c r="AO397" s="164"/>
      <c r="AP397" s="164"/>
      <c r="AQ397" s="164"/>
      <c r="AR397" s="164"/>
      <c r="AS397" s="164"/>
      <c r="AT397" s="164"/>
      <c r="AU397" s="164"/>
      <c r="AV397" s="164"/>
      <c r="AW397" s="164"/>
      <c r="AX397" s="164"/>
      <c r="AY397" s="164"/>
      <c r="AZ397" s="164"/>
      <c r="BA397" s="164"/>
      <c r="BB397" s="164"/>
      <c r="BC397" s="164"/>
      <c r="BD397" s="164"/>
    </row>
    <row r="398" spans="1:56" ht="14.25" customHeight="1">
      <c r="A398" s="2">
        <v>396</v>
      </c>
      <c r="B398" s="112" t="s">
        <v>897</v>
      </c>
      <c r="C398" s="35" t="s">
        <v>898</v>
      </c>
      <c r="D398" s="147" t="s">
        <v>899</v>
      </c>
      <c r="E398" s="69">
        <v>2</v>
      </c>
      <c r="F398" s="69">
        <v>2</v>
      </c>
      <c r="G398" s="64" t="s">
        <v>854</v>
      </c>
      <c r="H398" s="124"/>
      <c r="I398" s="37">
        <f t="shared" si="27"/>
        <v>0</v>
      </c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>
        <f t="shared" si="24"/>
        <v>0</v>
      </c>
      <c r="W398" s="36"/>
      <c r="X398" s="38">
        <v>30000</v>
      </c>
      <c r="Y398" s="38" t="str">
        <f t="shared" si="25"/>
        <v>无需保养</v>
      </c>
      <c r="Z398" s="38">
        <f t="shared" si="26"/>
        <v>1</v>
      </c>
      <c r="AA398" s="164"/>
      <c r="AB398" s="164"/>
      <c r="AC398" s="164"/>
      <c r="AD398" s="164"/>
      <c r="AE398" s="164"/>
      <c r="AF398" s="164"/>
      <c r="AG398" s="164"/>
      <c r="AH398" s="164"/>
      <c r="AI398" s="164"/>
      <c r="AJ398" s="164"/>
      <c r="AK398" s="164"/>
      <c r="AL398" s="164"/>
      <c r="AM398" s="164"/>
      <c r="AN398" s="164"/>
      <c r="AO398" s="164"/>
      <c r="AP398" s="164"/>
      <c r="AQ398" s="164"/>
      <c r="AR398" s="164"/>
      <c r="AS398" s="164"/>
      <c r="AT398" s="164"/>
      <c r="AU398" s="164"/>
      <c r="AV398" s="164"/>
      <c r="AW398" s="164"/>
      <c r="AX398" s="164"/>
      <c r="AY398" s="164"/>
      <c r="AZ398" s="164"/>
      <c r="BA398" s="164"/>
      <c r="BB398" s="164"/>
      <c r="BC398" s="164"/>
      <c r="BD398" s="164"/>
    </row>
    <row r="399" spans="1:56" ht="14.25" customHeight="1">
      <c r="A399" s="2">
        <v>397</v>
      </c>
      <c r="B399" s="112" t="s">
        <v>900</v>
      </c>
      <c r="C399" s="35" t="s">
        <v>901</v>
      </c>
      <c r="D399" s="147" t="s">
        <v>902</v>
      </c>
      <c r="E399" s="69">
        <v>8</v>
      </c>
      <c r="F399" s="69">
        <v>8</v>
      </c>
      <c r="G399" s="64" t="s">
        <v>854</v>
      </c>
      <c r="H399" s="124"/>
      <c r="I399" s="37">
        <f t="shared" si="27"/>
        <v>0</v>
      </c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>
        <f t="shared" si="24"/>
        <v>0</v>
      </c>
      <c r="W399" s="36"/>
      <c r="X399" s="38">
        <v>30000</v>
      </c>
      <c r="Y399" s="38" t="str">
        <f t="shared" si="25"/>
        <v>无需保养</v>
      </c>
      <c r="Z399" s="38">
        <f t="shared" si="26"/>
        <v>1</v>
      </c>
      <c r="AA399" s="164"/>
      <c r="AB399" s="164"/>
      <c r="AC399" s="164"/>
      <c r="AD399" s="164"/>
      <c r="AE399" s="164"/>
      <c r="AF399" s="164"/>
      <c r="AG399" s="164"/>
      <c r="AH399" s="164"/>
      <c r="AI399" s="164"/>
      <c r="AJ399" s="164"/>
      <c r="AK399" s="164"/>
      <c r="AL399" s="164"/>
      <c r="AM399" s="164"/>
      <c r="AN399" s="164"/>
      <c r="AO399" s="164"/>
      <c r="AP399" s="164"/>
      <c r="AQ399" s="164"/>
      <c r="AR399" s="164"/>
      <c r="AS399" s="164"/>
      <c r="AT399" s="164"/>
      <c r="AU399" s="164"/>
      <c r="AV399" s="164"/>
      <c r="AW399" s="164"/>
      <c r="AX399" s="164"/>
      <c r="AY399" s="164"/>
      <c r="AZ399" s="164"/>
      <c r="BA399" s="164"/>
      <c r="BB399" s="164"/>
      <c r="BC399" s="164"/>
      <c r="BD399" s="164"/>
    </row>
    <row r="400" spans="1:56" ht="14.25" customHeight="1">
      <c r="A400" s="2">
        <v>398</v>
      </c>
      <c r="B400" s="112" t="s">
        <v>903</v>
      </c>
      <c r="C400" s="35" t="s">
        <v>904</v>
      </c>
      <c r="D400" s="147" t="s">
        <v>905</v>
      </c>
      <c r="E400" s="69">
        <v>4</v>
      </c>
      <c r="F400" s="69">
        <v>4</v>
      </c>
      <c r="G400" s="64" t="s">
        <v>854</v>
      </c>
      <c r="H400" s="124"/>
      <c r="I400" s="37">
        <f t="shared" si="27"/>
        <v>0</v>
      </c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>
        <f t="shared" si="24"/>
        <v>0</v>
      </c>
      <c r="W400" s="36"/>
      <c r="X400" s="38">
        <v>30000</v>
      </c>
      <c r="Y400" s="38" t="str">
        <f t="shared" si="25"/>
        <v>无需保养</v>
      </c>
      <c r="Z400" s="38">
        <f t="shared" si="26"/>
        <v>1</v>
      </c>
      <c r="AA400" s="164"/>
      <c r="AB400" s="164"/>
      <c r="AC400" s="164"/>
      <c r="AD400" s="164"/>
      <c r="AE400" s="164"/>
      <c r="AF400" s="164"/>
      <c r="AG400" s="164"/>
      <c r="AH400" s="164"/>
      <c r="AI400" s="164"/>
      <c r="AJ400" s="164"/>
      <c r="AK400" s="164"/>
      <c r="AL400" s="164"/>
      <c r="AM400" s="164"/>
      <c r="AN400" s="164"/>
      <c r="AO400" s="164"/>
      <c r="AP400" s="164"/>
      <c r="AQ400" s="164"/>
      <c r="AR400" s="164"/>
      <c r="AS400" s="164"/>
      <c r="AT400" s="164"/>
      <c r="AU400" s="164"/>
      <c r="AV400" s="164"/>
      <c r="AW400" s="164"/>
      <c r="AX400" s="164"/>
      <c r="AY400" s="164"/>
      <c r="AZ400" s="164"/>
      <c r="BA400" s="164"/>
      <c r="BB400" s="164"/>
      <c r="BC400" s="164"/>
      <c r="BD400" s="164"/>
    </row>
    <row r="401" spans="1:56" ht="14.25" customHeight="1">
      <c r="A401" s="2">
        <v>399</v>
      </c>
      <c r="B401" s="112" t="s">
        <v>906</v>
      </c>
      <c r="C401" s="53" t="s">
        <v>907</v>
      </c>
      <c r="D401" s="147" t="s">
        <v>908</v>
      </c>
      <c r="E401" s="69">
        <v>16</v>
      </c>
      <c r="F401" s="69">
        <v>16</v>
      </c>
      <c r="G401" s="64" t="s">
        <v>854</v>
      </c>
      <c r="H401" s="124"/>
      <c r="I401" s="37">
        <f t="shared" si="27"/>
        <v>0</v>
      </c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>
        <f t="shared" si="24"/>
        <v>0</v>
      </c>
      <c r="W401" s="36"/>
      <c r="X401" s="38">
        <v>30000</v>
      </c>
      <c r="Y401" s="38" t="str">
        <f t="shared" si="25"/>
        <v>无需保养</v>
      </c>
      <c r="Z401" s="38">
        <f t="shared" si="26"/>
        <v>1</v>
      </c>
      <c r="AA401" s="164"/>
      <c r="AB401" s="164"/>
      <c r="AC401" s="164"/>
      <c r="AD401" s="164"/>
      <c r="AE401" s="164"/>
      <c r="AF401" s="164"/>
      <c r="AG401" s="164"/>
      <c r="AH401" s="164"/>
      <c r="AI401" s="164"/>
      <c r="AJ401" s="164"/>
      <c r="AK401" s="164"/>
      <c r="AL401" s="164"/>
      <c r="AM401" s="164"/>
      <c r="AN401" s="164"/>
      <c r="AO401" s="164"/>
      <c r="AP401" s="164"/>
      <c r="AQ401" s="164"/>
      <c r="AR401" s="164"/>
      <c r="AS401" s="164"/>
      <c r="AT401" s="164"/>
      <c r="AU401" s="164"/>
      <c r="AV401" s="164"/>
      <c r="AW401" s="164"/>
      <c r="AX401" s="164"/>
      <c r="AY401" s="164"/>
      <c r="AZ401" s="164"/>
      <c r="BA401" s="164"/>
      <c r="BB401" s="164"/>
      <c r="BC401" s="164"/>
      <c r="BD401" s="164"/>
    </row>
    <row r="402" spans="1:56" ht="14.25" customHeight="1">
      <c r="A402" s="2">
        <v>400</v>
      </c>
      <c r="B402" s="113" t="s">
        <v>909</v>
      </c>
      <c r="C402" s="53" t="s">
        <v>910</v>
      </c>
      <c r="D402" s="147" t="s">
        <v>911</v>
      </c>
      <c r="E402" s="69">
        <v>8</v>
      </c>
      <c r="F402" s="69">
        <v>8</v>
      </c>
      <c r="G402" s="64" t="s">
        <v>854</v>
      </c>
      <c r="H402" s="124"/>
      <c r="I402" s="37">
        <f t="shared" si="27"/>
        <v>0</v>
      </c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>
        <f t="shared" si="24"/>
        <v>0</v>
      </c>
      <c r="W402" s="36"/>
      <c r="X402" s="38">
        <v>30000</v>
      </c>
      <c r="Y402" s="38" t="str">
        <f t="shared" si="25"/>
        <v>无需保养</v>
      </c>
      <c r="Z402" s="38">
        <f t="shared" si="26"/>
        <v>1</v>
      </c>
      <c r="AA402" s="164"/>
      <c r="AB402" s="164"/>
      <c r="AC402" s="164"/>
      <c r="AD402" s="164"/>
      <c r="AE402" s="164"/>
      <c r="AF402" s="164"/>
      <c r="AG402" s="164"/>
      <c r="AH402" s="164"/>
      <c r="AI402" s="164"/>
      <c r="AJ402" s="164"/>
      <c r="AK402" s="164"/>
      <c r="AL402" s="164"/>
      <c r="AM402" s="164"/>
      <c r="AN402" s="164"/>
      <c r="AO402" s="164"/>
      <c r="AP402" s="164"/>
      <c r="AQ402" s="164"/>
      <c r="AR402" s="164"/>
      <c r="AS402" s="164"/>
      <c r="AT402" s="164"/>
      <c r="AU402" s="164"/>
      <c r="AV402" s="164"/>
      <c r="AW402" s="164"/>
      <c r="AX402" s="164"/>
      <c r="AY402" s="164"/>
      <c r="AZ402" s="164"/>
      <c r="BA402" s="164"/>
      <c r="BB402" s="164"/>
      <c r="BC402" s="164"/>
      <c r="BD402" s="164"/>
    </row>
    <row r="403" spans="1:56" ht="14.25" customHeight="1">
      <c r="A403" s="2">
        <v>401</v>
      </c>
      <c r="B403" s="113" t="s">
        <v>912</v>
      </c>
      <c r="C403" s="53" t="s">
        <v>913</v>
      </c>
      <c r="D403" s="147" t="s">
        <v>914</v>
      </c>
      <c r="E403" s="69">
        <v>8</v>
      </c>
      <c r="F403" s="69">
        <v>8</v>
      </c>
      <c r="G403" s="64" t="s">
        <v>854</v>
      </c>
      <c r="H403" s="124"/>
      <c r="I403" s="37">
        <f t="shared" si="27"/>
        <v>0</v>
      </c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>
        <f t="shared" si="24"/>
        <v>0</v>
      </c>
      <c r="W403" s="36"/>
      <c r="X403" s="38">
        <v>30000</v>
      </c>
      <c r="Y403" s="38" t="str">
        <f t="shared" si="25"/>
        <v>无需保养</v>
      </c>
      <c r="Z403" s="38">
        <f t="shared" si="26"/>
        <v>1</v>
      </c>
      <c r="AA403" s="164"/>
      <c r="AB403" s="164"/>
      <c r="AC403" s="164"/>
      <c r="AD403" s="164"/>
      <c r="AE403" s="164"/>
      <c r="AF403" s="164"/>
      <c r="AG403" s="164"/>
      <c r="AH403" s="164"/>
      <c r="AI403" s="164"/>
      <c r="AJ403" s="164"/>
      <c r="AK403" s="164"/>
      <c r="AL403" s="164"/>
      <c r="AM403" s="164"/>
      <c r="AN403" s="164"/>
      <c r="AO403" s="164"/>
      <c r="AP403" s="164"/>
      <c r="AQ403" s="164"/>
      <c r="AR403" s="164"/>
      <c r="AS403" s="164"/>
      <c r="AT403" s="164"/>
      <c r="AU403" s="164"/>
      <c r="AV403" s="164"/>
      <c r="AW403" s="164"/>
      <c r="AX403" s="164"/>
      <c r="AY403" s="164"/>
      <c r="AZ403" s="164"/>
      <c r="BA403" s="164"/>
      <c r="BB403" s="164"/>
      <c r="BC403" s="164"/>
      <c r="BD403" s="164"/>
    </row>
    <row r="404" spans="1:56" ht="14.25" customHeight="1">
      <c r="A404" s="2">
        <v>402</v>
      </c>
      <c r="B404" s="113" t="s">
        <v>915</v>
      </c>
      <c r="C404" s="53" t="s">
        <v>916</v>
      </c>
      <c r="D404" s="147" t="s">
        <v>917</v>
      </c>
      <c r="E404" s="69">
        <v>4</v>
      </c>
      <c r="F404" s="69">
        <v>4</v>
      </c>
      <c r="G404" s="64" t="s">
        <v>854</v>
      </c>
      <c r="H404" s="124"/>
      <c r="I404" s="37">
        <f t="shared" si="27"/>
        <v>0</v>
      </c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>
        <f t="shared" si="24"/>
        <v>0</v>
      </c>
      <c r="W404" s="36"/>
      <c r="X404" s="38">
        <v>30000</v>
      </c>
      <c r="Y404" s="38" t="str">
        <f t="shared" si="25"/>
        <v>无需保养</v>
      </c>
      <c r="Z404" s="38">
        <f t="shared" si="26"/>
        <v>1</v>
      </c>
      <c r="AA404" s="164"/>
      <c r="AB404" s="164"/>
      <c r="AC404" s="164"/>
      <c r="AD404" s="164"/>
      <c r="AE404" s="164"/>
      <c r="AF404" s="164"/>
      <c r="AG404" s="164"/>
      <c r="AH404" s="164"/>
      <c r="AI404" s="164"/>
      <c r="AJ404" s="164"/>
      <c r="AK404" s="164"/>
      <c r="AL404" s="164"/>
      <c r="AM404" s="164"/>
      <c r="AN404" s="164"/>
      <c r="AO404" s="164"/>
      <c r="AP404" s="164"/>
      <c r="AQ404" s="164"/>
      <c r="AR404" s="164"/>
      <c r="AS404" s="164"/>
      <c r="AT404" s="164"/>
      <c r="AU404" s="164"/>
      <c r="AV404" s="164"/>
      <c r="AW404" s="164"/>
      <c r="AX404" s="164"/>
      <c r="AY404" s="164"/>
      <c r="AZ404" s="164"/>
      <c r="BA404" s="164"/>
      <c r="BB404" s="164"/>
      <c r="BC404" s="164"/>
      <c r="BD404" s="164"/>
    </row>
    <row r="405" spans="1:56" ht="14.25" customHeight="1">
      <c r="A405" s="2">
        <v>403</v>
      </c>
      <c r="B405" s="112" t="s">
        <v>918</v>
      </c>
      <c r="C405" s="53" t="s">
        <v>919</v>
      </c>
      <c r="D405" s="147" t="s">
        <v>920</v>
      </c>
      <c r="E405" s="69">
        <v>4</v>
      </c>
      <c r="F405" s="69">
        <v>4</v>
      </c>
      <c r="G405" s="64" t="s">
        <v>854</v>
      </c>
      <c r="H405" s="124"/>
      <c r="I405" s="37">
        <f t="shared" si="27"/>
        <v>0</v>
      </c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>
        <f t="shared" si="24"/>
        <v>0</v>
      </c>
      <c r="W405" s="36"/>
      <c r="X405" s="38">
        <v>30000</v>
      </c>
      <c r="Y405" s="38" t="str">
        <f t="shared" si="25"/>
        <v>无需保养</v>
      </c>
      <c r="Z405" s="38">
        <f t="shared" si="26"/>
        <v>1</v>
      </c>
      <c r="AA405" s="164"/>
      <c r="AB405" s="164"/>
      <c r="AC405" s="164"/>
      <c r="AD405" s="164"/>
      <c r="AE405" s="164"/>
      <c r="AF405" s="164"/>
      <c r="AG405" s="164"/>
      <c r="AH405" s="164"/>
      <c r="AI405" s="164"/>
      <c r="AJ405" s="164"/>
      <c r="AK405" s="164"/>
      <c r="AL405" s="164"/>
      <c r="AM405" s="164"/>
      <c r="AN405" s="164"/>
      <c r="AO405" s="164"/>
      <c r="AP405" s="164"/>
      <c r="AQ405" s="164"/>
      <c r="AR405" s="164"/>
      <c r="AS405" s="164"/>
      <c r="AT405" s="164"/>
      <c r="AU405" s="164"/>
      <c r="AV405" s="164"/>
      <c r="AW405" s="164"/>
      <c r="AX405" s="164"/>
      <c r="AY405" s="164"/>
      <c r="AZ405" s="164"/>
      <c r="BA405" s="164"/>
      <c r="BB405" s="164"/>
      <c r="BC405" s="164"/>
      <c r="BD405" s="164"/>
    </row>
    <row r="406" spans="1:56" ht="14.25" customHeight="1">
      <c r="A406" s="2">
        <v>404</v>
      </c>
      <c r="B406" s="112" t="s">
        <v>921</v>
      </c>
      <c r="C406" s="53" t="s">
        <v>922</v>
      </c>
      <c r="D406" s="147" t="s">
        <v>923</v>
      </c>
      <c r="E406" s="69">
        <v>4</v>
      </c>
      <c r="F406" s="69">
        <v>4</v>
      </c>
      <c r="G406" s="64" t="s">
        <v>854</v>
      </c>
      <c r="H406" s="124"/>
      <c r="I406" s="37">
        <f t="shared" si="27"/>
        <v>0</v>
      </c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>
        <f t="shared" si="24"/>
        <v>0</v>
      </c>
      <c r="W406" s="36"/>
      <c r="X406" s="38">
        <v>30000</v>
      </c>
      <c r="Y406" s="38" t="str">
        <f t="shared" si="25"/>
        <v>无需保养</v>
      </c>
      <c r="Z406" s="38">
        <f t="shared" si="26"/>
        <v>1</v>
      </c>
      <c r="AA406" s="164"/>
      <c r="AB406" s="164"/>
      <c r="AC406" s="164"/>
      <c r="AD406" s="164"/>
      <c r="AE406" s="164"/>
      <c r="AF406" s="164"/>
      <c r="AG406" s="164"/>
      <c r="AH406" s="164"/>
      <c r="AI406" s="164"/>
      <c r="AJ406" s="164"/>
      <c r="AK406" s="164"/>
      <c r="AL406" s="164"/>
      <c r="AM406" s="164"/>
      <c r="AN406" s="164"/>
      <c r="AO406" s="164"/>
      <c r="AP406" s="164"/>
      <c r="AQ406" s="164"/>
      <c r="AR406" s="164"/>
      <c r="AS406" s="164"/>
      <c r="AT406" s="164"/>
      <c r="AU406" s="164"/>
      <c r="AV406" s="164"/>
      <c r="AW406" s="164"/>
      <c r="AX406" s="164"/>
      <c r="AY406" s="164"/>
      <c r="AZ406" s="164"/>
      <c r="BA406" s="164"/>
      <c r="BB406" s="164"/>
      <c r="BC406" s="164"/>
      <c r="BD406" s="164"/>
    </row>
    <row r="407" spans="1:56" ht="14.25" customHeight="1">
      <c r="A407" s="2">
        <v>405</v>
      </c>
      <c r="B407" s="112" t="s">
        <v>924</v>
      </c>
      <c r="C407" s="53" t="s">
        <v>925</v>
      </c>
      <c r="D407" s="147" t="s">
        <v>926</v>
      </c>
      <c r="E407" s="69">
        <v>2</v>
      </c>
      <c r="F407" s="69">
        <v>2</v>
      </c>
      <c r="G407" s="64" t="s">
        <v>854</v>
      </c>
      <c r="H407" s="124"/>
      <c r="I407" s="37">
        <f t="shared" si="27"/>
        <v>0</v>
      </c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>
        <f t="shared" si="24"/>
        <v>0</v>
      </c>
      <c r="W407" s="36"/>
      <c r="X407" s="38">
        <v>30000</v>
      </c>
      <c r="Y407" s="38" t="str">
        <f t="shared" si="25"/>
        <v>无需保养</v>
      </c>
      <c r="Z407" s="38">
        <f t="shared" si="26"/>
        <v>1</v>
      </c>
      <c r="AA407" s="164"/>
      <c r="AB407" s="164"/>
      <c r="AC407" s="164"/>
      <c r="AD407" s="164"/>
      <c r="AE407" s="164"/>
      <c r="AF407" s="164"/>
      <c r="AG407" s="164"/>
      <c r="AH407" s="164"/>
      <c r="AI407" s="164"/>
      <c r="AJ407" s="164"/>
      <c r="AK407" s="164"/>
      <c r="AL407" s="164"/>
      <c r="AM407" s="164"/>
      <c r="AN407" s="164"/>
      <c r="AO407" s="164"/>
      <c r="AP407" s="164"/>
      <c r="AQ407" s="164"/>
      <c r="AR407" s="164"/>
      <c r="AS407" s="164"/>
      <c r="AT407" s="164"/>
      <c r="AU407" s="164"/>
      <c r="AV407" s="164"/>
      <c r="AW407" s="164"/>
      <c r="AX407" s="164"/>
      <c r="AY407" s="164"/>
      <c r="AZ407" s="164"/>
      <c r="BA407" s="164"/>
      <c r="BB407" s="164"/>
      <c r="BC407" s="164"/>
      <c r="BD407" s="164"/>
    </row>
    <row r="408" spans="1:56" ht="14.25" customHeight="1">
      <c r="A408" s="2">
        <v>406</v>
      </c>
      <c r="B408" s="112" t="s">
        <v>927</v>
      </c>
      <c r="C408" s="53" t="s">
        <v>928</v>
      </c>
      <c r="D408" s="147" t="s">
        <v>929</v>
      </c>
      <c r="E408" s="69">
        <v>2</v>
      </c>
      <c r="F408" s="69">
        <v>2</v>
      </c>
      <c r="G408" s="64" t="s">
        <v>854</v>
      </c>
      <c r="H408" s="124"/>
      <c r="I408" s="37">
        <f t="shared" si="27"/>
        <v>0</v>
      </c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>
        <f t="shared" si="24"/>
        <v>0</v>
      </c>
      <c r="W408" s="36"/>
      <c r="X408" s="38">
        <v>30000</v>
      </c>
      <c r="Y408" s="38" t="str">
        <f t="shared" si="25"/>
        <v>无需保养</v>
      </c>
      <c r="Z408" s="38">
        <f t="shared" si="26"/>
        <v>1</v>
      </c>
      <c r="AA408" s="164"/>
      <c r="AB408" s="164"/>
      <c r="AC408" s="164"/>
      <c r="AD408" s="164"/>
      <c r="AE408" s="164"/>
      <c r="AF408" s="164"/>
      <c r="AG408" s="164"/>
      <c r="AH408" s="164"/>
      <c r="AI408" s="164"/>
      <c r="AJ408" s="164"/>
      <c r="AK408" s="164"/>
      <c r="AL408" s="164"/>
      <c r="AM408" s="164"/>
      <c r="AN408" s="164"/>
      <c r="AO408" s="164"/>
      <c r="AP408" s="164"/>
      <c r="AQ408" s="164"/>
      <c r="AR408" s="164"/>
      <c r="AS408" s="164"/>
      <c r="AT408" s="164"/>
      <c r="AU408" s="164"/>
      <c r="AV408" s="164"/>
      <c r="AW408" s="164"/>
      <c r="AX408" s="164"/>
      <c r="AY408" s="164"/>
      <c r="AZ408" s="164"/>
      <c r="BA408" s="164"/>
      <c r="BB408" s="164"/>
      <c r="BC408" s="164"/>
      <c r="BD408" s="164"/>
    </row>
    <row r="409" spans="1:56" ht="14.25" customHeight="1">
      <c r="A409" s="2">
        <v>407</v>
      </c>
      <c r="B409" s="112" t="s">
        <v>930</v>
      </c>
      <c r="C409" s="53" t="s">
        <v>931</v>
      </c>
      <c r="D409" s="147" t="s">
        <v>932</v>
      </c>
      <c r="E409" s="69">
        <v>2</v>
      </c>
      <c r="F409" s="69">
        <v>2</v>
      </c>
      <c r="G409" s="64" t="s">
        <v>854</v>
      </c>
      <c r="H409" s="124"/>
      <c r="I409" s="37">
        <f t="shared" si="27"/>
        <v>0</v>
      </c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>
        <f t="shared" si="24"/>
        <v>0</v>
      </c>
      <c r="W409" s="36"/>
      <c r="X409" s="38">
        <v>30000</v>
      </c>
      <c r="Y409" s="38" t="str">
        <f t="shared" si="25"/>
        <v>无需保养</v>
      </c>
      <c r="Z409" s="38">
        <f t="shared" si="26"/>
        <v>1</v>
      </c>
      <c r="AA409" s="164"/>
      <c r="AB409" s="164"/>
      <c r="AC409" s="164"/>
      <c r="AD409" s="164"/>
      <c r="AE409" s="164"/>
      <c r="AF409" s="164"/>
      <c r="AG409" s="164"/>
      <c r="AH409" s="164"/>
      <c r="AI409" s="164"/>
      <c r="AJ409" s="164"/>
      <c r="AK409" s="164"/>
      <c r="AL409" s="164"/>
      <c r="AM409" s="164"/>
      <c r="AN409" s="164"/>
      <c r="AO409" s="164"/>
      <c r="AP409" s="164"/>
      <c r="AQ409" s="164"/>
      <c r="AR409" s="164"/>
      <c r="AS409" s="164"/>
      <c r="AT409" s="164"/>
      <c r="AU409" s="164"/>
      <c r="AV409" s="164"/>
      <c r="AW409" s="164"/>
      <c r="AX409" s="164"/>
      <c r="AY409" s="164"/>
      <c r="AZ409" s="164"/>
      <c r="BA409" s="164"/>
      <c r="BB409" s="164"/>
      <c r="BC409" s="164"/>
      <c r="BD409" s="164"/>
    </row>
    <row r="410" spans="1:56" ht="14.25" customHeight="1">
      <c r="A410" s="2">
        <v>408</v>
      </c>
      <c r="B410" s="112" t="s">
        <v>933</v>
      </c>
      <c r="C410" s="53" t="s">
        <v>934</v>
      </c>
      <c r="D410" s="147" t="s">
        <v>935</v>
      </c>
      <c r="E410" s="69">
        <v>2</v>
      </c>
      <c r="F410" s="69">
        <v>2</v>
      </c>
      <c r="G410" s="64" t="s">
        <v>854</v>
      </c>
      <c r="H410" s="124"/>
      <c r="I410" s="37">
        <f t="shared" si="27"/>
        <v>0</v>
      </c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>
        <f t="shared" si="24"/>
        <v>0</v>
      </c>
      <c r="W410" s="36"/>
      <c r="X410" s="38">
        <v>30000</v>
      </c>
      <c r="Y410" s="38" t="str">
        <f t="shared" si="25"/>
        <v>无需保养</v>
      </c>
      <c r="Z410" s="38">
        <f t="shared" si="26"/>
        <v>1</v>
      </c>
      <c r="AA410" s="164"/>
      <c r="AB410" s="164"/>
      <c r="AC410" s="164"/>
      <c r="AD410" s="164"/>
      <c r="AE410" s="164"/>
      <c r="AF410" s="164"/>
      <c r="AG410" s="164"/>
      <c r="AH410" s="164"/>
      <c r="AI410" s="164"/>
      <c r="AJ410" s="164"/>
      <c r="AK410" s="164"/>
      <c r="AL410" s="164"/>
      <c r="AM410" s="164"/>
      <c r="AN410" s="164"/>
      <c r="AO410" s="164"/>
      <c r="AP410" s="164"/>
      <c r="AQ410" s="164"/>
      <c r="AR410" s="164"/>
      <c r="AS410" s="164"/>
      <c r="AT410" s="164"/>
      <c r="AU410" s="164"/>
      <c r="AV410" s="164"/>
      <c r="AW410" s="164"/>
      <c r="AX410" s="164"/>
      <c r="AY410" s="164"/>
      <c r="AZ410" s="164"/>
      <c r="BA410" s="164"/>
      <c r="BB410" s="164"/>
      <c r="BC410" s="164"/>
      <c r="BD410" s="164"/>
    </row>
    <row r="411" spans="1:56" ht="14.25" customHeight="1">
      <c r="A411" s="2">
        <v>409</v>
      </c>
      <c r="B411" s="112" t="s">
        <v>936</v>
      </c>
      <c r="C411" s="53" t="s">
        <v>937</v>
      </c>
      <c r="D411" s="147" t="s">
        <v>938</v>
      </c>
      <c r="E411" s="69">
        <v>2</v>
      </c>
      <c r="F411" s="69">
        <v>2</v>
      </c>
      <c r="G411" s="64" t="s">
        <v>854</v>
      </c>
      <c r="H411" s="124"/>
      <c r="I411" s="37">
        <f t="shared" si="27"/>
        <v>0</v>
      </c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>
        <f t="shared" si="24"/>
        <v>0</v>
      </c>
      <c r="W411" s="36"/>
      <c r="X411" s="38">
        <v>30000</v>
      </c>
      <c r="Y411" s="38" t="str">
        <f t="shared" si="25"/>
        <v>无需保养</v>
      </c>
      <c r="Z411" s="38">
        <f t="shared" si="26"/>
        <v>1</v>
      </c>
      <c r="AA411" s="164"/>
      <c r="AB411" s="164"/>
      <c r="AC411" s="164"/>
      <c r="AD411" s="164"/>
      <c r="AE411" s="164"/>
      <c r="AF411" s="164"/>
      <c r="AG411" s="164"/>
      <c r="AH411" s="164"/>
      <c r="AI411" s="164"/>
      <c r="AJ411" s="164"/>
      <c r="AK411" s="164"/>
      <c r="AL411" s="164"/>
      <c r="AM411" s="164"/>
      <c r="AN411" s="164"/>
      <c r="AO411" s="164"/>
      <c r="AP411" s="164"/>
      <c r="AQ411" s="164"/>
      <c r="AR411" s="164"/>
      <c r="AS411" s="164"/>
      <c r="AT411" s="164"/>
      <c r="AU411" s="164"/>
      <c r="AV411" s="164"/>
      <c r="AW411" s="164"/>
      <c r="AX411" s="164"/>
      <c r="AY411" s="164"/>
      <c r="AZ411" s="164"/>
      <c r="BA411" s="164"/>
      <c r="BB411" s="164"/>
      <c r="BC411" s="164"/>
      <c r="BD411" s="164"/>
    </row>
    <row r="412" spans="1:56" ht="14.25" customHeight="1">
      <c r="A412" s="2">
        <v>410</v>
      </c>
      <c r="B412" s="112" t="s">
        <v>939</v>
      </c>
      <c r="C412" s="53" t="s">
        <v>940</v>
      </c>
      <c r="D412" s="147" t="s">
        <v>941</v>
      </c>
      <c r="E412" s="69">
        <v>2</v>
      </c>
      <c r="F412" s="69">
        <v>2</v>
      </c>
      <c r="G412" s="64" t="s">
        <v>854</v>
      </c>
      <c r="H412" s="124"/>
      <c r="I412" s="37">
        <f t="shared" si="27"/>
        <v>0</v>
      </c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>
        <f t="shared" si="24"/>
        <v>0</v>
      </c>
      <c r="W412" s="36"/>
      <c r="X412" s="38">
        <v>30000</v>
      </c>
      <c r="Y412" s="38" t="str">
        <f t="shared" si="25"/>
        <v>无需保养</v>
      </c>
      <c r="Z412" s="38">
        <f t="shared" si="26"/>
        <v>1</v>
      </c>
      <c r="AA412" s="164"/>
      <c r="AB412" s="164"/>
      <c r="AC412" s="164"/>
      <c r="AD412" s="164"/>
      <c r="AE412" s="164"/>
      <c r="AF412" s="164"/>
      <c r="AG412" s="164"/>
      <c r="AH412" s="164"/>
      <c r="AI412" s="164"/>
      <c r="AJ412" s="164"/>
      <c r="AK412" s="164"/>
      <c r="AL412" s="164"/>
      <c r="AM412" s="164"/>
      <c r="AN412" s="164"/>
      <c r="AO412" s="164"/>
      <c r="AP412" s="164"/>
      <c r="AQ412" s="164"/>
      <c r="AR412" s="164"/>
      <c r="AS412" s="164"/>
      <c r="AT412" s="164"/>
      <c r="AU412" s="164"/>
      <c r="AV412" s="164"/>
      <c r="AW412" s="164"/>
      <c r="AX412" s="164"/>
      <c r="AY412" s="164"/>
      <c r="AZ412" s="164"/>
      <c r="BA412" s="164"/>
      <c r="BB412" s="164"/>
      <c r="BC412" s="164"/>
      <c r="BD412" s="164"/>
    </row>
    <row r="413" spans="1:56" ht="14.25" customHeight="1">
      <c r="A413" s="2">
        <v>411</v>
      </c>
      <c r="B413" s="112" t="s">
        <v>942</v>
      </c>
      <c r="C413" s="53" t="s">
        <v>943</v>
      </c>
      <c r="D413" s="147" t="s">
        <v>944</v>
      </c>
      <c r="E413" s="69">
        <v>2</v>
      </c>
      <c r="F413" s="69">
        <v>2</v>
      </c>
      <c r="G413" s="64" t="s">
        <v>854</v>
      </c>
      <c r="H413" s="124"/>
      <c r="I413" s="37">
        <f t="shared" si="27"/>
        <v>0</v>
      </c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>
        <f t="shared" si="24"/>
        <v>0</v>
      </c>
      <c r="W413" s="36"/>
      <c r="X413" s="38">
        <v>30000</v>
      </c>
      <c r="Y413" s="38" t="str">
        <f t="shared" si="25"/>
        <v>无需保养</v>
      </c>
      <c r="Z413" s="38">
        <f t="shared" si="26"/>
        <v>1</v>
      </c>
      <c r="AA413" s="164"/>
      <c r="AB413" s="164"/>
      <c r="AC413" s="164"/>
      <c r="AD413" s="164"/>
      <c r="AE413" s="164"/>
      <c r="AF413" s="164"/>
      <c r="AG413" s="164"/>
      <c r="AH413" s="164"/>
      <c r="AI413" s="164"/>
      <c r="AJ413" s="164"/>
      <c r="AK413" s="164"/>
      <c r="AL413" s="164"/>
      <c r="AM413" s="164"/>
      <c r="AN413" s="164"/>
      <c r="AO413" s="164"/>
      <c r="AP413" s="164"/>
      <c r="AQ413" s="164"/>
      <c r="AR413" s="164"/>
      <c r="AS413" s="164"/>
      <c r="AT413" s="164"/>
      <c r="AU413" s="164"/>
      <c r="AV413" s="164"/>
      <c r="AW413" s="164"/>
      <c r="AX413" s="164"/>
      <c r="AY413" s="164"/>
      <c r="AZ413" s="164"/>
      <c r="BA413" s="164"/>
      <c r="BB413" s="164"/>
      <c r="BC413" s="164"/>
      <c r="BD413" s="164"/>
    </row>
    <row r="414" spans="1:56" ht="14.25" customHeight="1">
      <c r="A414" s="2">
        <v>412</v>
      </c>
      <c r="B414" s="113" t="s">
        <v>945</v>
      </c>
      <c r="C414" s="35" t="s">
        <v>946</v>
      </c>
      <c r="D414" s="147" t="s">
        <v>947</v>
      </c>
      <c r="E414" s="69">
        <v>2</v>
      </c>
      <c r="F414" s="69">
        <v>2</v>
      </c>
      <c r="G414" s="64" t="s">
        <v>854</v>
      </c>
      <c r="H414" s="124"/>
      <c r="I414" s="37">
        <f t="shared" si="27"/>
        <v>0</v>
      </c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>
        <f t="shared" si="24"/>
        <v>0</v>
      </c>
      <c r="W414" s="36"/>
      <c r="X414" s="38">
        <v>30000</v>
      </c>
      <c r="Y414" s="38" t="str">
        <f t="shared" si="25"/>
        <v>无需保养</v>
      </c>
      <c r="Z414" s="38">
        <f t="shared" si="26"/>
        <v>1</v>
      </c>
      <c r="AA414" s="164"/>
      <c r="AB414" s="164"/>
      <c r="AC414" s="164"/>
      <c r="AD414" s="164"/>
      <c r="AE414" s="164"/>
      <c r="AF414" s="164"/>
      <c r="AG414" s="164"/>
      <c r="AH414" s="164"/>
      <c r="AI414" s="164"/>
      <c r="AJ414" s="164"/>
      <c r="AK414" s="164"/>
      <c r="AL414" s="164"/>
      <c r="AM414" s="164"/>
      <c r="AN414" s="164"/>
      <c r="AO414" s="164"/>
      <c r="AP414" s="164"/>
      <c r="AQ414" s="164"/>
      <c r="AR414" s="164"/>
      <c r="AS414" s="164"/>
      <c r="AT414" s="164"/>
      <c r="AU414" s="164"/>
      <c r="AV414" s="164"/>
      <c r="AW414" s="164"/>
      <c r="AX414" s="164"/>
      <c r="AY414" s="164"/>
      <c r="AZ414" s="164"/>
      <c r="BA414" s="164"/>
      <c r="BB414" s="164"/>
      <c r="BC414" s="164"/>
      <c r="BD414" s="164"/>
    </row>
    <row r="415" spans="1:56" ht="14.25" customHeight="1">
      <c r="A415" s="2">
        <v>413</v>
      </c>
      <c r="B415" s="113" t="s">
        <v>948</v>
      </c>
      <c r="C415" s="35" t="s">
        <v>949</v>
      </c>
      <c r="D415" s="147" t="s">
        <v>950</v>
      </c>
      <c r="E415" s="69">
        <v>8</v>
      </c>
      <c r="F415" s="69">
        <v>8</v>
      </c>
      <c r="G415" s="64" t="s">
        <v>854</v>
      </c>
      <c r="H415" s="124"/>
      <c r="I415" s="37">
        <f t="shared" si="27"/>
        <v>0</v>
      </c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>
        <f t="shared" si="24"/>
        <v>0</v>
      </c>
      <c r="W415" s="36"/>
      <c r="X415" s="38">
        <v>30000</v>
      </c>
      <c r="Y415" s="38" t="str">
        <f t="shared" si="25"/>
        <v>无需保养</v>
      </c>
      <c r="Z415" s="38">
        <f t="shared" si="26"/>
        <v>1</v>
      </c>
      <c r="AA415" s="164"/>
      <c r="AB415" s="164"/>
      <c r="AC415" s="164"/>
      <c r="AD415" s="164"/>
      <c r="AE415" s="164"/>
      <c r="AF415" s="164"/>
      <c r="AG415" s="164"/>
      <c r="AH415" s="164"/>
      <c r="AI415" s="164"/>
      <c r="AJ415" s="164"/>
      <c r="AK415" s="164"/>
      <c r="AL415" s="164"/>
      <c r="AM415" s="164"/>
      <c r="AN415" s="164"/>
      <c r="AO415" s="164"/>
      <c r="AP415" s="164"/>
      <c r="AQ415" s="164"/>
      <c r="AR415" s="164"/>
      <c r="AS415" s="164"/>
      <c r="AT415" s="164"/>
      <c r="AU415" s="164"/>
      <c r="AV415" s="164"/>
      <c r="AW415" s="164"/>
      <c r="AX415" s="164"/>
      <c r="AY415" s="164"/>
      <c r="AZ415" s="164"/>
      <c r="BA415" s="164"/>
      <c r="BB415" s="164"/>
      <c r="BC415" s="164"/>
      <c r="BD415" s="164"/>
    </row>
    <row r="416" spans="1:56" ht="14.25" customHeight="1">
      <c r="A416" s="2">
        <v>414</v>
      </c>
      <c r="B416" s="113" t="s">
        <v>951</v>
      </c>
      <c r="C416" s="35" t="s">
        <v>952</v>
      </c>
      <c r="D416" s="147" t="s">
        <v>953</v>
      </c>
      <c r="E416" s="69">
        <v>4</v>
      </c>
      <c r="F416" s="69">
        <v>4</v>
      </c>
      <c r="G416" s="64" t="s">
        <v>854</v>
      </c>
      <c r="H416" s="124"/>
      <c r="I416" s="37">
        <f t="shared" si="27"/>
        <v>0</v>
      </c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>
        <f t="shared" si="24"/>
        <v>0</v>
      </c>
      <c r="W416" s="36"/>
      <c r="X416" s="38">
        <v>30000</v>
      </c>
      <c r="Y416" s="38" t="str">
        <f t="shared" si="25"/>
        <v>无需保养</v>
      </c>
      <c r="Z416" s="38">
        <f t="shared" si="26"/>
        <v>1</v>
      </c>
      <c r="AA416" s="164"/>
      <c r="AB416" s="164"/>
      <c r="AC416" s="164"/>
      <c r="AD416" s="164"/>
      <c r="AE416" s="164"/>
      <c r="AF416" s="164"/>
      <c r="AG416" s="164"/>
      <c r="AH416" s="164"/>
      <c r="AI416" s="164"/>
      <c r="AJ416" s="164"/>
      <c r="AK416" s="164"/>
      <c r="AL416" s="164"/>
      <c r="AM416" s="164"/>
      <c r="AN416" s="164"/>
      <c r="AO416" s="164"/>
      <c r="AP416" s="164"/>
      <c r="AQ416" s="164"/>
      <c r="AR416" s="164"/>
      <c r="AS416" s="164"/>
      <c r="AT416" s="164"/>
      <c r="AU416" s="164"/>
      <c r="AV416" s="164"/>
      <c r="AW416" s="164"/>
      <c r="AX416" s="164"/>
      <c r="AY416" s="164"/>
      <c r="AZ416" s="164"/>
      <c r="BA416" s="164"/>
      <c r="BB416" s="164"/>
      <c r="BC416" s="164"/>
      <c r="BD416" s="164"/>
    </row>
    <row r="417" spans="1:56" ht="14.25" customHeight="1">
      <c r="A417" s="2">
        <v>415</v>
      </c>
      <c r="B417" s="112" t="s">
        <v>954</v>
      </c>
      <c r="C417" s="35" t="s">
        <v>955</v>
      </c>
      <c r="D417" s="147" t="s">
        <v>956</v>
      </c>
      <c r="E417" s="69">
        <v>4</v>
      </c>
      <c r="F417" s="69">
        <v>4</v>
      </c>
      <c r="G417" s="64" t="s">
        <v>854</v>
      </c>
      <c r="H417" s="124"/>
      <c r="I417" s="37">
        <f t="shared" si="27"/>
        <v>0</v>
      </c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>
        <f t="shared" si="24"/>
        <v>0</v>
      </c>
      <c r="W417" s="36"/>
      <c r="X417" s="38">
        <v>30000</v>
      </c>
      <c r="Y417" s="38" t="str">
        <f t="shared" si="25"/>
        <v>无需保养</v>
      </c>
      <c r="Z417" s="38">
        <f t="shared" si="26"/>
        <v>1</v>
      </c>
      <c r="AA417" s="164"/>
      <c r="AB417" s="164"/>
      <c r="AC417" s="164"/>
      <c r="AD417" s="164"/>
      <c r="AE417" s="164"/>
      <c r="AF417" s="164"/>
      <c r="AG417" s="164"/>
      <c r="AH417" s="164"/>
      <c r="AI417" s="164"/>
      <c r="AJ417" s="164"/>
      <c r="AK417" s="164"/>
      <c r="AL417" s="164"/>
      <c r="AM417" s="164"/>
      <c r="AN417" s="164"/>
      <c r="AO417" s="164"/>
      <c r="AP417" s="164"/>
      <c r="AQ417" s="164"/>
      <c r="AR417" s="164"/>
      <c r="AS417" s="164"/>
      <c r="AT417" s="164"/>
      <c r="AU417" s="164"/>
      <c r="AV417" s="164"/>
      <c r="AW417" s="164"/>
      <c r="AX417" s="164"/>
      <c r="AY417" s="164"/>
      <c r="AZ417" s="164"/>
      <c r="BA417" s="164"/>
      <c r="BB417" s="164"/>
      <c r="BC417" s="164"/>
      <c r="BD417" s="164"/>
    </row>
    <row r="418" spans="1:56" ht="14.25" customHeight="1">
      <c r="A418" s="2">
        <v>416</v>
      </c>
      <c r="B418" s="112" t="s">
        <v>957</v>
      </c>
      <c r="C418" s="35" t="s">
        <v>958</v>
      </c>
      <c r="D418" s="147" t="s">
        <v>959</v>
      </c>
      <c r="E418" s="69">
        <v>8</v>
      </c>
      <c r="F418" s="69">
        <v>8</v>
      </c>
      <c r="G418" s="64" t="s">
        <v>854</v>
      </c>
      <c r="H418" s="124"/>
      <c r="I418" s="37">
        <f t="shared" si="27"/>
        <v>0</v>
      </c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>
        <f t="shared" si="24"/>
        <v>0</v>
      </c>
      <c r="W418" s="36"/>
      <c r="X418" s="38">
        <v>30000</v>
      </c>
      <c r="Y418" s="38" t="str">
        <f t="shared" si="25"/>
        <v>无需保养</v>
      </c>
      <c r="Z418" s="38">
        <f t="shared" si="26"/>
        <v>1</v>
      </c>
      <c r="AA418" s="164"/>
      <c r="AB418" s="164"/>
      <c r="AC418" s="164"/>
      <c r="AD418" s="164"/>
      <c r="AE418" s="164"/>
      <c r="AF418" s="164"/>
      <c r="AG418" s="164"/>
      <c r="AH418" s="164"/>
      <c r="AI418" s="164"/>
      <c r="AJ418" s="164"/>
      <c r="AK418" s="164"/>
      <c r="AL418" s="164"/>
      <c r="AM418" s="164"/>
      <c r="AN418" s="164"/>
      <c r="AO418" s="164"/>
      <c r="AP418" s="164"/>
      <c r="AQ418" s="164"/>
      <c r="AR418" s="164"/>
      <c r="AS418" s="164"/>
      <c r="AT418" s="164"/>
      <c r="AU418" s="164"/>
      <c r="AV418" s="164"/>
      <c r="AW418" s="164"/>
      <c r="AX418" s="164"/>
      <c r="AY418" s="164"/>
      <c r="AZ418" s="164"/>
      <c r="BA418" s="164"/>
      <c r="BB418" s="164"/>
      <c r="BC418" s="164"/>
      <c r="BD418" s="164"/>
    </row>
    <row r="419" spans="1:56" ht="14.25" customHeight="1">
      <c r="A419" s="2">
        <v>417</v>
      </c>
      <c r="B419" s="112" t="s">
        <v>960</v>
      </c>
      <c r="C419" s="35" t="s">
        <v>961</v>
      </c>
      <c r="D419" s="147" t="s">
        <v>962</v>
      </c>
      <c r="E419" s="69">
        <v>8</v>
      </c>
      <c r="F419" s="69">
        <v>8</v>
      </c>
      <c r="G419" s="64" t="s">
        <v>854</v>
      </c>
      <c r="H419" s="124"/>
      <c r="I419" s="37">
        <f t="shared" si="27"/>
        <v>0</v>
      </c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>
        <f t="shared" si="24"/>
        <v>0</v>
      </c>
      <c r="W419" s="36"/>
      <c r="X419" s="38">
        <v>30000</v>
      </c>
      <c r="Y419" s="38" t="str">
        <f t="shared" si="25"/>
        <v>无需保养</v>
      </c>
      <c r="Z419" s="38">
        <f t="shared" si="26"/>
        <v>1</v>
      </c>
      <c r="AA419" s="164"/>
      <c r="AB419" s="164"/>
      <c r="AC419" s="164"/>
      <c r="AD419" s="164"/>
      <c r="AE419" s="164"/>
      <c r="AF419" s="164"/>
      <c r="AG419" s="164"/>
      <c r="AH419" s="164"/>
      <c r="AI419" s="164"/>
      <c r="AJ419" s="164"/>
      <c r="AK419" s="164"/>
      <c r="AL419" s="164"/>
      <c r="AM419" s="164"/>
      <c r="AN419" s="164"/>
      <c r="AO419" s="164"/>
      <c r="AP419" s="164"/>
      <c r="AQ419" s="164"/>
      <c r="AR419" s="164"/>
      <c r="AS419" s="164"/>
      <c r="AT419" s="164"/>
      <c r="AU419" s="164"/>
      <c r="AV419" s="164"/>
      <c r="AW419" s="164"/>
      <c r="AX419" s="164"/>
      <c r="AY419" s="164"/>
      <c r="AZ419" s="164"/>
      <c r="BA419" s="164"/>
      <c r="BB419" s="164"/>
      <c r="BC419" s="164"/>
      <c r="BD419" s="164"/>
    </row>
    <row r="420" spans="1:56" ht="14.25" customHeight="1">
      <c r="A420" s="2">
        <v>418</v>
      </c>
      <c r="B420" s="112" t="s">
        <v>963</v>
      </c>
      <c r="C420" s="35" t="s">
        <v>964</v>
      </c>
      <c r="D420" s="147" t="s">
        <v>965</v>
      </c>
      <c r="E420" s="69">
        <v>4</v>
      </c>
      <c r="F420" s="69">
        <v>4</v>
      </c>
      <c r="G420" s="64" t="s">
        <v>854</v>
      </c>
      <c r="H420" s="124"/>
      <c r="I420" s="37">
        <f t="shared" si="27"/>
        <v>0</v>
      </c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>
        <f t="shared" si="24"/>
        <v>0</v>
      </c>
      <c r="W420" s="36"/>
      <c r="X420" s="38">
        <v>30000</v>
      </c>
      <c r="Y420" s="38" t="str">
        <f t="shared" si="25"/>
        <v>无需保养</v>
      </c>
      <c r="Z420" s="38">
        <f t="shared" si="26"/>
        <v>1</v>
      </c>
      <c r="AA420" s="164"/>
      <c r="AB420" s="164"/>
      <c r="AC420" s="164"/>
      <c r="AD420" s="164"/>
      <c r="AE420" s="164"/>
      <c r="AF420" s="164"/>
      <c r="AG420" s="164"/>
      <c r="AH420" s="164"/>
      <c r="AI420" s="164"/>
      <c r="AJ420" s="164"/>
      <c r="AK420" s="164"/>
      <c r="AL420" s="164"/>
      <c r="AM420" s="164"/>
      <c r="AN420" s="164"/>
      <c r="AO420" s="164"/>
      <c r="AP420" s="164"/>
      <c r="AQ420" s="164"/>
      <c r="AR420" s="164"/>
      <c r="AS420" s="164"/>
      <c r="AT420" s="164"/>
      <c r="AU420" s="164"/>
      <c r="AV420" s="164"/>
      <c r="AW420" s="164"/>
      <c r="AX420" s="164"/>
      <c r="AY420" s="164"/>
      <c r="AZ420" s="164"/>
      <c r="BA420" s="164"/>
      <c r="BB420" s="164"/>
      <c r="BC420" s="164"/>
      <c r="BD420" s="164"/>
    </row>
    <row r="421" spans="1:56" ht="14.25" customHeight="1">
      <c r="A421" s="2">
        <v>419</v>
      </c>
      <c r="B421" s="112" t="s">
        <v>966</v>
      </c>
      <c r="C421" s="35" t="s">
        <v>967</v>
      </c>
      <c r="D421" s="147" t="s">
        <v>968</v>
      </c>
      <c r="E421" s="69">
        <v>4</v>
      </c>
      <c r="F421" s="69">
        <v>4</v>
      </c>
      <c r="G421" s="64" t="s">
        <v>854</v>
      </c>
      <c r="H421" s="124"/>
      <c r="I421" s="37">
        <f t="shared" si="27"/>
        <v>0</v>
      </c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>
        <f t="shared" si="24"/>
        <v>0</v>
      </c>
      <c r="W421" s="36"/>
      <c r="X421" s="38">
        <v>30000</v>
      </c>
      <c r="Y421" s="38" t="str">
        <f t="shared" si="25"/>
        <v>无需保养</v>
      </c>
      <c r="Z421" s="38">
        <f t="shared" si="26"/>
        <v>1</v>
      </c>
      <c r="AA421" s="164"/>
      <c r="AB421" s="164"/>
      <c r="AC421" s="164"/>
      <c r="AD421" s="164"/>
      <c r="AE421" s="164"/>
      <c r="AF421" s="164"/>
      <c r="AG421" s="164"/>
      <c r="AH421" s="164"/>
      <c r="AI421" s="164"/>
      <c r="AJ421" s="164"/>
      <c r="AK421" s="164"/>
      <c r="AL421" s="164"/>
      <c r="AM421" s="164"/>
      <c r="AN421" s="164"/>
      <c r="AO421" s="164"/>
      <c r="AP421" s="164"/>
      <c r="AQ421" s="164"/>
      <c r="AR421" s="164"/>
      <c r="AS421" s="164"/>
      <c r="AT421" s="164"/>
      <c r="AU421" s="164"/>
      <c r="AV421" s="164"/>
      <c r="AW421" s="164"/>
      <c r="AX421" s="164"/>
      <c r="AY421" s="164"/>
      <c r="AZ421" s="164"/>
      <c r="BA421" s="164"/>
      <c r="BB421" s="164"/>
      <c r="BC421" s="164"/>
      <c r="BD421" s="164"/>
    </row>
    <row r="422" spans="1:56" ht="14.25" customHeight="1">
      <c r="A422" s="2">
        <v>420</v>
      </c>
      <c r="B422" s="113" t="s">
        <v>969</v>
      </c>
      <c r="C422" s="35" t="s">
        <v>970</v>
      </c>
      <c r="D422" s="147" t="s">
        <v>971</v>
      </c>
      <c r="E422" s="69">
        <v>2</v>
      </c>
      <c r="F422" s="69">
        <v>2</v>
      </c>
      <c r="G422" s="64" t="s">
        <v>854</v>
      </c>
      <c r="H422" s="124"/>
      <c r="I422" s="37">
        <f t="shared" si="27"/>
        <v>0</v>
      </c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>
        <f t="shared" si="24"/>
        <v>0</v>
      </c>
      <c r="W422" s="36"/>
      <c r="X422" s="38">
        <v>30000</v>
      </c>
      <c r="Y422" s="38" t="str">
        <f t="shared" si="25"/>
        <v>无需保养</v>
      </c>
      <c r="Z422" s="38">
        <f t="shared" si="26"/>
        <v>1</v>
      </c>
      <c r="AA422" s="164"/>
      <c r="AB422" s="164"/>
      <c r="AC422" s="164"/>
      <c r="AD422" s="164"/>
      <c r="AE422" s="164"/>
      <c r="AF422" s="164"/>
      <c r="AG422" s="164"/>
      <c r="AH422" s="164"/>
      <c r="AI422" s="164"/>
      <c r="AJ422" s="164"/>
      <c r="AK422" s="164"/>
      <c r="AL422" s="164"/>
      <c r="AM422" s="164"/>
      <c r="AN422" s="164"/>
      <c r="AO422" s="164"/>
      <c r="AP422" s="164"/>
      <c r="AQ422" s="164"/>
      <c r="AR422" s="164"/>
      <c r="AS422" s="164"/>
      <c r="AT422" s="164"/>
      <c r="AU422" s="164"/>
      <c r="AV422" s="164"/>
      <c r="AW422" s="164"/>
      <c r="AX422" s="164"/>
      <c r="AY422" s="164"/>
      <c r="AZ422" s="164"/>
      <c r="BA422" s="164"/>
      <c r="BB422" s="164"/>
      <c r="BC422" s="164"/>
      <c r="BD422" s="164"/>
    </row>
    <row r="423" spans="1:56" ht="14.25" customHeight="1">
      <c r="A423" s="2">
        <v>421</v>
      </c>
      <c r="B423" s="112" t="s">
        <v>972</v>
      </c>
      <c r="C423" s="35" t="s">
        <v>973</v>
      </c>
      <c r="D423" s="147" t="s">
        <v>974</v>
      </c>
      <c r="E423" s="69">
        <v>4</v>
      </c>
      <c r="F423" s="69">
        <v>4</v>
      </c>
      <c r="G423" s="64" t="s">
        <v>854</v>
      </c>
      <c r="H423" s="124"/>
      <c r="I423" s="37">
        <f t="shared" si="27"/>
        <v>0</v>
      </c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>
        <f t="shared" si="24"/>
        <v>0</v>
      </c>
      <c r="W423" s="36"/>
      <c r="X423" s="38">
        <v>30000</v>
      </c>
      <c r="Y423" s="38" t="str">
        <f t="shared" si="25"/>
        <v>无需保养</v>
      </c>
      <c r="Z423" s="38">
        <f t="shared" si="26"/>
        <v>1</v>
      </c>
      <c r="AA423" s="164"/>
      <c r="AB423" s="164"/>
      <c r="AC423" s="164"/>
      <c r="AD423" s="164"/>
      <c r="AE423" s="164"/>
      <c r="AF423" s="164"/>
      <c r="AG423" s="164"/>
      <c r="AH423" s="164"/>
      <c r="AI423" s="164"/>
      <c r="AJ423" s="164"/>
      <c r="AK423" s="164"/>
      <c r="AL423" s="164"/>
      <c r="AM423" s="164"/>
      <c r="AN423" s="164"/>
      <c r="AO423" s="164"/>
      <c r="AP423" s="164"/>
      <c r="AQ423" s="164"/>
      <c r="AR423" s="164"/>
      <c r="AS423" s="164"/>
      <c r="AT423" s="164"/>
      <c r="AU423" s="164"/>
      <c r="AV423" s="164"/>
      <c r="AW423" s="164"/>
      <c r="AX423" s="164"/>
      <c r="AY423" s="164"/>
      <c r="AZ423" s="164"/>
      <c r="BA423" s="164"/>
      <c r="BB423" s="164"/>
      <c r="BC423" s="164"/>
      <c r="BD423" s="164"/>
    </row>
    <row r="424" spans="1:56" ht="14.25" customHeight="1">
      <c r="A424" s="2">
        <v>422</v>
      </c>
      <c r="B424" s="112" t="s">
        <v>975</v>
      </c>
      <c r="C424" s="72" t="s">
        <v>976</v>
      </c>
      <c r="D424" s="148" t="s">
        <v>977</v>
      </c>
      <c r="E424" s="69">
        <v>2</v>
      </c>
      <c r="F424" s="69">
        <v>2</v>
      </c>
      <c r="G424" s="70" t="s">
        <v>978</v>
      </c>
      <c r="H424" s="125"/>
      <c r="I424" s="37">
        <f t="shared" si="27"/>
        <v>0</v>
      </c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>
        <f t="shared" si="24"/>
        <v>0</v>
      </c>
      <c r="W424" s="36"/>
      <c r="X424" s="38">
        <v>30000</v>
      </c>
      <c r="Y424" s="38" t="str">
        <f t="shared" si="25"/>
        <v>无需保养</v>
      </c>
      <c r="Z424" s="38">
        <f t="shared" si="26"/>
        <v>1</v>
      </c>
      <c r="AA424" s="164"/>
      <c r="AB424" s="164"/>
      <c r="AC424" s="164"/>
      <c r="AD424" s="164"/>
      <c r="AE424" s="164"/>
      <c r="AF424" s="164"/>
      <c r="AG424" s="164"/>
      <c r="AH424" s="164"/>
      <c r="AI424" s="164"/>
      <c r="AJ424" s="164"/>
      <c r="AK424" s="164"/>
      <c r="AL424" s="164"/>
      <c r="AM424" s="164"/>
      <c r="AN424" s="164"/>
      <c r="AO424" s="164"/>
      <c r="AP424" s="164"/>
      <c r="AQ424" s="164"/>
      <c r="AR424" s="164"/>
      <c r="AS424" s="164"/>
      <c r="AT424" s="164"/>
      <c r="AU424" s="164"/>
      <c r="AV424" s="164"/>
      <c r="AW424" s="164"/>
      <c r="AX424" s="164"/>
      <c r="AY424" s="164"/>
      <c r="AZ424" s="164"/>
      <c r="BA424" s="164"/>
      <c r="BB424" s="164"/>
      <c r="BC424" s="164"/>
      <c r="BD424" s="164"/>
    </row>
    <row r="425" spans="1:56" ht="14.25" customHeight="1">
      <c r="A425" s="2">
        <v>423</v>
      </c>
      <c r="B425" s="112" t="s">
        <v>979</v>
      </c>
      <c r="C425" s="72" t="s">
        <v>980</v>
      </c>
      <c r="D425" s="148" t="s">
        <v>734</v>
      </c>
      <c r="E425" s="69">
        <v>2</v>
      </c>
      <c r="F425" s="69">
        <v>2</v>
      </c>
      <c r="G425" s="70" t="s">
        <v>978</v>
      </c>
      <c r="H425" s="125"/>
      <c r="I425" s="37">
        <f t="shared" si="27"/>
        <v>0</v>
      </c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>
        <f t="shared" si="24"/>
        <v>0</v>
      </c>
      <c r="W425" s="36"/>
      <c r="X425" s="38">
        <v>30000</v>
      </c>
      <c r="Y425" s="38" t="str">
        <f t="shared" si="25"/>
        <v>无需保养</v>
      </c>
      <c r="Z425" s="38">
        <f t="shared" si="26"/>
        <v>1</v>
      </c>
      <c r="AA425" s="164"/>
      <c r="AB425" s="164"/>
      <c r="AC425" s="164"/>
      <c r="AD425" s="164"/>
      <c r="AE425" s="164"/>
      <c r="AF425" s="164"/>
      <c r="AG425" s="164"/>
      <c r="AH425" s="164"/>
      <c r="AI425" s="164"/>
      <c r="AJ425" s="164"/>
      <c r="AK425" s="164"/>
      <c r="AL425" s="164"/>
      <c r="AM425" s="164"/>
      <c r="AN425" s="164"/>
      <c r="AO425" s="164"/>
      <c r="AP425" s="164"/>
      <c r="AQ425" s="164"/>
      <c r="AR425" s="164"/>
      <c r="AS425" s="164"/>
      <c r="AT425" s="164"/>
      <c r="AU425" s="164"/>
      <c r="AV425" s="164"/>
      <c r="AW425" s="164"/>
      <c r="AX425" s="164"/>
      <c r="AY425" s="164"/>
      <c r="AZ425" s="164"/>
      <c r="BA425" s="164"/>
      <c r="BB425" s="164"/>
      <c r="BC425" s="164"/>
      <c r="BD425" s="164"/>
    </row>
    <row r="426" spans="1:56" ht="14.25" customHeight="1">
      <c r="A426" s="2">
        <v>424</v>
      </c>
      <c r="B426" s="112" t="s">
        <v>981</v>
      </c>
      <c r="C426" s="72" t="s">
        <v>982</v>
      </c>
      <c r="D426" s="148" t="s">
        <v>983</v>
      </c>
      <c r="E426" s="69">
        <v>1</v>
      </c>
      <c r="F426" s="69">
        <v>1</v>
      </c>
      <c r="G426" s="70" t="s">
        <v>984</v>
      </c>
      <c r="H426" s="125"/>
      <c r="I426" s="37">
        <f t="shared" si="27"/>
        <v>0</v>
      </c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>
        <f t="shared" si="24"/>
        <v>0</v>
      </c>
      <c r="W426" s="36"/>
      <c r="X426" s="38">
        <v>30000</v>
      </c>
      <c r="Y426" s="38" t="str">
        <f t="shared" si="25"/>
        <v>无需保养</v>
      </c>
      <c r="Z426" s="38">
        <f t="shared" si="26"/>
        <v>1</v>
      </c>
      <c r="AA426" s="164"/>
      <c r="AB426" s="164"/>
      <c r="AC426" s="164"/>
      <c r="AD426" s="164"/>
      <c r="AE426" s="164"/>
      <c r="AF426" s="164"/>
      <c r="AG426" s="164"/>
      <c r="AH426" s="164"/>
      <c r="AI426" s="164"/>
      <c r="AJ426" s="164"/>
      <c r="AK426" s="164"/>
      <c r="AL426" s="164"/>
      <c r="AM426" s="164"/>
      <c r="AN426" s="164"/>
      <c r="AO426" s="164"/>
      <c r="AP426" s="164"/>
      <c r="AQ426" s="164"/>
      <c r="AR426" s="164"/>
      <c r="AS426" s="164"/>
      <c r="AT426" s="164"/>
      <c r="AU426" s="164"/>
      <c r="AV426" s="164"/>
      <c r="AW426" s="164"/>
      <c r="AX426" s="164"/>
      <c r="AY426" s="164"/>
      <c r="AZ426" s="164"/>
      <c r="BA426" s="164"/>
      <c r="BB426" s="164"/>
      <c r="BC426" s="164"/>
      <c r="BD426" s="164"/>
    </row>
    <row r="427" spans="1:56" ht="14.25" customHeight="1">
      <c r="A427" s="2">
        <v>425</v>
      </c>
      <c r="B427" s="112" t="s">
        <v>985</v>
      </c>
      <c r="C427" s="72" t="s">
        <v>986</v>
      </c>
      <c r="D427" s="148" t="s">
        <v>987</v>
      </c>
      <c r="E427" s="69">
        <v>2</v>
      </c>
      <c r="F427" s="69">
        <v>2</v>
      </c>
      <c r="G427" s="70"/>
      <c r="H427" s="125"/>
      <c r="I427" s="37">
        <f t="shared" si="27"/>
        <v>0</v>
      </c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>
        <f t="shared" si="24"/>
        <v>0</v>
      </c>
      <c r="W427" s="36"/>
      <c r="X427" s="38">
        <v>30000</v>
      </c>
      <c r="Y427" s="38" t="str">
        <f t="shared" si="25"/>
        <v>无需保养</v>
      </c>
      <c r="Z427" s="38">
        <f t="shared" si="26"/>
        <v>1</v>
      </c>
      <c r="AA427" s="164"/>
      <c r="AB427" s="164"/>
      <c r="AC427" s="164"/>
      <c r="AD427" s="164"/>
      <c r="AE427" s="164"/>
      <c r="AF427" s="164"/>
      <c r="AG427" s="164"/>
      <c r="AH427" s="164"/>
      <c r="AI427" s="164"/>
      <c r="AJ427" s="164"/>
      <c r="AK427" s="164"/>
      <c r="AL427" s="164"/>
      <c r="AM427" s="164"/>
      <c r="AN427" s="164"/>
      <c r="AO427" s="164"/>
      <c r="AP427" s="164"/>
      <c r="AQ427" s="164"/>
      <c r="AR427" s="164"/>
      <c r="AS427" s="164"/>
      <c r="AT427" s="164"/>
      <c r="AU427" s="164"/>
      <c r="AV427" s="164"/>
      <c r="AW427" s="164"/>
      <c r="AX427" s="164"/>
      <c r="AY427" s="164"/>
      <c r="AZ427" s="164"/>
      <c r="BA427" s="164"/>
      <c r="BB427" s="164"/>
      <c r="BC427" s="164"/>
      <c r="BD427" s="164"/>
    </row>
    <row r="428" spans="1:56" ht="14.25" customHeight="1">
      <c r="A428" s="2">
        <v>426</v>
      </c>
      <c r="B428" s="112" t="s">
        <v>988</v>
      </c>
      <c r="C428" s="72" t="s">
        <v>989</v>
      </c>
      <c r="D428" s="148" t="s">
        <v>734</v>
      </c>
      <c r="E428" s="69">
        <v>4</v>
      </c>
      <c r="F428" s="69">
        <v>4</v>
      </c>
      <c r="G428" s="70" t="s">
        <v>978</v>
      </c>
      <c r="H428" s="125"/>
      <c r="I428" s="37">
        <f t="shared" si="27"/>
        <v>0</v>
      </c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>
        <f t="shared" si="24"/>
        <v>0</v>
      </c>
      <c r="W428" s="36"/>
      <c r="X428" s="38">
        <v>30000</v>
      </c>
      <c r="Y428" s="38" t="str">
        <f t="shared" si="25"/>
        <v>无需保养</v>
      </c>
      <c r="Z428" s="38">
        <f t="shared" si="26"/>
        <v>1</v>
      </c>
      <c r="AA428" s="164"/>
      <c r="AB428" s="164"/>
      <c r="AC428" s="164"/>
      <c r="AD428" s="164"/>
      <c r="AE428" s="164"/>
      <c r="AF428" s="164"/>
      <c r="AG428" s="164"/>
      <c r="AH428" s="164"/>
      <c r="AI428" s="164"/>
      <c r="AJ428" s="164"/>
      <c r="AK428" s="164"/>
      <c r="AL428" s="164"/>
      <c r="AM428" s="164"/>
      <c r="AN428" s="164"/>
      <c r="AO428" s="164"/>
      <c r="AP428" s="164"/>
      <c r="AQ428" s="164"/>
      <c r="AR428" s="164"/>
      <c r="AS428" s="164"/>
      <c r="AT428" s="164"/>
      <c r="AU428" s="164"/>
      <c r="AV428" s="164"/>
      <c r="AW428" s="164"/>
      <c r="AX428" s="164"/>
      <c r="AY428" s="164"/>
      <c r="AZ428" s="164"/>
      <c r="BA428" s="164"/>
      <c r="BB428" s="164"/>
      <c r="BC428" s="164"/>
      <c r="BD428" s="164"/>
    </row>
    <row r="429" spans="1:56" ht="14.25" customHeight="1">
      <c r="A429" s="2">
        <v>427</v>
      </c>
      <c r="B429" s="112" t="s">
        <v>990</v>
      </c>
      <c r="C429" s="72" t="s">
        <v>991</v>
      </c>
      <c r="D429" s="148" t="s">
        <v>992</v>
      </c>
      <c r="E429" s="69">
        <v>2</v>
      </c>
      <c r="F429" s="69">
        <v>2</v>
      </c>
      <c r="G429" s="70" t="s">
        <v>978</v>
      </c>
      <c r="H429" s="125"/>
      <c r="I429" s="37">
        <f t="shared" si="27"/>
        <v>0</v>
      </c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>
        <f t="shared" si="24"/>
        <v>0</v>
      </c>
      <c r="W429" s="36"/>
      <c r="X429" s="38">
        <v>30000</v>
      </c>
      <c r="Y429" s="38" t="str">
        <f t="shared" si="25"/>
        <v>无需保养</v>
      </c>
      <c r="Z429" s="38">
        <f t="shared" si="26"/>
        <v>1</v>
      </c>
      <c r="AA429" s="164"/>
      <c r="AB429" s="164"/>
      <c r="AC429" s="164"/>
      <c r="AD429" s="164"/>
      <c r="AE429" s="164"/>
      <c r="AF429" s="164"/>
      <c r="AG429" s="164"/>
      <c r="AH429" s="164"/>
      <c r="AI429" s="164"/>
      <c r="AJ429" s="164"/>
      <c r="AK429" s="164"/>
      <c r="AL429" s="164"/>
      <c r="AM429" s="164"/>
      <c r="AN429" s="164"/>
      <c r="AO429" s="164"/>
      <c r="AP429" s="164"/>
      <c r="AQ429" s="164"/>
      <c r="AR429" s="164"/>
      <c r="AS429" s="164"/>
      <c r="AT429" s="164"/>
      <c r="AU429" s="164"/>
      <c r="AV429" s="164"/>
      <c r="AW429" s="164"/>
      <c r="AX429" s="164"/>
      <c r="AY429" s="164"/>
      <c r="AZ429" s="164"/>
      <c r="BA429" s="164"/>
      <c r="BB429" s="164"/>
      <c r="BC429" s="164"/>
      <c r="BD429" s="164"/>
    </row>
    <row r="430" spans="1:56" ht="14.25" customHeight="1">
      <c r="A430" s="2">
        <v>428</v>
      </c>
      <c r="B430" s="112" t="s">
        <v>993</v>
      </c>
      <c r="C430" s="72" t="s">
        <v>994</v>
      </c>
      <c r="D430" s="148" t="s">
        <v>709</v>
      </c>
      <c r="E430" s="72">
        <v>4</v>
      </c>
      <c r="F430" s="72">
        <v>4</v>
      </c>
      <c r="G430" s="70" t="s">
        <v>995</v>
      </c>
      <c r="H430" s="125"/>
      <c r="I430" s="37">
        <f t="shared" si="27"/>
        <v>0</v>
      </c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>
        <f t="shared" si="24"/>
        <v>0</v>
      </c>
      <c r="W430" s="36"/>
      <c r="X430" s="38">
        <v>30000</v>
      </c>
      <c r="Y430" s="38" t="str">
        <f t="shared" si="25"/>
        <v>无需保养</v>
      </c>
      <c r="Z430" s="38">
        <f t="shared" si="26"/>
        <v>1</v>
      </c>
      <c r="AA430" s="164"/>
      <c r="AB430" s="164"/>
      <c r="AC430" s="164"/>
      <c r="AD430" s="164"/>
      <c r="AE430" s="164"/>
      <c r="AF430" s="164"/>
      <c r="AG430" s="164"/>
      <c r="AH430" s="164"/>
      <c r="AI430" s="164"/>
      <c r="AJ430" s="164"/>
      <c r="AK430" s="164"/>
      <c r="AL430" s="164"/>
      <c r="AM430" s="164"/>
      <c r="AN430" s="164"/>
      <c r="AO430" s="164"/>
      <c r="AP430" s="164"/>
      <c r="AQ430" s="164"/>
      <c r="AR430" s="164"/>
      <c r="AS430" s="164"/>
      <c r="AT430" s="164"/>
      <c r="AU430" s="164"/>
      <c r="AV430" s="164"/>
      <c r="AW430" s="164"/>
      <c r="AX430" s="164"/>
      <c r="AY430" s="164"/>
      <c r="AZ430" s="164"/>
      <c r="BA430" s="164"/>
      <c r="BB430" s="164"/>
      <c r="BC430" s="164"/>
      <c r="BD430" s="164"/>
    </row>
    <row r="431" spans="1:56" ht="14.25" customHeight="1">
      <c r="A431" s="2">
        <v>429</v>
      </c>
      <c r="B431" s="112" t="s">
        <v>996</v>
      </c>
      <c r="C431" s="72" t="s">
        <v>997</v>
      </c>
      <c r="D431" s="148" t="s">
        <v>998</v>
      </c>
      <c r="E431" s="72">
        <v>4</v>
      </c>
      <c r="F431" s="72">
        <v>4</v>
      </c>
      <c r="G431" s="70" t="s">
        <v>995</v>
      </c>
      <c r="H431" s="125"/>
      <c r="I431" s="37">
        <f t="shared" si="27"/>
        <v>0</v>
      </c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>
        <f t="shared" si="24"/>
        <v>0</v>
      </c>
      <c r="W431" s="36"/>
      <c r="X431" s="38">
        <v>30000</v>
      </c>
      <c r="Y431" s="38" t="str">
        <f t="shared" si="25"/>
        <v>无需保养</v>
      </c>
      <c r="Z431" s="38">
        <f t="shared" si="26"/>
        <v>1</v>
      </c>
      <c r="AA431" s="164"/>
      <c r="AB431" s="164"/>
      <c r="AC431" s="164"/>
      <c r="AD431" s="164"/>
      <c r="AE431" s="164"/>
      <c r="AF431" s="164"/>
      <c r="AG431" s="164"/>
      <c r="AH431" s="164"/>
      <c r="AI431" s="164"/>
      <c r="AJ431" s="164"/>
      <c r="AK431" s="164"/>
      <c r="AL431" s="164"/>
      <c r="AM431" s="164"/>
      <c r="AN431" s="164"/>
      <c r="AO431" s="164"/>
      <c r="AP431" s="164"/>
      <c r="AQ431" s="164"/>
      <c r="AR431" s="164"/>
      <c r="AS431" s="164"/>
      <c r="AT431" s="164"/>
      <c r="AU431" s="164"/>
      <c r="AV431" s="164"/>
      <c r="AW431" s="164"/>
      <c r="AX431" s="164"/>
      <c r="AY431" s="164"/>
      <c r="AZ431" s="164"/>
      <c r="BA431" s="164"/>
      <c r="BB431" s="164"/>
      <c r="BC431" s="164"/>
      <c r="BD431" s="164"/>
    </row>
    <row r="432" spans="1:56" ht="14.25" customHeight="1">
      <c r="A432" s="2">
        <v>430</v>
      </c>
      <c r="B432" s="112" t="s">
        <v>999</v>
      </c>
      <c r="C432" s="72" t="s">
        <v>1000</v>
      </c>
      <c r="D432" s="148" t="s">
        <v>1001</v>
      </c>
      <c r="E432" s="73">
        <v>2</v>
      </c>
      <c r="F432" s="73">
        <v>2</v>
      </c>
      <c r="G432" s="70" t="s">
        <v>978</v>
      </c>
      <c r="H432" s="125"/>
      <c r="I432" s="37">
        <f t="shared" si="27"/>
        <v>0</v>
      </c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>
        <f t="shared" si="24"/>
        <v>0</v>
      </c>
      <c r="W432" s="36"/>
      <c r="X432" s="38">
        <v>30000</v>
      </c>
      <c r="Y432" s="38" t="str">
        <f t="shared" si="25"/>
        <v>无需保养</v>
      </c>
      <c r="Z432" s="38">
        <f t="shared" si="26"/>
        <v>1</v>
      </c>
      <c r="AA432" s="164"/>
      <c r="AB432" s="164"/>
      <c r="AC432" s="164"/>
      <c r="AD432" s="164"/>
      <c r="AE432" s="164"/>
      <c r="AF432" s="164"/>
      <c r="AG432" s="164"/>
      <c r="AH432" s="164"/>
      <c r="AI432" s="164"/>
      <c r="AJ432" s="164"/>
      <c r="AK432" s="164"/>
      <c r="AL432" s="164"/>
      <c r="AM432" s="164"/>
      <c r="AN432" s="164"/>
      <c r="AO432" s="164"/>
      <c r="AP432" s="164"/>
      <c r="AQ432" s="164"/>
      <c r="AR432" s="164"/>
      <c r="AS432" s="164"/>
      <c r="AT432" s="164"/>
      <c r="AU432" s="164"/>
      <c r="AV432" s="164"/>
      <c r="AW432" s="164"/>
      <c r="AX432" s="164"/>
      <c r="AY432" s="164"/>
      <c r="AZ432" s="164"/>
      <c r="BA432" s="164"/>
      <c r="BB432" s="164"/>
      <c r="BC432" s="164"/>
      <c r="BD432" s="164"/>
    </row>
    <row r="433" spans="1:56" ht="14.25" customHeight="1">
      <c r="A433" s="2">
        <v>431</v>
      </c>
      <c r="B433" s="112" t="s">
        <v>1002</v>
      </c>
      <c r="C433" s="72" t="s">
        <v>1003</v>
      </c>
      <c r="D433" s="148" t="s">
        <v>1004</v>
      </c>
      <c r="E433" s="72">
        <v>2</v>
      </c>
      <c r="F433" s="72">
        <v>2</v>
      </c>
      <c r="G433" s="70" t="s">
        <v>995</v>
      </c>
      <c r="H433" s="125"/>
      <c r="I433" s="37">
        <f t="shared" si="27"/>
        <v>0</v>
      </c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>
        <f t="shared" si="24"/>
        <v>0</v>
      </c>
      <c r="W433" s="36"/>
      <c r="X433" s="38">
        <v>30000</v>
      </c>
      <c r="Y433" s="38" t="str">
        <f t="shared" si="25"/>
        <v>无需保养</v>
      </c>
      <c r="Z433" s="38">
        <f t="shared" si="26"/>
        <v>1</v>
      </c>
      <c r="AA433" s="164"/>
      <c r="AB433" s="164"/>
      <c r="AC433" s="164"/>
      <c r="AD433" s="164"/>
      <c r="AE433" s="164"/>
      <c r="AF433" s="164"/>
      <c r="AG433" s="164"/>
      <c r="AH433" s="164"/>
      <c r="AI433" s="164"/>
      <c r="AJ433" s="164"/>
      <c r="AK433" s="164"/>
      <c r="AL433" s="164"/>
      <c r="AM433" s="164"/>
      <c r="AN433" s="164"/>
      <c r="AO433" s="164"/>
      <c r="AP433" s="164"/>
      <c r="AQ433" s="164"/>
      <c r="AR433" s="164"/>
      <c r="AS433" s="164"/>
      <c r="AT433" s="164"/>
      <c r="AU433" s="164"/>
      <c r="AV433" s="164"/>
      <c r="AW433" s="164"/>
      <c r="AX433" s="164"/>
      <c r="AY433" s="164"/>
      <c r="AZ433" s="164"/>
      <c r="BA433" s="164"/>
      <c r="BB433" s="164"/>
      <c r="BC433" s="164"/>
      <c r="BD433" s="164"/>
    </row>
    <row r="434" spans="1:56" ht="14.25" customHeight="1">
      <c r="A434" s="2">
        <v>432</v>
      </c>
      <c r="B434" s="112" t="s">
        <v>1005</v>
      </c>
      <c r="C434" s="72" t="s">
        <v>1006</v>
      </c>
      <c r="D434" s="148" t="s">
        <v>1007</v>
      </c>
      <c r="E434" s="72">
        <v>4</v>
      </c>
      <c r="F434" s="72">
        <v>4</v>
      </c>
      <c r="G434" s="70" t="s">
        <v>1008</v>
      </c>
      <c r="H434" s="125"/>
      <c r="I434" s="37">
        <f t="shared" si="27"/>
        <v>0</v>
      </c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>
        <f t="shared" si="24"/>
        <v>0</v>
      </c>
      <c r="W434" s="36"/>
      <c r="X434" s="38">
        <v>30000</v>
      </c>
      <c r="Y434" s="38" t="str">
        <f t="shared" si="25"/>
        <v>无需保养</v>
      </c>
      <c r="Z434" s="38">
        <f t="shared" si="26"/>
        <v>1</v>
      </c>
      <c r="AA434" s="164"/>
      <c r="AB434" s="164"/>
      <c r="AC434" s="164"/>
      <c r="AD434" s="164"/>
      <c r="AE434" s="164"/>
      <c r="AF434" s="164"/>
      <c r="AG434" s="164"/>
      <c r="AH434" s="164"/>
      <c r="AI434" s="164"/>
      <c r="AJ434" s="164"/>
      <c r="AK434" s="164"/>
      <c r="AL434" s="164"/>
      <c r="AM434" s="164"/>
      <c r="AN434" s="164"/>
      <c r="AO434" s="164"/>
      <c r="AP434" s="164"/>
      <c r="AQ434" s="164"/>
      <c r="AR434" s="164"/>
      <c r="AS434" s="164"/>
      <c r="AT434" s="164"/>
      <c r="AU434" s="164"/>
      <c r="AV434" s="164"/>
      <c r="AW434" s="164"/>
      <c r="AX434" s="164"/>
      <c r="AY434" s="164"/>
      <c r="AZ434" s="164"/>
      <c r="BA434" s="164"/>
      <c r="BB434" s="164"/>
      <c r="BC434" s="164"/>
      <c r="BD434" s="164"/>
    </row>
    <row r="435" spans="1:56" ht="14.25" customHeight="1">
      <c r="A435" s="2">
        <v>433</v>
      </c>
      <c r="B435" s="112" t="s">
        <v>1009</v>
      </c>
      <c r="C435" s="72" t="s">
        <v>1010</v>
      </c>
      <c r="D435" s="148" t="s">
        <v>1011</v>
      </c>
      <c r="E435" s="72">
        <v>4</v>
      </c>
      <c r="F435" s="72">
        <v>4</v>
      </c>
      <c r="G435" s="70" t="s">
        <v>995</v>
      </c>
      <c r="H435" s="125"/>
      <c r="I435" s="37">
        <f t="shared" si="27"/>
        <v>0</v>
      </c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>
        <f t="shared" si="24"/>
        <v>0</v>
      </c>
      <c r="W435" s="36"/>
      <c r="X435" s="38">
        <v>30000</v>
      </c>
      <c r="Y435" s="38" t="str">
        <f t="shared" si="25"/>
        <v>无需保养</v>
      </c>
      <c r="Z435" s="38">
        <f t="shared" si="26"/>
        <v>1</v>
      </c>
      <c r="AA435" s="164"/>
      <c r="AB435" s="164"/>
      <c r="AC435" s="164"/>
      <c r="AD435" s="164"/>
      <c r="AE435" s="164"/>
      <c r="AF435" s="164"/>
      <c r="AG435" s="164"/>
      <c r="AH435" s="164"/>
      <c r="AI435" s="164"/>
      <c r="AJ435" s="164"/>
      <c r="AK435" s="164"/>
      <c r="AL435" s="164"/>
      <c r="AM435" s="164"/>
      <c r="AN435" s="164"/>
      <c r="AO435" s="164"/>
      <c r="AP435" s="164"/>
      <c r="AQ435" s="164"/>
      <c r="AR435" s="164"/>
      <c r="AS435" s="164"/>
      <c r="AT435" s="164"/>
      <c r="AU435" s="164"/>
      <c r="AV435" s="164"/>
      <c r="AW435" s="164"/>
      <c r="AX435" s="164"/>
      <c r="AY435" s="164"/>
      <c r="AZ435" s="164"/>
      <c r="BA435" s="164"/>
      <c r="BB435" s="164"/>
      <c r="BC435" s="164"/>
      <c r="BD435" s="164"/>
    </row>
    <row r="436" spans="1:56" ht="14.25" customHeight="1">
      <c r="A436" s="2">
        <v>434</v>
      </c>
      <c r="B436" s="112" t="s">
        <v>1012</v>
      </c>
      <c r="C436" s="72" t="s">
        <v>1013</v>
      </c>
      <c r="D436" s="148" t="s">
        <v>1014</v>
      </c>
      <c r="E436" s="72">
        <v>1</v>
      </c>
      <c r="F436" s="72">
        <v>1</v>
      </c>
      <c r="G436" s="70" t="s">
        <v>995</v>
      </c>
      <c r="H436" s="125"/>
      <c r="I436" s="37">
        <f t="shared" si="27"/>
        <v>0</v>
      </c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>
        <f t="shared" si="24"/>
        <v>0</v>
      </c>
      <c r="W436" s="36"/>
      <c r="X436" s="38">
        <v>30000</v>
      </c>
      <c r="Y436" s="38" t="str">
        <f t="shared" si="25"/>
        <v>无需保养</v>
      </c>
      <c r="Z436" s="38">
        <f t="shared" si="26"/>
        <v>1</v>
      </c>
      <c r="AA436" s="164"/>
      <c r="AB436" s="164"/>
      <c r="AC436" s="164"/>
      <c r="AD436" s="164"/>
      <c r="AE436" s="164"/>
      <c r="AF436" s="164"/>
      <c r="AG436" s="164"/>
      <c r="AH436" s="164"/>
      <c r="AI436" s="164"/>
      <c r="AJ436" s="164"/>
      <c r="AK436" s="164"/>
      <c r="AL436" s="164"/>
      <c r="AM436" s="164"/>
      <c r="AN436" s="164"/>
      <c r="AO436" s="164"/>
      <c r="AP436" s="164"/>
      <c r="AQ436" s="164"/>
      <c r="AR436" s="164"/>
      <c r="AS436" s="164"/>
      <c r="AT436" s="164"/>
      <c r="AU436" s="164"/>
      <c r="AV436" s="164"/>
      <c r="AW436" s="164"/>
      <c r="AX436" s="164"/>
      <c r="AY436" s="164"/>
      <c r="AZ436" s="164"/>
      <c r="BA436" s="164"/>
      <c r="BB436" s="164"/>
      <c r="BC436" s="164"/>
      <c r="BD436" s="164"/>
    </row>
    <row r="437" spans="1:56" ht="14.25" customHeight="1">
      <c r="A437" s="2">
        <v>435</v>
      </c>
      <c r="B437" s="71" t="s">
        <v>1015</v>
      </c>
      <c r="C437" s="72" t="s">
        <v>1016</v>
      </c>
      <c r="D437" s="72" t="s">
        <v>734</v>
      </c>
      <c r="E437" s="72">
        <v>4</v>
      </c>
      <c r="F437" s="72">
        <v>4</v>
      </c>
      <c r="G437" s="70" t="s">
        <v>978</v>
      </c>
      <c r="H437" s="125"/>
      <c r="I437" s="37">
        <f t="shared" si="27"/>
        <v>0</v>
      </c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>
        <f t="shared" si="24"/>
        <v>0</v>
      </c>
      <c r="W437" s="36"/>
      <c r="X437" s="38">
        <v>30000</v>
      </c>
      <c r="Y437" s="38" t="str">
        <f t="shared" si="25"/>
        <v>无需保养</v>
      </c>
      <c r="Z437" s="38">
        <f t="shared" si="26"/>
        <v>1</v>
      </c>
      <c r="AA437" s="164"/>
      <c r="AB437" s="164"/>
      <c r="AC437" s="164"/>
      <c r="AD437" s="164"/>
      <c r="AE437" s="164"/>
      <c r="AF437" s="164"/>
      <c r="AG437" s="164"/>
      <c r="AH437" s="164"/>
      <c r="AI437" s="164"/>
      <c r="AJ437" s="164"/>
      <c r="AK437" s="164"/>
      <c r="AL437" s="164"/>
      <c r="AM437" s="164"/>
      <c r="AN437" s="164"/>
      <c r="AO437" s="164"/>
      <c r="AP437" s="164"/>
      <c r="AQ437" s="164"/>
      <c r="AR437" s="164"/>
      <c r="AS437" s="164"/>
      <c r="AT437" s="164"/>
      <c r="AU437" s="164"/>
      <c r="AV437" s="164"/>
      <c r="AW437" s="164"/>
      <c r="AX437" s="164"/>
      <c r="AY437" s="164"/>
      <c r="AZ437" s="164"/>
      <c r="BA437" s="164"/>
      <c r="BB437" s="164"/>
      <c r="BC437" s="164"/>
      <c r="BD437" s="164"/>
    </row>
    <row r="438" spans="1:56" ht="14.25" customHeight="1">
      <c r="A438" s="2">
        <v>436</v>
      </c>
      <c r="B438" s="71" t="s">
        <v>1017</v>
      </c>
      <c r="C438" s="72" t="s">
        <v>1018</v>
      </c>
      <c r="D438" s="72" t="s">
        <v>1019</v>
      </c>
      <c r="E438" s="72">
        <v>2</v>
      </c>
      <c r="F438" s="72">
        <v>2</v>
      </c>
      <c r="G438" s="70" t="s">
        <v>984</v>
      </c>
      <c r="H438" s="125"/>
      <c r="I438" s="37">
        <f t="shared" si="27"/>
        <v>0</v>
      </c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>
        <f t="shared" si="24"/>
        <v>0</v>
      </c>
      <c r="W438" s="36"/>
      <c r="X438" s="38">
        <v>30000</v>
      </c>
      <c r="Y438" s="38" t="str">
        <f t="shared" si="25"/>
        <v>无需保养</v>
      </c>
      <c r="Z438" s="38">
        <f t="shared" si="26"/>
        <v>2</v>
      </c>
      <c r="AA438" s="164"/>
      <c r="AB438" s="164"/>
      <c r="AC438" s="164"/>
      <c r="AD438" s="164"/>
      <c r="AE438" s="164"/>
      <c r="AF438" s="164"/>
      <c r="AG438" s="164"/>
      <c r="AH438" s="164"/>
      <c r="AI438" s="164"/>
      <c r="AJ438" s="164"/>
      <c r="AK438" s="164"/>
      <c r="AL438" s="164"/>
      <c r="AM438" s="164"/>
      <c r="AN438" s="164"/>
      <c r="AO438" s="164"/>
      <c r="AP438" s="164"/>
      <c r="AQ438" s="164"/>
      <c r="AR438" s="164"/>
      <c r="AS438" s="164"/>
      <c r="AT438" s="164"/>
      <c r="AU438" s="164"/>
      <c r="AV438" s="164"/>
      <c r="AW438" s="164"/>
      <c r="AX438" s="164"/>
      <c r="AY438" s="164"/>
      <c r="AZ438" s="164"/>
      <c r="BA438" s="164"/>
      <c r="BB438" s="164"/>
      <c r="BC438" s="164"/>
      <c r="BD438" s="164"/>
    </row>
    <row r="439" spans="1:56" ht="14.25" customHeight="1">
      <c r="A439" s="2">
        <v>437</v>
      </c>
      <c r="B439" s="71" t="s">
        <v>1020</v>
      </c>
      <c r="C439" s="72" t="s">
        <v>1021</v>
      </c>
      <c r="D439" s="72" t="s">
        <v>1022</v>
      </c>
      <c r="E439" s="72">
        <v>2</v>
      </c>
      <c r="F439" s="72">
        <v>2</v>
      </c>
      <c r="G439" s="70" t="s">
        <v>1023</v>
      </c>
      <c r="H439" s="125"/>
      <c r="I439" s="37">
        <f t="shared" si="27"/>
        <v>0</v>
      </c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>
        <f t="shared" si="24"/>
        <v>0</v>
      </c>
      <c r="W439" s="36"/>
      <c r="X439" s="38">
        <v>30000</v>
      </c>
      <c r="Y439" s="38" t="str">
        <f t="shared" si="25"/>
        <v>无需保养</v>
      </c>
      <c r="Z439" s="38">
        <f t="shared" si="26"/>
        <v>1</v>
      </c>
      <c r="AA439" s="164"/>
      <c r="AB439" s="164"/>
      <c r="AC439" s="164"/>
      <c r="AD439" s="164"/>
      <c r="AE439" s="164"/>
      <c r="AF439" s="164"/>
      <c r="AG439" s="164"/>
      <c r="AH439" s="164"/>
      <c r="AI439" s="164"/>
      <c r="AJ439" s="164"/>
      <c r="AK439" s="164"/>
      <c r="AL439" s="164"/>
      <c r="AM439" s="164"/>
      <c r="AN439" s="164"/>
      <c r="AO439" s="164"/>
      <c r="AP439" s="164"/>
      <c r="AQ439" s="164"/>
      <c r="AR439" s="164"/>
      <c r="AS439" s="164"/>
      <c r="AT439" s="164"/>
      <c r="AU439" s="164"/>
      <c r="AV439" s="164"/>
      <c r="AW439" s="164"/>
      <c r="AX439" s="164"/>
      <c r="AY439" s="164"/>
      <c r="AZ439" s="164"/>
      <c r="BA439" s="164"/>
      <c r="BB439" s="164"/>
      <c r="BC439" s="164"/>
      <c r="BD439" s="164"/>
    </row>
    <row r="440" spans="1:56" ht="14.25" customHeight="1">
      <c r="A440" s="2">
        <v>438</v>
      </c>
      <c r="B440" s="75" t="s">
        <v>1024</v>
      </c>
      <c r="C440" s="72" t="s">
        <v>1025</v>
      </c>
      <c r="D440" s="72" t="s">
        <v>1026</v>
      </c>
      <c r="E440" s="72">
        <v>2</v>
      </c>
      <c r="F440" s="72">
        <v>2</v>
      </c>
      <c r="G440" s="70" t="s">
        <v>984</v>
      </c>
      <c r="H440" s="125"/>
      <c r="I440" s="37">
        <f t="shared" si="27"/>
        <v>0</v>
      </c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>
        <f t="shared" si="24"/>
        <v>0</v>
      </c>
      <c r="W440" s="36"/>
      <c r="X440" s="38">
        <v>30000</v>
      </c>
      <c r="Y440" s="38" t="str">
        <f t="shared" si="25"/>
        <v>无需保养</v>
      </c>
      <c r="Z440" s="38">
        <f t="shared" si="26"/>
        <v>1</v>
      </c>
      <c r="AA440" s="164"/>
      <c r="AB440" s="164"/>
      <c r="AC440" s="164"/>
      <c r="AD440" s="164"/>
      <c r="AE440" s="164"/>
      <c r="AF440" s="164"/>
      <c r="AG440" s="164"/>
      <c r="AH440" s="164"/>
      <c r="AI440" s="164"/>
      <c r="AJ440" s="164"/>
      <c r="AK440" s="164"/>
      <c r="AL440" s="164"/>
      <c r="AM440" s="164"/>
      <c r="AN440" s="164"/>
      <c r="AO440" s="164"/>
      <c r="AP440" s="164"/>
      <c r="AQ440" s="164"/>
      <c r="AR440" s="164"/>
      <c r="AS440" s="164"/>
      <c r="AT440" s="164"/>
      <c r="AU440" s="164"/>
      <c r="AV440" s="164"/>
      <c r="AW440" s="164"/>
      <c r="AX440" s="164"/>
      <c r="AY440" s="164"/>
      <c r="AZ440" s="164"/>
      <c r="BA440" s="164"/>
      <c r="BB440" s="164"/>
      <c r="BC440" s="164"/>
      <c r="BD440" s="164"/>
    </row>
    <row r="441" spans="1:56" ht="14.25" customHeight="1">
      <c r="A441" s="2">
        <v>439</v>
      </c>
      <c r="B441" s="71" t="s">
        <v>1027</v>
      </c>
      <c r="C441" s="72" t="s">
        <v>1028</v>
      </c>
      <c r="D441" s="72" t="s">
        <v>1029</v>
      </c>
      <c r="E441" s="73">
        <v>1</v>
      </c>
      <c r="F441" s="73">
        <v>1</v>
      </c>
      <c r="G441" s="70" t="s">
        <v>984</v>
      </c>
      <c r="H441" s="125"/>
      <c r="I441" s="37">
        <f t="shared" si="27"/>
        <v>0</v>
      </c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>
        <f t="shared" si="24"/>
        <v>0</v>
      </c>
      <c r="W441" s="36"/>
      <c r="X441" s="38">
        <v>30000</v>
      </c>
      <c r="Y441" s="38" t="str">
        <f t="shared" si="25"/>
        <v>无需保养</v>
      </c>
      <c r="Z441" s="38">
        <f t="shared" si="26"/>
        <v>1</v>
      </c>
      <c r="AA441" s="164"/>
      <c r="AB441" s="164"/>
      <c r="AC441" s="164"/>
      <c r="AD441" s="164"/>
      <c r="AE441" s="164"/>
      <c r="AF441" s="164"/>
      <c r="AG441" s="164"/>
      <c r="AH441" s="164"/>
      <c r="AI441" s="164"/>
      <c r="AJ441" s="164"/>
      <c r="AK441" s="164"/>
      <c r="AL441" s="164"/>
      <c r="AM441" s="164"/>
      <c r="AN441" s="164"/>
      <c r="AO441" s="164"/>
      <c r="AP441" s="164"/>
      <c r="AQ441" s="164"/>
      <c r="AR441" s="164"/>
      <c r="AS441" s="164"/>
      <c r="AT441" s="164"/>
      <c r="AU441" s="164"/>
      <c r="AV441" s="164"/>
      <c r="AW441" s="164"/>
      <c r="AX441" s="164"/>
      <c r="AY441" s="164"/>
      <c r="AZ441" s="164"/>
      <c r="BA441" s="164"/>
      <c r="BB441" s="164"/>
      <c r="BC441" s="164"/>
      <c r="BD441" s="164"/>
    </row>
    <row r="442" spans="1:56" ht="14.25" customHeight="1">
      <c r="A442" s="2">
        <v>440</v>
      </c>
      <c r="B442" s="71" t="s">
        <v>1030</v>
      </c>
      <c r="C442" s="117" t="s">
        <v>1031</v>
      </c>
      <c r="D442" s="72" t="s">
        <v>1032</v>
      </c>
      <c r="E442" s="72">
        <v>2</v>
      </c>
      <c r="F442" s="72">
        <v>2</v>
      </c>
      <c r="G442" s="70" t="s">
        <v>984</v>
      </c>
      <c r="H442" s="125"/>
      <c r="I442" s="37">
        <f t="shared" si="27"/>
        <v>0</v>
      </c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>
        <f t="shared" si="24"/>
        <v>0</v>
      </c>
      <c r="W442" s="36"/>
      <c r="X442" s="38">
        <v>30000</v>
      </c>
      <c r="Y442" s="38" t="str">
        <f t="shared" si="25"/>
        <v>无需保养</v>
      </c>
      <c r="Z442" s="38">
        <f t="shared" si="26"/>
        <v>1</v>
      </c>
      <c r="AA442" s="164"/>
      <c r="AB442" s="164"/>
      <c r="AC442" s="164"/>
      <c r="AD442" s="164"/>
      <c r="AE442" s="164"/>
      <c r="AF442" s="164"/>
      <c r="AG442" s="164"/>
      <c r="AH442" s="164"/>
      <c r="AI442" s="164"/>
      <c r="AJ442" s="164"/>
      <c r="AK442" s="164"/>
      <c r="AL442" s="164"/>
      <c r="AM442" s="164"/>
      <c r="AN442" s="164"/>
      <c r="AO442" s="164"/>
      <c r="AP442" s="164"/>
      <c r="AQ442" s="164"/>
      <c r="AR442" s="164"/>
      <c r="AS442" s="164"/>
      <c r="AT442" s="164"/>
      <c r="AU442" s="164"/>
      <c r="AV442" s="164"/>
      <c r="AW442" s="164"/>
      <c r="AX442" s="164"/>
      <c r="AY442" s="164"/>
      <c r="AZ442" s="164"/>
      <c r="BA442" s="164"/>
      <c r="BB442" s="164"/>
      <c r="BC442" s="164"/>
      <c r="BD442" s="164"/>
    </row>
    <row r="443" spans="1:56" ht="14.25" customHeight="1">
      <c r="A443" s="2">
        <v>441</v>
      </c>
      <c r="B443" s="71" t="s">
        <v>1033</v>
      </c>
      <c r="C443" s="117" t="s">
        <v>1034</v>
      </c>
      <c r="D443" s="72" t="s">
        <v>1035</v>
      </c>
      <c r="E443" s="72">
        <v>8</v>
      </c>
      <c r="F443" s="72">
        <v>8</v>
      </c>
      <c r="G443" s="70" t="s">
        <v>984</v>
      </c>
      <c r="H443" s="125"/>
      <c r="I443" s="37">
        <f t="shared" si="27"/>
        <v>0</v>
      </c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>
        <f t="shared" si="24"/>
        <v>0</v>
      </c>
      <c r="W443" s="36"/>
      <c r="X443" s="38">
        <v>30000</v>
      </c>
      <c r="Y443" s="38" t="str">
        <f t="shared" si="25"/>
        <v>无需保养</v>
      </c>
      <c r="Z443" s="38">
        <f t="shared" si="26"/>
        <v>1</v>
      </c>
      <c r="AA443" s="164"/>
      <c r="AB443" s="164"/>
      <c r="AC443" s="164"/>
      <c r="AD443" s="164"/>
      <c r="AE443" s="164"/>
      <c r="AF443" s="164"/>
      <c r="AG443" s="164"/>
      <c r="AH443" s="164"/>
      <c r="AI443" s="164"/>
      <c r="AJ443" s="164"/>
      <c r="AK443" s="164"/>
      <c r="AL443" s="164"/>
      <c r="AM443" s="164"/>
      <c r="AN443" s="164"/>
      <c r="AO443" s="164"/>
      <c r="AP443" s="164"/>
      <c r="AQ443" s="164"/>
      <c r="AR443" s="164"/>
      <c r="AS443" s="164"/>
      <c r="AT443" s="164"/>
      <c r="AU443" s="164"/>
      <c r="AV443" s="164"/>
      <c r="AW443" s="164"/>
      <c r="AX443" s="164"/>
      <c r="AY443" s="164"/>
      <c r="AZ443" s="164"/>
      <c r="BA443" s="164"/>
      <c r="BB443" s="164"/>
      <c r="BC443" s="164"/>
      <c r="BD443" s="164"/>
    </row>
    <row r="444" spans="1:56" ht="14.25" customHeight="1">
      <c r="A444" s="2">
        <v>442</v>
      </c>
      <c r="B444" s="71" t="s">
        <v>1036</v>
      </c>
      <c r="C444" s="117" t="s">
        <v>1037</v>
      </c>
      <c r="D444" s="72" t="s">
        <v>1038</v>
      </c>
      <c r="E444" s="72">
        <v>2</v>
      </c>
      <c r="F444" s="72">
        <v>2</v>
      </c>
      <c r="G444" s="70" t="s">
        <v>984</v>
      </c>
      <c r="H444" s="125"/>
      <c r="I444" s="37">
        <f t="shared" si="27"/>
        <v>0</v>
      </c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>
        <f t="shared" si="24"/>
        <v>0</v>
      </c>
      <c r="W444" s="36"/>
      <c r="X444" s="38">
        <v>30000</v>
      </c>
      <c r="Y444" s="38" t="str">
        <f t="shared" si="25"/>
        <v>无需保养</v>
      </c>
      <c r="Z444" s="38">
        <f t="shared" si="26"/>
        <v>1</v>
      </c>
      <c r="AA444" s="164"/>
      <c r="AB444" s="164"/>
      <c r="AC444" s="164"/>
      <c r="AD444" s="164"/>
      <c r="AE444" s="164"/>
      <c r="AF444" s="164"/>
      <c r="AG444" s="164"/>
      <c r="AH444" s="164"/>
      <c r="AI444" s="164"/>
      <c r="AJ444" s="164"/>
      <c r="AK444" s="164"/>
      <c r="AL444" s="164"/>
      <c r="AM444" s="164"/>
      <c r="AN444" s="164"/>
      <c r="AO444" s="164"/>
      <c r="AP444" s="164"/>
      <c r="AQ444" s="164"/>
      <c r="AR444" s="164"/>
      <c r="AS444" s="164"/>
      <c r="AT444" s="164"/>
      <c r="AU444" s="164"/>
      <c r="AV444" s="164"/>
      <c r="AW444" s="164"/>
      <c r="AX444" s="164"/>
      <c r="AY444" s="164"/>
      <c r="AZ444" s="164"/>
      <c r="BA444" s="164"/>
      <c r="BB444" s="164"/>
      <c r="BC444" s="164"/>
      <c r="BD444" s="164"/>
    </row>
    <row r="445" spans="1:56" ht="14.25" customHeight="1">
      <c r="A445" s="2">
        <v>443</v>
      </c>
      <c r="B445" s="71" t="s">
        <v>1039</v>
      </c>
      <c r="C445" s="117" t="s">
        <v>1040</v>
      </c>
      <c r="D445" s="72" t="s">
        <v>734</v>
      </c>
      <c r="E445" s="72">
        <v>4</v>
      </c>
      <c r="F445" s="72">
        <v>4</v>
      </c>
      <c r="G445" s="70" t="s">
        <v>978</v>
      </c>
      <c r="H445" s="125"/>
      <c r="I445" s="37">
        <f t="shared" si="27"/>
        <v>0</v>
      </c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>
        <f t="shared" si="24"/>
        <v>0</v>
      </c>
      <c r="W445" s="36"/>
      <c r="X445" s="38">
        <v>30000</v>
      </c>
      <c r="Y445" s="38" t="str">
        <f t="shared" si="25"/>
        <v>无需保养</v>
      </c>
      <c r="Z445" s="38">
        <f t="shared" si="26"/>
        <v>1</v>
      </c>
      <c r="AA445" s="164"/>
      <c r="AB445" s="164"/>
      <c r="AC445" s="164"/>
      <c r="AD445" s="164"/>
      <c r="AE445" s="164"/>
      <c r="AF445" s="164"/>
      <c r="AG445" s="164"/>
      <c r="AH445" s="164"/>
      <c r="AI445" s="164"/>
      <c r="AJ445" s="164"/>
      <c r="AK445" s="164"/>
      <c r="AL445" s="164"/>
      <c r="AM445" s="164"/>
      <c r="AN445" s="164"/>
      <c r="AO445" s="164"/>
      <c r="AP445" s="164"/>
      <c r="AQ445" s="164"/>
      <c r="AR445" s="164"/>
      <c r="AS445" s="164"/>
      <c r="AT445" s="164"/>
      <c r="AU445" s="164"/>
      <c r="AV445" s="164"/>
      <c r="AW445" s="164"/>
      <c r="AX445" s="164"/>
      <c r="AY445" s="164"/>
      <c r="AZ445" s="164"/>
      <c r="BA445" s="164"/>
      <c r="BB445" s="164"/>
      <c r="BC445" s="164"/>
      <c r="BD445" s="164"/>
    </row>
    <row r="446" spans="1:56" ht="14.25" customHeight="1">
      <c r="A446" s="2">
        <v>444</v>
      </c>
      <c r="B446" s="71" t="s">
        <v>1041</v>
      </c>
      <c r="C446" s="117" t="s">
        <v>1042</v>
      </c>
      <c r="D446" s="72" t="s">
        <v>1043</v>
      </c>
      <c r="E446" s="72">
        <v>4</v>
      </c>
      <c r="F446" s="72">
        <v>4</v>
      </c>
      <c r="G446" s="70" t="s">
        <v>978</v>
      </c>
      <c r="H446" s="125"/>
      <c r="I446" s="37">
        <f t="shared" si="27"/>
        <v>0</v>
      </c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>
        <f t="shared" si="24"/>
        <v>0</v>
      </c>
      <c r="W446" s="36"/>
      <c r="X446" s="38">
        <v>30000</v>
      </c>
      <c r="Y446" s="38" t="str">
        <f t="shared" si="25"/>
        <v>无需保养</v>
      </c>
      <c r="Z446" s="38">
        <f t="shared" si="26"/>
        <v>1</v>
      </c>
      <c r="AA446" s="164"/>
      <c r="AB446" s="164"/>
      <c r="AC446" s="164"/>
      <c r="AD446" s="164"/>
      <c r="AE446" s="164"/>
      <c r="AF446" s="164"/>
      <c r="AG446" s="164"/>
      <c r="AH446" s="164"/>
      <c r="AI446" s="164"/>
      <c r="AJ446" s="164"/>
      <c r="AK446" s="164"/>
      <c r="AL446" s="164"/>
      <c r="AM446" s="164"/>
      <c r="AN446" s="164"/>
      <c r="AO446" s="164"/>
      <c r="AP446" s="164"/>
      <c r="AQ446" s="164"/>
      <c r="AR446" s="164"/>
      <c r="AS446" s="164"/>
      <c r="AT446" s="164"/>
      <c r="AU446" s="164"/>
      <c r="AV446" s="164"/>
      <c r="AW446" s="164"/>
      <c r="AX446" s="164"/>
      <c r="AY446" s="164"/>
      <c r="AZ446" s="164"/>
      <c r="BA446" s="164"/>
      <c r="BB446" s="164"/>
      <c r="BC446" s="164"/>
      <c r="BD446" s="164"/>
    </row>
    <row r="447" spans="1:56" ht="14.25" customHeight="1">
      <c r="A447" s="2">
        <v>445</v>
      </c>
      <c r="B447" s="71" t="s">
        <v>1044</v>
      </c>
      <c r="C447" s="117" t="s">
        <v>1045</v>
      </c>
      <c r="D447" s="72" t="s">
        <v>1046</v>
      </c>
      <c r="E447" s="73">
        <v>2</v>
      </c>
      <c r="F447" s="73">
        <v>2</v>
      </c>
      <c r="G447" s="70" t="s">
        <v>978</v>
      </c>
      <c r="H447" s="125"/>
      <c r="I447" s="37">
        <f t="shared" si="27"/>
        <v>0</v>
      </c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>
        <f t="shared" si="24"/>
        <v>0</v>
      </c>
      <c r="W447" s="36"/>
      <c r="X447" s="38">
        <v>30000</v>
      </c>
      <c r="Y447" s="38" t="str">
        <f t="shared" si="25"/>
        <v>无需保养</v>
      </c>
      <c r="Z447" s="38">
        <f t="shared" si="26"/>
        <v>1</v>
      </c>
      <c r="AA447" s="164"/>
      <c r="AB447" s="164"/>
      <c r="AC447" s="164"/>
      <c r="AD447" s="164"/>
      <c r="AE447" s="164"/>
      <c r="AF447" s="164"/>
      <c r="AG447" s="164"/>
      <c r="AH447" s="164"/>
      <c r="AI447" s="164"/>
      <c r="AJ447" s="164"/>
      <c r="AK447" s="164"/>
      <c r="AL447" s="164"/>
      <c r="AM447" s="164"/>
      <c r="AN447" s="164"/>
      <c r="AO447" s="164"/>
      <c r="AP447" s="164"/>
      <c r="AQ447" s="164"/>
      <c r="AR447" s="164"/>
      <c r="AS447" s="164"/>
      <c r="AT447" s="164"/>
      <c r="AU447" s="164"/>
      <c r="AV447" s="164"/>
      <c r="AW447" s="164"/>
      <c r="AX447" s="164"/>
      <c r="AY447" s="164"/>
      <c r="AZ447" s="164"/>
      <c r="BA447" s="164"/>
      <c r="BB447" s="164"/>
      <c r="BC447" s="164"/>
      <c r="BD447" s="164"/>
    </row>
    <row r="448" spans="1:56" ht="14.25" customHeight="1">
      <c r="A448" s="2">
        <v>446</v>
      </c>
      <c r="B448" s="71" t="s">
        <v>1047</v>
      </c>
      <c r="C448" s="117" t="s">
        <v>1048</v>
      </c>
      <c r="D448" s="72" t="s">
        <v>1049</v>
      </c>
      <c r="E448" s="72">
        <v>2</v>
      </c>
      <c r="F448" s="72">
        <v>2</v>
      </c>
      <c r="G448" s="70" t="s">
        <v>978</v>
      </c>
      <c r="H448" s="125"/>
      <c r="I448" s="37">
        <f t="shared" si="27"/>
        <v>0</v>
      </c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>
        <f t="shared" si="24"/>
        <v>0</v>
      </c>
      <c r="W448" s="36"/>
      <c r="X448" s="38">
        <v>30000</v>
      </c>
      <c r="Y448" s="38" t="str">
        <f t="shared" si="25"/>
        <v>无需保养</v>
      </c>
      <c r="Z448" s="38">
        <f t="shared" si="26"/>
        <v>1</v>
      </c>
      <c r="AA448" s="164"/>
      <c r="AB448" s="164"/>
      <c r="AC448" s="164"/>
      <c r="AD448" s="164"/>
      <c r="AE448" s="164"/>
      <c r="AF448" s="164"/>
      <c r="AG448" s="164"/>
      <c r="AH448" s="164"/>
      <c r="AI448" s="164"/>
      <c r="AJ448" s="164"/>
      <c r="AK448" s="164"/>
      <c r="AL448" s="164"/>
      <c r="AM448" s="164"/>
      <c r="AN448" s="164"/>
      <c r="AO448" s="164"/>
      <c r="AP448" s="164"/>
      <c r="AQ448" s="164"/>
      <c r="AR448" s="164"/>
      <c r="AS448" s="164"/>
      <c r="AT448" s="164"/>
      <c r="AU448" s="164"/>
      <c r="AV448" s="164"/>
      <c r="AW448" s="164"/>
      <c r="AX448" s="164"/>
      <c r="AY448" s="164"/>
      <c r="AZ448" s="164"/>
      <c r="BA448" s="164"/>
      <c r="BB448" s="164"/>
      <c r="BC448" s="164"/>
      <c r="BD448" s="164"/>
    </row>
    <row r="449" spans="1:56" ht="14.25" customHeight="1">
      <c r="A449" s="2">
        <v>447</v>
      </c>
      <c r="B449" s="71" t="s">
        <v>1050</v>
      </c>
      <c r="C449" s="117" t="s">
        <v>1051</v>
      </c>
      <c r="D449" s="72" t="s">
        <v>1052</v>
      </c>
      <c r="E449" s="72">
        <v>4</v>
      </c>
      <c r="F449" s="72">
        <v>4</v>
      </c>
      <c r="G449" s="70" t="s">
        <v>978</v>
      </c>
      <c r="H449" s="125"/>
      <c r="I449" s="37">
        <f t="shared" si="27"/>
        <v>0</v>
      </c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>
        <f t="shared" si="24"/>
        <v>0</v>
      </c>
      <c r="W449" s="36"/>
      <c r="X449" s="38">
        <v>30000</v>
      </c>
      <c r="Y449" s="38" t="str">
        <f t="shared" si="25"/>
        <v>无需保养</v>
      </c>
      <c r="Z449" s="38">
        <f t="shared" si="26"/>
        <v>1</v>
      </c>
      <c r="AA449" s="164"/>
      <c r="AB449" s="164"/>
      <c r="AC449" s="164"/>
      <c r="AD449" s="164"/>
      <c r="AE449" s="164"/>
      <c r="AF449" s="164"/>
      <c r="AG449" s="164"/>
      <c r="AH449" s="164"/>
      <c r="AI449" s="164"/>
      <c r="AJ449" s="164"/>
      <c r="AK449" s="164"/>
      <c r="AL449" s="164"/>
      <c r="AM449" s="164"/>
      <c r="AN449" s="164"/>
      <c r="AO449" s="164"/>
      <c r="AP449" s="164"/>
      <c r="AQ449" s="164"/>
      <c r="AR449" s="164"/>
      <c r="AS449" s="164"/>
      <c r="AT449" s="164"/>
      <c r="AU449" s="164"/>
      <c r="AV449" s="164"/>
      <c r="AW449" s="164"/>
      <c r="AX449" s="164"/>
      <c r="AY449" s="164"/>
      <c r="AZ449" s="164"/>
      <c r="BA449" s="164"/>
      <c r="BB449" s="164"/>
      <c r="BC449" s="164"/>
      <c r="BD449" s="164"/>
    </row>
    <row r="450" spans="1:56" ht="14.25" customHeight="1">
      <c r="A450" s="2">
        <v>448</v>
      </c>
      <c r="B450" s="71" t="s">
        <v>1053</v>
      </c>
      <c r="C450" s="117" t="s">
        <v>1054</v>
      </c>
      <c r="D450" s="72" t="s">
        <v>709</v>
      </c>
      <c r="E450" s="72">
        <v>1</v>
      </c>
      <c r="F450" s="72">
        <v>1</v>
      </c>
      <c r="G450" s="70" t="s">
        <v>978</v>
      </c>
      <c r="H450" s="125"/>
      <c r="I450" s="37">
        <f t="shared" si="27"/>
        <v>0</v>
      </c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>
        <f t="shared" si="24"/>
        <v>0</v>
      </c>
      <c r="W450" s="36"/>
      <c r="X450" s="38">
        <v>30000</v>
      </c>
      <c r="Y450" s="38" t="str">
        <f t="shared" si="25"/>
        <v>无需保养</v>
      </c>
      <c r="Z450" s="38">
        <f t="shared" si="26"/>
        <v>1</v>
      </c>
      <c r="AA450" s="164"/>
      <c r="AB450" s="164"/>
      <c r="AC450" s="164"/>
      <c r="AD450" s="164"/>
      <c r="AE450" s="164"/>
      <c r="AF450" s="164"/>
      <c r="AG450" s="164"/>
      <c r="AH450" s="164"/>
      <c r="AI450" s="164"/>
      <c r="AJ450" s="164"/>
      <c r="AK450" s="164"/>
      <c r="AL450" s="164"/>
      <c r="AM450" s="164"/>
      <c r="AN450" s="164"/>
      <c r="AO450" s="164"/>
      <c r="AP450" s="164"/>
      <c r="AQ450" s="164"/>
      <c r="AR450" s="164"/>
      <c r="AS450" s="164"/>
      <c r="AT450" s="164"/>
      <c r="AU450" s="164"/>
      <c r="AV450" s="164"/>
      <c r="AW450" s="164"/>
      <c r="AX450" s="164"/>
      <c r="AY450" s="164"/>
      <c r="AZ450" s="164"/>
      <c r="BA450" s="164"/>
      <c r="BB450" s="164"/>
      <c r="BC450" s="164"/>
      <c r="BD450" s="164"/>
    </row>
    <row r="451" spans="1:56" ht="14.25" customHeight="1">
      <c r="A451" s="2">
        <v>449</v>
      </c>
      <c r="B451" s="71" t="s">
        <v>1055</v>
      </c>
      <c r="C451" s="117" t="s">
        <v>1056</v>
      </c>
      <c r="D451" s="72" t="s">
        <v>1057</v>
      </c>
      <c r="E451" s="73">
        <v>1</v>
      </c>
      <c r="F451" s="73">
        <v>1</v>
      </c>
      <c r="G451" s="70" t="s">
        <v>1058</v>
      </c>
      <c r="H451" s="125"/>
      <c r="I451" s="37">
        <f t="shared" si="27"/>
        <v>0</v>
      </c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>
        <f t="shared" si="24"/>
        <v>0</v>
      </c>
      <c r="W451" s="36"/>
      <c r="X451" s="38">
        <v>30000</v>
      </c>
      <c r="Y451" s="38" t="str">
        <f t="shared" si="25"/>
        <v>无需保养</v>
      </c>
      <c r="Z451" s="38">
        <f t="shared" si="26"/>
        <v>1</v>
      </c>
      <c r="AA451" s="164"/>
      <c r="AB451" s="164"/>
      <c r="AC451" s="164"/>
      <c r="AD451" s="164"/>
      <c r="AE451" s="164"/>
      <c r="AF451" s="164"/>
      <c r="AG451" s="164"/>
      <c r="AH451" s="164"/>
      <c r="AI451" s="164"/>
      <c r="AJ451" s="164"/>
      <c r="AK451" s="164"/>
      <c r="AL451" s="164"/>
      <c r="AM451" s="164"/>
      <c r="AN451" s="164"/>
      <c r="AO451" s="164"/>
      <c r="AP451" s="164"/>
      <c r="AQ451" s="164"/>
      <c r="AR451" s="164"/>
      <c r="AS451" s="164"/>
      <c r="AT451" s="164"/>
      <c r="AU451" s="164"/>
      <c r="AV451" s="164"/>
      <c r="AW451" s="164"/>
      <c r="AX451" s="164"/>
      <c r="AY451" s="164"/>
      <c r="AZ451" s="164"/>
      <c r="BA451" s="164"/>
      <c r="BB451" s="164"/>
      <c r="BC451" s="164"/>
      <c r="BD451" s="164"/>
    </row>
    <row r="452" spans="1:56" ht="14.25" customHeight="1">
      <c r="A452" s="2">
        <v>450</v>
      </c>
      <c r="B452" s="71" t="s">
        <v>1059</v>
      </c>
      <c r="C452" s="117" t="s">
        <v>1060</v>
      </c>
      <c r="D452" s="72" t="s">
        <v>1061</v>
      </c>
      <c r="E452" s="72">
        <v>2</v>
      </c>
      <c r="F452" s="72">
        <v>2</v>
      </c>
      <c r="G452" s="70" t="s">
        <v>1058</v>
      </c>
      <c r="H452" s="125"/>
      <c r="I452" s="37">
        <f t="shared" si="27"/>
        <v>0</v>
      </c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>
        <f t="shared" si="24"/>
        <v>0</v>
      </c>
      <c r="W452" s="36"/>
      <c r="X452" s="38">
        <v>30000</v>
      </c>
      <c r="Y452" s="38" t="str">
        <f t="shared" si="25"/>
        <v>无需保养</v>
      </c>
      <c r="Z452" s="38">
        <f t="shared" si="26"/>
        <v>1</v>
      </c>
      <c r="AA452" s="164"/>
      <c r="AB452" s="164"/>
      <c r="AC452" s="164"/>
      <c r="AD452" s="164"/>
      <c r="AE452" s="164"/>
      <c r="AF452" s="164"/>
      <c r="AG452" s="164"/>
      <c r="AH452" s="164"/>
      <c r="AI452" s="164"/>
      <c r="AJ452" s="164"/>
      <c r="AK452" s="164"/>
      <c r="AL452" s="164"/>
      <c r="AM452" s="164"/>
      <c r="AN452" s="164"/>
      <c r="AO452" s="164"/>
      <c r="AP452" s="164"/>
      <c r="AQ452" s="164"/>
      <c r="AR452" s="164"/>
      <c r="AS452" s="164"/>
      <c r="AT452" s="164"/>
      <c r="AU452" s="164"/>
      <c r="AV452" s="164"/>
      <c r="AW452" s="164"/>
      <c r="AX452" s="164"/>
      <c r="AY452" s="164"/>
      <c r="AZ452" s="164"/>
      <c r="BA452" s="164"/>
      <c r="BB452" s="164"/>
      <c r="BC452" s="164"/>
      <c r="BD452" s="164"/>
    </row>
    <row r="453" spans="1:56" ht="14.25" customHeight="1">
      <c r="A453" s="2">
        <v>451</v>
      </c>
      <c r="B453" s="71" t="s">
        <v>1062</v>
      </c>
      <c r="C453" s="117" t="s">
        <v>1063</v>
      </c>
      <c r="D453" s="72" t="s">
        <v>1064</v>
      </c>
      <c r="E453" s="72">
        <v>2</v>
      </c>
      <c r="F453" s="72">
        <v>2</v>
      </c>
      <c r="G453" s="70" t="s">
        <v>1058</v>
      </c>
      <c r="H453" s="125"/>
      <c r="I453" s="37">
        <f t="shared" si="27"/>
        <v>0</v>
      </c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>
        <f t="shared" ref="V453:V516" si="28">I453/F453</f>
        <v>0</v>
      </c>
      <c r="W453" s="36"/>
      <c r="X453" s="38">
        <v>30000</v>
      </c>
      <c r="Y453" s="38" t="str">
        <f t="shared" ref="Y453:Y516" si="29">IF(OR(AND(W453&lt;&gt;0,QUOTIENT(V453,X453)&gt;=1,(MOD(V453,X453)/X453)&gt;=0.9,(QUOTIENT(V453,X453)+1)&gt;W453),AND(QUOTIENT(V453,X453)=0,MOD(V453,X453)/X453&gt;=0.9,(QUOTIENT(V453,X453)+1)&gt;W453),QUOTIENT(V453,X453)&gt;W453),"保养","无需保养")</f>
        <v>无需保养</v>
      </c>
      <c r="Z453" s="38">
        <f t="shared" ref="Z453:Z516" si="30">COUNTIF($C$5:$C$542,C453)</f>
        <v>1</v>
      </c>
      <c r="AA453" s="164"/>
      <c r="AB453" s="164"/>
      <c r="AC453" s="164"/>
      <c r="AD453" s="164"/>
      <c r="AE453" s="164"/>
      <c r="AF453" s="164"/>
      <c r="AG453" s="164"/>
      <c r="AH453" s="164"/>
      <c r="AI453" s="164"/>
      <c r="AJ453" s="164"/>
      <c r="AK453" s="164"/>
      <c r="AL453" s="164"/>
      <c r="AM453" s="164"/>
      <c r="AN453" s="164"/>
      <c r="AO453" s="164"/>
      <c r="AP453" s="164"/>
      <c r="AQ453" s="164"/>
      <c r="AR453" s="164"/>
      <c r="AS453" s="164"/>
      <c r="AT453" s="164"/>
      <c r="AU453" s="164"/>
      <c r="AV453" s="164"/>
      <c r="AW453" s="164"/>
      <c r="AX453" s="164"/>
      <c r="AY453" s="164"/>
      <c r="AZ453" s="164"/>
      <c r="BA453" s="164"/>
      <c r="BB453" s="164"/>
      <c r="BC453" s="164"/>
      <c r="BD453" s="164"/>
    </row>
    <row r="454" spans="1:56" ht="14.25" customHeight="1">
      <c r="A454" s="2">
        <v>452</v>
      </c>
      <c r="B454" s="71" t="s">
        <v>1065</v>
      </c>
      <c r="C454" s="117" t="s">
        <v>1066</v>
      </c>
      <c r="D454" s="72" t="s">
        <v>1067</v>
      </c>
      <c r="E454" s="72">
        <v>1</v>
      </c>
      <c r="F454" s="72">
        <v>1</v>
      </c>
      <c r="G454" s="70" t="s">
        <v>1068</v>
      </c>
      <c r="H454" s="125"/>
      <c r="I454" s="37">
        <f t="shared" ref="I454:I517" si="31">J454+K454+L454+M454+N454+O454+P454+Q454+R454+S454+T454+U454</f>
        <v>0</v>
      </c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>
        <f t="shared" si="28"/>
        <v>0</v>
      </c>
      <c r="W454" s="36"/>
      <c r="X454" s="38">
        <v>30000</v>
      </c>
      <c r="Y454" s="38" t="str">
        <f t="shared" si="29"/>
        <v>无需保养</v>
      </c>
      <c r="Z454" s="38">
        <f t="shared" si="30"/>
        <v>1</v>
      </c>
      <c r="AA454" s="164"/>
      <c r="AB454" s="164"/>
      <c r="AC454" s="164"/>
      <c r="AD454" s="164"/>
      <c r="AE454" s="164"/>
      <c r="AF454" s="164"/>
      <c r="AG454" s="164"/>
      <c r="AH454" s="164"/>
      <c r="AI454" s="164"/>
      <c r="AJ454" s="164"/>
      <c r="AK454" s="164"/>
      <c r="AL454" s="164"/>
      <c r="AM454" s="164"/>
      <c r="AN454" s="164"/>
      <c r="AO454" s="164"/>
      <c r="AP454" s="164"/>
      <c r="AQ454" s="164"/>
      <c r="AR454" s="164"/>
      <c r="AS454" s="164"/>
      <c r="AT454" s="164"/>
      <c r="AU454" s="164"/>
      <c r="AV454" s="164"/>
      <c r="AW454" s="164"/>
      <c r="AX454" s="164"/>
      <c r="AY454" s="164"/>
      <c r="AZ454" s="164"/>
      <c r="BA454" s="164"/>
      <c r="BB454" s="164"/>
      <c r="BC454" s="164"/>
      <c r="BD454" s="164"/>
    </row>
    <row r="455" spans="1:56" ht="14.25" customHeight="1">
      <c r="A455" s="2">
        <v>453</v>
      </c>
      <c r="B455" s="71" t="s">
        <v>1069</v>
      </c>
      <c r="C455" s="117" t="s">
        <v>1070</v>
      </c>
      <c r="D455" s="72" t="s">
        <v>1071</v>
      </c>
      <c r="E455" s="72">
        <v>1</v>
      </c>
      <c r="F455" s="72">
        <v>1</v>
      </c>
      <c r="G455" s="70" t="s">
        <v>978</v>
      </c>
      <c r="H455" s="125"/>
      <c r="I455" s="37">
        <f t="shared" si="31"/>
        <v>0</v>
      </c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>
        <f t="shared" si="28"/>
        <v>0</v>
      </c>
      <c r="W455" s="36"/>
      <c r="X455" s="38">
        <v>30000</v>
      </c>
      <c r="Y455" s="38" t="str">
        <f t="shared" si="29"/>
        <v>无需保养</v>
      </c>
      <c r="Z455" s="38">
        <f t="shared" si="30"/>
        <v>1</v>
      </c>
      <c r="AA455" s="164"/>
      <c r="AB455" s="164"/>
      <c r="AC455" s="164"/>
      <c r="AD455" s="164"/>
      <c r="AE455" s="164"/>
      <c r="AF455" s="164"/>
      <c r="AG455" s="164"/>
      <c r="AH455" s="164"/>
      <c r="AI455" s="164"/>
      <c r="AJ455" s="164"/>
      <c r="AK455" s="164"/>
      <c r="AL455" s="164"/>
      <c r="AM455" s="164"/>
      <c r="AN455" s="164"/>
      <c r="AO455" s="164"/>
      <c r="AP455" s="164"/>
      <c r="AQ455" s="164"/>
      <c r="AR455" s="164"/>
      <c r="AS455" s="164"/>
      <c r="AT455" s="164"/>
      <c r="AU455" s="164"/>
      <c r="AV455" s="164"/>
      <c r="AW455" s="164"/>
      <c r="AX455" s="164"/>
      <c r="AY455" s="164"/>
      <c r="AZ455" s="164"/>
      <c r="BA455" s="164"/>
      <c r="BB455" s="164"/>
      <c r="BC455" s="164"/>
      <c r="BD455" s="164"/>
    </row>
    <row r="456" spans="1:56" ht="14.25" customHeight="1">
      <c r="A456" s="2">
        <v>454</v>
      </c>
      <c r="B456" s="71" t="s">
        <v>1072</v>
      </c>
      <c r="C456" s="117" t="s">
        <v>1073</v>
      </c>
      <c r="D456" s="72" t="s">
        <v>691</v>
      </c>
      <c r="E456" s="72">
        <v>2</v>
      </c>
      <c r="F456" s="72">
        <v>2</v>
      </c>
      <c r="G456" s="70" t="s">
        <v>1074</v>
      </c>
      <c r="H456" s="125"/>
      <c r="I456" s="37">
        <f t="shared" si="31"/>
        <v>0</v>
      </c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>
        <f t="shared" si="28"/>
        <v>0</v>
      </c>
      <c r="W456" s="36"/>
      <c r="X456" s="38">
        <v>30000</v>
      </c>
      <c r="Y456" s="38" t="str">
        <f t="shared" si="29"/>
        <v>无需保养</v>
      </c>
      <c r="Z456" s="38">
        <f t="shared" si="30"/>
        <v>1</v>
      </c>
      <c r="AA456" s="164"/>
      <c r="AB456" s="164"/>
      <c r="AC456" s="164"/>
      <c r="AD456" s="164"/>
      <c r="AE456" s="164"/>
      <c r="AF456" s="164"/>
      <c r="AG456" s="164"/>
      <c r="AH456" s="164"/>
      <c r="AI456" s="164"/>
      <c r="AJ456" s="164"/>
      <c r="AK456" s="164"/>
      <c r="AL456" s="164"/>
      <c r="AM456" s="164"/>
      <c r="AN456" s="164"/>
      <c r="AO456" s="164"/>
      <c r="AP456" s="164"/>
      <c r="AQ456" s="164"/>
      <c r="AR456" s="164"/>
      <c r="AS456" s="164"/>
      <c r="AT456" s="164"/>
      <c r="AU456" s="164"/>
      <c r="AV456" s="164"/>
      <c r="AW456" s="164"/>
      <c r="AX456" s="164"/>
      <c r="AY456" s="164"/>
      <c r="AZ456" s="164"/>
      <c r="BA456" s="164"/>
      <c r="BB456" s="164"/>
      <c r="BC456" s="164"/>
      <c r="BD456" s="164"/>
    </row>
    <row r="457" spans="1:56" ht="14.25" customHeight="1">
      <c r="A457" s="2">
        <v>455</v>
      </c>
      <c r="B457" s="71" t="s">
        <v>1075</v>
      </c>
      <c r="C457" s="117" t="s">
        <v>1076</v>
      </c>
      <c r="D457" s="72" t="s">
        <v>1077</v>
      </c>
      <c r="E457" s="72">
        <v>2</v>
      </c>
      <c r="F457" s="72">
        <v>2</v>
      </c>
      <c r="G457" s="70" t="s">
        <v>1074</v>
      </c>
      <c r="H457" s="125"/>
      <c r="I457" s="37">
        <f t="shared" si="31"/>
        <v>0</v>
      </c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>
        <f t="shared" si="28"/>
        <v>0</v>
      </c>
      <c r="W457" s="36"/>
      <c r="X457" s="38">
        <v>30000</v>
      </c>
      <c r="Y457" s="38" t="str">
        <f t="shared" si="29"/>
        <v>无需保养</v>
      </c>
      <c r="Z457" s="38">
        <f t="shared" si="30"/>
        <v>1</v>
      </c>
      <c r="AA457" s="164"/>
      <c r="AB457" s="164"/>
      <c r="AC457" s="164"/>
      <c r="AD457" s="164"/>
      <c r="AE457" s="164"/>
      <c r="AF457" s="164"/>
      <c r="AG457" s="164"/>
      <c r="AH457" s="164"/>
      <c r="AI457" s="164"/>
      <c r="AJ457" s="164"/>
      <c r="AK457" s="164"/>
      <c r="AL457" s="164"/>
      <c r="AM457" s="164"/>
      <c r="AN457" s="164"/>
      <c r="AO457" s="164"/>
      <c r="AP457" s="164"/>
      <c r="AQ457" s="164"/>
      <c r="AR457" s="164"/>
      <c r="AS457" s="164"/>
      <c r="AT457" s="164"/>
      <c r="AU457" s="164"/>
      <c r="AV457" s="164"/>
      <c r="AW457" s="164"/>
      <c r="AX457" s="164"/>
      <c r="AY457" s="164"/>
      <c r="AZ457" s="164"/>
      <c r="BA457" s="164"/>
      <c r="BB457" s="164"/>
      <c r="BC457" s="164"/>
      <c r="BD457" s="164"/>
    </row>
    <row r="458" spans="1:56" ht="14.25" customHeight="1">
      <c r="A458" s="2">
        <v>456</v>
      </c>
      <c r="B458" s="71" t="s">
        <v>1078</v>
      </c>
      <c r="C458" s="117" t="s">
        <v>1079</v>
      </c>
      <c r="D458" s="72" t="s">
        <v>1080</v>
      </c>
      <c r="E458" s="72">
        <v>23</v>
      </c>
      <c r="F458" s="72">
        <v>23</v>
      </c>
      <c r="G458" s="70" t="s">
        <v>978</v>
      </c>
      <c r="H458" s="125"/>
      <c r="I458" s="37">
        <f t="shared" si="31"/>
        <v>0</v>
      </c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>
        <f t="shared" si="28"/>
        <v>0</v>
      </c>
      <c r="W458" s="36"/>
      <c r="X458" s="38">
        <v>30000</v>
      </c>
      <c r="Y458" s="38" t="str">
        <f t="shared" si="29"/>
        <v>无需保养</v>
      </c>
      <c r="Z458" s="38">
        <f t="shared" si="30"/>
        <v>1</v>
      </c>
      <c r="AA458" s="164"/>
      <c r="AB458" s="164"/>
      <c r="AC458" s="164"/>
      <c r="AD458" s="164"/>
      <c r="AE458" s="164"/>
      <c r="AF458" s="164"/>
      <c r="AG458" s="164"/>
      <c r="AH458" s="164"/>
      <c r="AI458" s="164"/>
      <c r="AJ458" s="164"/>
      <c r="AK458" s="164"/>
      <c r="AL458" s="164"/>
      <c r="AM458" s="164"/>
      <c r="AN458" s="164"/>
      <c r="AO458" s="164"/>
      <c r="AP458" s="164"/>
      <c r="AQ458" s="164"/>
      <c r="AR458" s="164"/>
      <c r="AS458" s="164"/>
      <c r="AT458" s="164"/>
      <c r="AU458" s="164"/>
      <c r="AV458" s="164"/>
      <c r="AW458" s="164"/>
      <c r="AX458" s="164"/>
      <c r="AY458" s="164"/>
      <c r="AZ458" s="164"/>
      <c r="BA458" s="164"/>
      <c r="BB458" s="164"/>
      <c r="BC458" s="164"/>
      <c r="BD458" s="164"/>
    </row>
    <row r="459" spans="1:56" ht="14.25" customHeight="1">
      <c r="A459" s="2">
        <v>457</v>
      </c>
      <c r="B459" s="71" t="s">
        <v>1081</v>
      </c>
      <c r="C459" s="117" t="s">
        <v>1082</v>
      </c>
      <c r="D459" s="72" t="s">
        <v>1083</v>
      </c>
      <c r="E459" s="72">
        <v>2</v>
      </c>
      <c r="F459" s="72">
        <v>2</v>
      </c>
      <c r="G459" s="70" t="s">
        <v>995</v>
      </c>
      <c r="H459" s="125"/>
      <c r="I459" s="37">
        <f t="shared" si="31"/>
        <v>0</v>
      </c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>
        <f t="shared" si="28"/>
        <v>0</v>
      </c>
      <c r="W459" s="36"/>
      <c r="X459" s="38">
        <v>30000</v>
      </c>
      <c r="Y459" s="38" t="str">
        <f t="shared" si="29"/>
        <v>无需保养</v>
      </c>
      <c r="Z459" s="38">
        <f t="shared" si="30"/>
        <v>1</v>
      </c>
      <c r="AA459" s="164"/>
      <c r="AB459" s="164"/>
      <c r="AC459" s="164"/>
      <c r="AD459" s="164"/>
      <c r="AE459" s="164"/>
      <c r="AF459" s="164"/>
      <c r="AG459" s="164"/>
      <c r="AH459" s="164"/>
      <c r="AI459" s="164"/>
      <c r="AJ459" s="164"/>
      <c r="AK459" s="164"/>
      <c r="AL459" s="164"/>
      <c r="AM459" s="164"/>
      <c r="AN459" s="164"/>
      <c r="AO459" s="164"/>
      <c r="AP459" s="164"/>
      <c r="AQ459" s="164"/>
      <c r="AR459" s="164"/>
      <c r="AS459" s="164"/>
      <c r="AT459" s="164"/>
      <c r="AU459" s="164"/>
      <c r="AV459" s="164"/>
      <c r="AW459" s="164"/>
      <c r="AX459" s="164"/>
      <c r="AY459" s="164"/>
      <c r="AZ459" s="164"/>
      <c r="BA459" s="164"/>
      <c r="BB459" s="164"/>
      <c r="BC459" s="164"/>
      <c r="BD459" s="164"/>
    </row>
    <row r="460" spans="1:56" ht="14.25" customHeight="1">
      <c r="A460" s="2">
        <v>458</v>
      </c>
      <c r="B460" s="71" t="s">
        <v>1084</v>
      </c>
      <c r="C460" s="117" t="s">
        <v>1085</v>
      </c>
      <c r="D460" s="72" t="s">
        <v>1086</v>
      </c>
      <c r="E460" s="72">
        <v>2</v>
      </c>
      <c r="F460" s="72">
        <v>2</v>
      </c>
      <c r="G460" s="70" t="s">
        <v>995</v>
      </c>
      <c r="H460" s="125"/>
      <c r="I460" s="37">
        <f t="shared" si="31"/>
        <v>0</v>
      </c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>
        <f t="shared" si="28"/>
        <v>0</v>
      </c>
      <c r="W460" s="36"/>
      <c r="X460" s="38">
        <v>30000</v>
      </c>
      <c r="Y460" s="38" t="str">
        <f t="shared" si="29"/>
        <v>无需保养</v>
      </c>
      <c r="Z460" s="38">
        <f t="shared" si="30"/>
        <v>1</v>
      </c>
      <c r="AA460" s="164"/>
      <c r="AB460" s="164"/>
      <c r="AC460" s="164"/>
      <c r="AD460" s="164"/>
      <c r="AE460" s="164"/>
      <c r="AF460" s="164"/>
      <c r="AG460" s="164"/>
      <c r="AH460" s="164"/>
      <c r="AI460" s="164"/>
      <c r="AJ460" s="164"/>
      <c r="AK460" s="164"/>
      <c r="AL460" s="164"/>
      <c r="AM460" s="164"/>
      <c r="AN460" s="164"/>
      <c r="AO460" s="164"/>
      <c r="AP460" s="164"/>
      <c r="AQ460" s="164"/>
      <c r="AR460" s="164"/>
      <c r="AS460" s="164"/>
      <c r="AT460" s="164"/>
      <c r="AU460" s="164"/>
      <c r="AV460" s="164"/>
      <c r="AW460" s="164"/>
      <c r="AX460" s="164"/>
      <c r="AY460" s="164"/>
      <c r="AZ460" s="164"/>
      <c r="BA460" s="164"/>
      <c r="BB460" s="164"/>
      <c r="BC460" s="164"/>
      <c r="BD460" s="164"/>
    </row>
    <row r="461" spans="1:56" ht="14.25" customHeight="1">
      <c r="A461" s="2">
        <v>459</v>
      </c>
      <c r="B461" s="71" t="s">
        <v>1087</v>
      </c>
      <c r="C461" s="117" t="s">
        <v>1088</v>
      </c>
      <c r="D461" s="72" t="s">
        <v>1089</v>
      </c>
      <c r="E461" s="72">
        <v>2</v>
      </c>
      <c r="F461" s="72">
        <v>2</v>
      </c>
      <c r="G461" s="70" t="s">
        <v>995</v>
      </c>
      <c r="H461" s="125"/>
      <c r="I461" s="37">
        <f t="shared" si="31"/>
        <v>0</v>
      </c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>
        <f t="shared" si="28"/>
        <v>0</v>
      </c>
      <c r="W461" s="36"/>
      <c r="X461" s="38">
        <v>30000</v>
      </c>
      <c r="Y461" s="38" t="str">
        <f t="shared" si="29"/>
        <v>无需保养</v>
      </c>
      <c r="Z461" s="38">
        <f t="shared" si="30"/>
        <v>1</v>
      </c>
      <c r="AA461" s="164"/>
      <c r="AB461" s="164"/>
      <c r="AC461" s="164"/>
      <c r="AD461" s="164"/>
      <c r="AE461" s="164"/>
      <c r="AF461" s="164"/>
      <c r="AG461" s="164"/>
      <c r="AH461" s="164"/>
      <c r="AI461" s="164"/>
      <c r="AJ461" s="164"/>
      <c r="AK461" s="164"/>
      <c r="AL461" s="164"/>
      <c r="AM461" s="164"/>
      <c r="AN461" s="164"/>
      <c r="AO461" s="164"/>
      <c r="AP461" s="164"/>
      <c r="AQ461" s="164"/>
      <c r="AR461" s="164"/>
      <c r="AS461" s="164"/>
      <c r="AT461" s="164"/>
      <c r="AU461" s="164"/>
      <c r="AV461" s="164"/>
      <c r="AW461" s="164"/>
      <c r="AX461" s="164"/>
      <c r="AY461" s="164"/>
      <c r="AZ461" s="164"/>
      <c r="BA461" s="164"/>
      <c r="BB461" s="164"/>
      <c r="BC461" s="164"/>
      <c r="BD461" s="164"/>
    </row>
    <row r="462" spans="1:56" ht="14.25" customHeight="1">
      <c r="A462" s="2">
        <v>460</v>
      </c>
      <c r="B462" s="71" t="s">
        <v>1090</v>
      </c>
      <c r="C462" s="117" t="s">
        <v>1091</v>
      </c>
      <c r="D462" s="72" t="s">
        <v>1092</v>
      </c>
      <c r="E462" s="72">
        <v>1</v>
      </c>
      <c r="F462" s="72">
        <v>1</v>
      </c>
      <c r="G462" s="70" t="s">
        <v>995</v>
      </c>
      <c r="H462" s="125"/>
      <c r="I462" s="37">
        <f t="shared" si="31"/>
        <v>0</v>
      </c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>
        <f t="shared" si="28"/>
        <v>0</v>
      </c>
      <c r="W462" s="36"/>
      <c r="X462" s="38">
        <v>30000</v>
      </c>
      <c r="Y462" s="38" t="str">
        <f t="shared" si="29"/>
        <v>无需保养</v>
      </c>
      <c r="Z462" s="38">
        <f t="shared" si="30"/>
        <v>1</v>
      </c>
      <c r="AA462" s="164"/>
      <c r="AB462" s="164"/>
      <c r="AC462" s="164"/>
      <c r="AD462" s="164"/>
      <c r="AE462" s="164"/>
      <c r="AF462" s="164"/>
      <c r="AG462" s="164"/>
      <c r="AH462" s="164"/>
      <c r="AI462" s="164"/>
      <c r="AJ462" s="164"/>
      <c r="AK462" s="164"/>
      <c r="AL462" s="164"/>
      <c r="AM462" s="164"/>
      <c r="AN462" s="164"/>
      <c r="AO462" s="164"/>
      <c r="AP462" s="164"/>
      <c r="AQ462" s="164"/>
      <c r="AR462" s="164"/>
      <c r="AS462" s="164"/>
      <c r="AT462" s="164"/>
      <c r="AU462" s="164"/>
      <c r="AV462" s="164"/>
      <c r="AW462" s="164"/>
      <c r="AX462" s="164"/>
      <c r="AY462" s="164"/>
      <c r="AZ462" s="164"/>
      <c r="BA462" s="164"/>
      <c r="BB462" s="164"/>
      <c r="BC462" s="164"/>
      <c r="BD462" s="164"/>
    </row>
    <row r="463" spans="1:56" ht="14.25" customHeight="1">
      <c r="A463" s="2">
        <v>461</v>
      </c>
      <c r="B463" s="71" t="s">
        <v>1093</v>
      </c>
      <c r="C463" s="117" t="s">
        <v>1094</v>
      </c>
      <c r="D463" s="72" t="s">
        <v>1095</v>
      </c>
      <c r="E463" s="72">
        <v>2</v>
      </c>
      <c r="F463" s="72">
        <v>2</v>
      </c>
      <c r="G463" s="70" t="s">
        <v>1096</v>
      </c>
      <c r="H463" s="125"/>
      <c r="I463" s="37">
        <f t="shared" si="31"/>
        <v>0</v>
      </c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>
        <f t="shared" si="28"/>
        <v>0</v>
      </c>
      <c r="W463" s="36"/>
      <c r="X463" s="38">
        <v>30000</v>
      </c>
      <c r="Y463" s="38" t="str">
        <f t="shared" si="29"/>
        <v>无需保养</v>
      </c>
      <c r="Z463" s="38">
        <f t="shared" si="30"/>
        <v>1</v>
      </c>
      <c r="AA463" s="164"/>
      <c r="AB463" s="164"/>
      <c r="AC463" s="164"/>
      <c r="AD463" s="164"/>
      <c r="AE463" s="164"/>
      <c r="AF463" s="164"/>
      <c r="AG463" s="164"/>
      <c r="AH463" s="164"/>
      <c r="AI463" s="164"/>
      <c r="AJ463" s="164"/>
      <c r="AK463" s="164"/>
      <c r="AL463" s="164"/>
      <c r="AM463" s="164"/>
      <c r="AN463" s="164"/>
      <c r="AO463" s="164"/>
      <c r="AP463" s="164"/>
      <c r="AQ463" s="164"/>
      <c r="AR463" s="164"/>
      <c r="AS463" s="164"/>
      <c r="AT463" s="164"/>
      <c r="AU463" s="164"/>
      <c r="AV463" s="164"/>
      <c r="AW463" s="164"/>
      <c r="AX463" s="164"/>
      <c r="AY463" s="164"/>
      <c r="AZ463" s="164"/>
      <c r="BA463" s="164"/>
      <c r="BB463" s="164"/>
      <c r="BC463" s="164"/>
      <c r="BD463" s="164"/>
    </row>
    <row r="464" spans="1:56" ht="14.25" customHeight="1">
      <c r="A464" s="2">
        <v>462</v>
      </c>
      <c r="B464" s="71" t="s">
        <v>1097</v>
      </c>
      <c r="C464" s="117" t="s">
        <v>1098</v>
      </c>
      <c r="D464" s="72" t="s">
        <v>1099</v>
      </c>
      <c r="E464" s="72">
        <v>1</v>
      </c>
      <c r="F464" s="72">
        <v>1</v>
      </c>
      <c r="G464" s="70" t="s">
        <v>995</v>
      </c>
      <c r="H464" s="125"/>
      <c r="I464" s="37">
        <f t="shared" si="31"/>
        <v>0</v>
      </c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>
        <f t="shared" si="28"/>
        <v>0</v>
      </c>
      <c r="W464" s="36"/>
      <c r="X464" s="38">
        <v>30000</v>
      </c>
      <c r="Y464" s="38" t="str">
        <f t="shared" si="29"/>
        <v>无需保养</v>
      </c>
      <c r="Z464" s="38">
        <f t="shared" si="30"/>
        <v>1</v>
      </c>
      <c r="AA464" s="164"/>
      <c r="AB464" s="164"/>
      <c r="AC464" s="164"/>
      <c r="AD464" s="164"/>
      <c r="AE464" s="164"/>
      <c r="AF464" s="164"/>
      <c r="AG464" s="164"/>
      <c r="AH464" s="164"/>
      <c r="AI464" s="164"/>
      <c r="AJ464" s="164"/>
      <c r="AK464" s="164"/>
      <c r="AL464" s="164"/>
      <c r="AM464" s="164"/>
      <c r="AN464" s="164"/>
      <c r="AO464" s="164"/>
      <c r="AP464" s="164"/>
      <c r="AQ464" s="164"/>
      <c r="AR464" s="164"/>
      <c r="AS464" s="164"/>
      <c r="AT464" s="164"/>
      <c r="AU464" s="164"/>
      <c r="AV464" s="164"/>
      <c r="AW464" s="164"/>
      <c r="AX464" s="164"/>
      <c r="AY464" s="164"/>
      <c r="AZ464" s="164"/>
      <c r="BA464" s="164"/>
      <c r="BB464" s="164"/>
      <c r="BC464" s="164"/>
      <c r="BD464" s="164"/>
    </row>
    <row r="465" spans="1:56" ht="14.25" customHeight="1">
      <c r="A465" s="2">
        <v>463</v>
      </c>
      <c r="B465" s="71" t="s">
        <v>1100</v>
      </c>
      <c r="C465" s="117" t="s">
        <v>1101</v>
      </c>
      <c r="D465" s="72" t="s">
        <v>1102</v>
      </c>
      <c r="E465" s="72">
        <v>4</v>
      </c>
      <c r="F465" s="72">
        <v>4</v>
      </c>
      <c r="G465" s="70" t="s">
        <v>1103</v>
      </c>
      <c r="H465" s="125"/>
      <c r="I465" s="37">
        <f t="shared" si="31"/>
        <v>0</v>
      </c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>
        <f t="shared" si="28"/>
        <v>0</v>
      </c>
      <c r="W465" s="36"/>
      <c r="X465" s="38">
        <v>30000</v>
      </c>
      <c r="Y465" s="38" t="str">
        <f t="shared" si="29"/>
        <v>无需保养</v>
      </c>
      <c r="Z465" s="38">
        <f t="shared" si="30"/>
        <v>1</v>
      </c>
      <c r="AA465" s="164"/>
      <c r="AB465" s="164"/>
      <c r="AC465" s="164"/>
      <c r="AD465" s="164"/>
      <c r="AE465" s="164"/>
      <c r="AF465" s="164"/>
      <c r="AG465" s="164"/>
      <c r="AH465" s="164"/>
      <c r="AI465" s="164"/>
      <c r="AJ465" s="164"/>
      <c r="AK465" s="164"/>
      <c r="AL465" s="164"/>
      <c r="AM465" s="164"/>
      <c r="AN465" s="164"/>
      <c r="AO465" s="164"/>
      <c r="AP465" s="164"/>
      <c r="AQ465" s="164"/>
      <c r="AR465" s="164"/>
      <c r="AS465" s="164"/>
      <c r="AT465" s="164"/>
      <c r="AU465" s="164"/>
      <c r="AV465" s="164"/>
      <c r="AW465" s="164"/>
      <c r="AX465" s="164"/>
      <c r="AY465" s="164"/>
      <c r="AZ465" s="164"/>
      <c r="BA465" s="164"/>
      <c r="BB465" s="164"/>
      <c r="BC465" s="164"/>
      <c r="BD465" s="164"/>
    </row>
    <row r="466" spans="1:56" ht="14.25" customHeight="1">
      <c r="A466" s="2">
        <v>464</v>
      </c>
      <c r="B466" s="75" t="s">
        <v>1104</v>
      </c>
      <c r="C466" s="117" t="s">
        <v>1105</v>
      </c>
      <c r="D466" s="72" t="s">
        <v>734</v>
      </c>
      <c r="E466" s="72">
        <v>4</v>
      </c>
      <c r="F466" s="72">
        <v>4</v>
      </c>
      <c r="G466" s="70" t="s">
        <v>978</v>
      </c>
      <c r="H466" s="125"/>
      <c r="I466" s="37">
        <f t="shared" si="31"/>
        <v>0</v>
      </c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>
        <f t="shared" si="28"/>
        <v>0</v>
      </c>
      <c r="W466" s="36"/>
      <c r="X466" s="38">
        <v>30000</v>
      </c>
      <c r="Y466" s="38" t="str">
        <f t="shared" si="29"/>
        <v>无需保养</v>
      </c>
      <c r="Z466" s="38">
        <f t="shared" si="30"/>
        <v>1</v>
      </c>
      <c r="AA466" s="164"/>
      <c r="AB466" s="164"/>
      <c r="AC466" s="164"/>
      <c r="AD466" s="164"/>
      <c r="AE466" s="164"/>
      <c r="AF466" s="164"/>
      <c r="AG466" s="164"/>
      <c r="AH466" s="164"/>
      <c r="AI466" s="164"/>
      <c r="AJ466" s="164"/>
      <c r="AK466" s="164"/>
      <c r="AL466" s="164"/>
      <c r="AM466" s="164"/>
      <c r="AN466" s="164"/>
      <c r="AO466" s="164"/>
      <c r="AP466" s="164"/>
      <c r="AQ466" s="164"/>
      <c r="AR466" s="164"/>
      <c r="AS466" s="164"/>
      <c r="AT466" s="164"/>
      <c r="AU466" s="164"/>
      <c r="AV466" s="164"/>
      <c r="AW466" s="164"/>
      <c r="AX466" s="164"/>
      <c r="AY466" s="164"/>
      <c r="AZ466" s="164"/>
      <c r="BA466" s="164"/>
      <c r="BB466" s="164"/>
      <c r="BC466" s="164"/>
      <c r="BD466" s="164"/>
    </row>
    <row r="467" spans="1:56" ht="14.25" customHeight="1">
      <c r="A467" s="2">
        <v>465</v>
      </c>
      <c r="B467" s="75" t="s">
        <v>1106</v>
      </c>
      <c r="C467" s="117" t="s">
        <v>1107</v>
      </c>
      <c r="D467" s="72" t="s">
        <v>734</v>
      </c>
      <c r="E467" s="72">
        <v>4</v>
      </c>
      <c r="F467" s="72">
        <v>4</v>
      </c>
      <c r="G467" s="70" t="s">
        <v>978</v>
      </c>
      <c r="H467" s="125"/>
      <c r="I467" s="37">
        <f t="shared" si="31"/>
        <v>0</v>
      </c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>
        <f t="shared" si="28"/>
        <v>0</v>
      </c>
      <c r="W467" s="36"/>
      <c r="X467" s="38">
        <v>30000</v>
      </c>
      <c r="Y467" s="38" t="str">
        <f t="shared" si="29"/>
        <v>无需保养</v>
      </c>
      <c r="Z467" s="38">
        <f t="shared" si="30"/>
        <v>1</v>
      </c>
      <c r="AA467" s="164"/>
      <c r="AB467" s="164"/>
      <c r="AC467" s="164"/>
      <c r="AD467" s="164"/>
      <c r="AE467" s="164"/>
      <c r="AF467" s="164"/>
      <c r="AG467" s="164"/>
      <c r="AH467" s="164"/>
      <c r="AI467" s="164"/>
      <c r="AJ467" s="164"/>
      <c r="AK467" s="164"/>
      <c r="AL467" s="164"/>
      <c r="AM467" s="164"/>
      <c r="AN467" s="164"/>
      <c r="AO467" s="164"/>
      <c r="AP467" s="164"/>
      <c r="AQ467" s="164"/>
      <c r="AR467" s="164"/>
      <c r="AS467" s="164"/>
      <c r="AT467" s="164"/>
      <c r="AU467" s="164"/>
      <c r="AV467" s="164"/>
      <c r="AW467" s="164"/>
      <c r="AX467" s="164"/>
      <c r="AY467" s="164"/>
      <c r="AZ467" s="164"/>
      <c r="BA467" s="164"/>
      <c r="BB467" s="164"/>
      <c r="BC467" s="164"/>
      <c r="BD467" s="164"/>
    </row>
    <row r="468" spans="1:56" ht="14.25" customHeight="1">
      <c r="A468" s="2">
        <v>466</v>
      </c>
      <c r="B468" s="75" t="s">
        <v>1108</v>
      </c>
      <c r="C468" s="117" t="s">
        <v>1109</v>
      </c>
      <c r="D468" s="72" t="s">
        <v>977</v>
      </c>
      <c r="E468" s="72">
        <v>2</v>
      </c>
      <c r="F468" s="72">
        <v>2</v>
      </c>
      <c r="G468" s="70" t="s">
        <v>978</v>
      </c>
      <c r="H468" s="125"/>
      <c r="I468" s="37">
        <f t="shared" si="31"/>
        <v>0</v>
      </c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>
        <f t="shared" si="28"/>
        <v>0</v>
      </c>
      <c r="W468" s="36"/>
      <c r="X468" s="38">
        <v>30000</v>
      </c>
      <c r="Y468" s="38" t="str">
        <f t="shared" si="29"/>
        <v>无需保养</v>
      </c>
      <c r="Z468" s="38">
        <f t="shared" si="30"/>
        <v>1</v>
      </c>
      <c r="AA468" s="164"/>
      <c r="AB468" s="164"/>
      <c r="AC468" s="164"/>
      <c r="AD468" s="164"/>
      <c r="AE468" s="164"/>
      <c r="AF468" s="164"/>
      <c r="AG468" s="164"/>
      <c r="AH468" s="164"/>
      <c r="AI468" s="164"/>
      <c r="AJ468" s="164"/>
      <c r="AK468" s="164"/>
      <c r="AL468" s="164"/>
      <c r="AM468" s="164"/>
      <c r="AN468" s="164"/>
      <c r="AO468" s="164"/>
      <c r="AP468" s="164"/>
      <c r="AQ468" s="164"/>
      <c r="AR468" s="164"/>
      <c r="AS468" s="164"/>
      <c r="AT468" s="164"/>
      <c r="AU468" s="164"/>
      <c r="AV468" s="164"/>
      <c r="AW468" s="164"/>
      <c r="AX468" s="164"/>
      <c r="AY468" s="164"/>
      <c r="AZ468" s="164"/>
      <c r="BA468" s="164"/>
      <c r="BB468" s="164"/>
      <c r="BC468" s="164"/>
      <c r="BD468" s="164"/>
    </row>
    <row r="469" spans="1:56" ht="14.25" customHeight="1">
      <c r="A469" s="2">
        <v>467</v>
      </c>
      <c r="B469" s="75" t="s">
        <v>1110</v>
      </c>
      <c r="C469" s="117" t="s">
        <v>1111</v>
      </c>
      <c r="D469" s="72" t="s">
        <v>734</v>
      </c>
      <c r="E469" s="72">
        <v>2</v>
      </c>
      <c r="F469" s="72">
        <v>2</v>
      </c>
      <c r="G469" s="70" t="s">
        <v>1058</v>
      </c>
      <c r="H469" s="125"/>
      <c r="I469" s="37">
        <f t="shared" si="31"/>
        <v>0</v>
      </c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>
        <f t="shared" si="28"/>
        <v>0</v>
      </c>
      <c r="W469" s="36"/>
      <c r="X469" s="38">
        <v>30000</v>
      </c>
      <c r="Y469" s="38" t="str">
        <f t="shared" si="29"/>
        <v>无需保养</v>
      </c>
      <c r="Z469" s="38">
        <f t="shared" si="30"/>
        <v>1</v>
      </c>
      <c r="AA469" s="164"/>
      <c r="AB469" s="164"/>
      <c r="AC469" s="164"/>
      <c r="AD469" s="164"/>
      <c r="AE469" s="164"/>
      <c r="AF469" s="164"/>
      <c r="AG469" s="164"/>
      <c r="AH469" s="164"/>
      <c r="AI469" s="164"/>
      <c r="AJ469" s="164"/>
      <c r="AK469" s="164"/>
      <c r="AL469" s="164"/>
      <c r="AM469" s="164"/>
      <c r="AN469" s="164"/>
      <c r="AO469" s="164"/>
      <c r="AP469" s="164"/>
      <c r="AQ469" s="164"/>
      <c r="AR469" s="164"/>
      <c r="AS469" s="164"/>
      <c r="AT469" s="164"/>
      <c r="AU469" s="164"/>
      <c r="AV469" s="164"/>
      <c r="AW469" s="164"/>
      <c r="AX469" s="164"/>
      <c r="AY469" s="164"/>
      <c r="AZ469" s="164"/>
      <c r="BA469" s="164"/>
      <c r="BB469" s="164"/>
      <c r="BC469" s="164"/>
      <c r="BD469" s="164"/>
    </row>
    <row r="470" spans="1:56" ht="14.25" customHeight="1">
      <c r="A470" s="2">
        <v>468</v>
      </c>
      <c r="B470" s="75" t="s">
        <v>1112</v>
      </c>
      <c r="C470" s="117" t="s">
        <v>1113</v>
      </c>
      <c r="D470" s="72" t="s">
        <v>1114</v>
      </c>
      <c r="E470" s="72">
        <v>4</v>
      </c>
      <c r="F470" s="72">
        <v>4</v>
      </c>
      <c r="G470" s="70" t="s">
        <v>978</v>
      </c>
      <c r="H470" s="125"/>
      <c r="I470" s="37">
        <f t="shared" si="31"/>
        <v>0</v>
      </c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>
        <f t="shared" si="28"/>
        <v>0</v>
      </c>
      <c r="W470" s="36"/>
      <c r="X470" s="38">
        <v>30000</v>
      </c>
      <c r="Y470" s="38" t="str">
        <f t="shared" si="29"/>
        <v>无需保养</v>
      </c>
      <c r="Z470" s="38">
        <f t="shared" si="30"/>
        <v>1</v>
      </c>
      <c r="AA470" s="164"/>
      <c r="AB470" s="164"/>
      <c r="AC470" s="164"/>
      <c r="AD470" s="164"/>
      <c r="AE470" s="164"/>
      <c r="AF470" s="164"/>
      <c r="AG470" s="164"/>
      <c r="AH470" s="164"/>
      <c r="AI470" s="164"/>
      <c r="AJ470" s="164"/>
      <c r="AK470" s="164"/>
      <c r="AL470" s="164"/>
      <c r="AM470" s="164"/>
      <c r="AN470" s="164"/>
      <c r="AO470" s="164"/>
      <c r="AP470" s="164"/>
      <c r="AQ470" s="164"/>
      <c r="AR470" s="164"/>
      <c r="AS470" s="164"/>
      <c r="AT470" s="164"/>
      <c r="AU470" s="164"/>
      <c r="AV470" s="164"/>
      <c r="AW470" s="164"/>
      <c r="AX470" s="164"/>
      <c r="AY470" s="164"/>
      <c r="AZ470" s="164"/>
      <c r="BA470" s="164"/>
      <c r="BB470" s="164"/>
      <c r="BC470" s="164"/>
      <c r="BD470" s="164"/>
    </row>
    <row r="471" spans="1:56" ht="14.25" customHeight="1">
      <c r="A471" s="2">
        <v>469</v>
      </c>
      <c r="B471" s="75" t="s">
        <v>1115</v>
      </c>
      <c r="C471" s="117" t="s">
        <v>1116</v>
      </c>
      <c r="D471" s="72" t="s">
        <v>691</v>
      </c>
      <c r="E471" s="72">
        <v>4</v>
      </c>
      <c r="F471" s="72">
        <v>4</v>
      </c>
      <c r="G471" s="70" t="s">
        <v>978</v>
      </c>
      <c r="H471" s="125"/>
      <c r="I471" s="37">
        <f t="shared" si="31"/>
        <v>0</v>
      </c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>
        <f t="shared" si="28"/>
        <v>0</v>
      </c>
      <c r="W471" s="36"/>
      <c r="X471" s="38">
        <v>30000</v>
      </c>
      <c r="Y471" s="38" t="str">
        <f t="shared" si="29"/>
        <v>无需保养</v>
      </c>
      <c r="Z471" s="38">
        <f t="shared" si="30"/>
        <v>1</v>
      </c>
      <c r="AA471" s="164"/>
      <c r="AB471" s="164"/>
      <c r="AC471" s="164"/>
      <c r="AD471" s="164"/>
      <c r="AE471" s="164"/>
      <c r="AF471" s="164"/>
      <c r="AG471" s="164"/>
      <c r="AH471" s="164"/>
      <c r="AI471" s="164"/>
      <c r="AJ471" s="164"/>
      <c r="AK471" s="164"/>
      <c r="AL471" s="164"/>
      <c r="AM471" s="164"/>
      <c r="AN471" s="164"/>
      <c r="AO471" s="164"/>
      <c r="AP471" s="164"/>
      <c r="AQ471" s="164"/>
      <c r="AR471" s="164"/>
      <c r="AS471" s="164"/>
      <c r="AT471" s="164"/>
      <c r="AU471" s="164"/>
      <c r="AV471" s="164"/>
      <c r="AW471" s="164"/>
      <c r="AX471" s="164"/>
      <c r="AY471" s="164"/>
      <c r="AZ471" s="164"/>
      <c r="BA471" s="164"/>
      <c r="BB471" s="164"/>
      <c r="BC471" s="164"/>
      <c r="BD471" s="164"/>
    </row>
    <row r="472" spans="1:56" ht="14.25" customHeight="1">
      <c r="A472" s="2">
        <v>470</v>
      </c>
      <c r="B472" s="75" t="s">
        <v>1117</v>
      </c>
      <c r="C472" s="117" t="s">
        <v>1118</v>
      </c>
      <c r="D472" s="72" t="s">
        <v>697</v>
      </c>
      <c r="E472" s="72">
        <v>1</v>
      </c>
      <c r="F472" s="72">
        <v>1</v>
      </c>
      <c r="G472" s="70" t="s">
        <v>978</v>
      </c>
      <c r="H472" s="125"/>
      <c r="I472" s="37">
        <f t="shared" si="31"/>
        <v>0</v>
      </c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>
        <f t="shared" si="28"/>
        <v>0</v>
      </c>
      <c r="W472" s="36"/>
      <c r="X472" s="38">
        <v>30000</v>
      </c>
      <c r="Y472" s="38" t="str">
        <f t="shared" si="29"/>
        <v>无需保养</v>
      </c>
      <c r="Z472" s="38">
        <f t="shared" si="30"/>
        <v>1</v>
      </c>
      <c r="AA472" s="164"/>
      <c r="AB472" s="164"/>
      <c r="AC472" s="164"/>
      <c r="AD472" s="164"/>
      <c r="AE472" s="164"/>
      <c r="AF472" s="164"/>
      <c r="AG472" s="164"/>
      <c r="AH472" s="164"/>
      <c r="AI472" s="164"/>
      <c r="AJ472" s="164"/>
      <c r="AK472" s="164"/>
      <c r="AL472" s="164"/>
      <c r="AM472" s="164"/>
      <c r="AN472" s="164"/>
      <c r="AO472" s="164"/>
      <c r="AP472" s="164"/>
      <c r="AQ472" s="164"/>
      <c r="AR472" s="164"/>
      <c r="AS472" s="164"/>
      <c r="AT472" s="164"/>
      <c r="AU472" s="164"/>
      <c r="AV472" s="164"/>
      <c r="AW472" s="164"/>
      <c r="AX472" s="164"/>
      <c r="AY472" s="164"/>
      <c r="AZ472" s="164"/>
      <c r="BA472" s="164"/>
      <c r="BB472" s="164"/>
      <c r="BC472" s="164"/>
      <c r="BD472" s="164"/>
    </row>
    <row r="473" spans="1:56" ht="14.25" customHeight="1">
      <c r="A473" s="2">
        <v>471</v>
      </c>
      <c r="B473" s="75" t="s">
        <v>1119</v>
      </c>
      <c r="C473" s="117" t="s">
        <v>1120</v>
      </c>
      <c r="D473" s="72" t="s">
        <v>691</v>
      </c>
      <c r="E473" s="72">
        <v>1</v>
      </c>
      <c r="F473" s="72">
        <v>1</v>
      </c>
      <c r="G473" s="70" t="s">
        <v>978</v>
      </c>
      <c r="H473" s="125"/>
      <c r="I473" s="37">
        <f t="shared" si="31"/>
        <v>0</v>
      </c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>
        <f t="shared" si="28"/>
        <v>0</v>
      </c>
      <c r="W473" s="36"/>
      <c r="X473" s="38">
        <v>30000</v>
      </c>
      <c r="Y473" s="38" t="str">
        <f t="shared" si="29"/>
        <v>无需保养</v>
      </c>
      <c r="Z473" s="38">
        <f t="shared" si="30"/>
        <v>1</v>
      </c>
      <c r="AA473" s="164"/>
      <c r="AB473" s="164"/>
      <c r="AC473" s="164"/>
      <c r="AD473" s="164"/>
      <c r="AE473" s="164"/>
      <c r="AF473" s="164"/>
      <c r="AG473" s="164"/>
      <c r="AH473" s="164"/>
      <c r="AI473" s="164"/>
      <c r="AJ473" s="164"/>
      <c r="AK473" s="164"/>
      <c r="AL473" s="164"/>
      <c r="AM473" s="164"/>
      <c r="AN473" s="164"/>
      <c r="AO473" s="164"/>
      <c r="AP473" s="164"/>
      <c r="AQ473" s="164"/>
      <c r="AR473" s="164"/>
      <c r="AS473" s="164"/>
      <c r="AT473" s="164"/>
      <c r="AU473" s="164"/>
      <c r="AV473" s="164"/>
      <c r="AW473" s="164"/>
      <c r="AX473" s="164"/>
      <c r="AY473" s="164"/>
      <c r="AZ473" s="164"/>
      <c r="BA473" s="164"/>
      <c r="BB473" s="164"/>
      <c r="BC473" s="164"/>
      <c r="BD473" s="164"/>
    </row>
    <row r="474" spans="1:56" ht="14.25" customHeight="1">
      <c r="A474" s="2">
        <v>472</v>
      </c>
      <c r="B474" s="75" t="s">
        <v>1121</v>
      </c>
      <c r="C474" s="117" t="s">
        <v>1122</v>
      </c>
      <c r="D474" s="72" t="s">
        <v>1123</v>
      </c>
      <c r="E474" s="72">
        <v>1</v>
      </c>
      <c r="F474" s="72">
        <v>1</v>
      </c>
      <c r="G474" s="70" t="s">
        <v>1124</v>
      </c>
      <c r="H474" s="125"/>
      <c r="I474" s="37">
        <f t="shared" si="31"/>
        <v>0</v>
      </c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>
        <f t="shared" si="28"/>
        <v>0</v>
      </c>
      <c r="W474" s="36"/>
      <c r="X474" s="38">
        <v>30000</v>
      </c>
      <c r="Y474" s="38" t="str">
        <f t="shared" si="29"/>
        <v>无需保养</v>
      </c>
      <c r="Z474" s="38">
        <f t="shared" si="30"/>
        <v>1</v>
      </c>
      <c r="AA474" s="164"/>
      <c r="AB474" s="164"/>
      <c r="AC474" s="164"/>
      <c r="AD474" s="164"/>
      <c r="AE474" s="164"/>
      <c r="AF474" s="164"/>
      <c r="AG474" s="164"/>
      <c r="AH474" s="164"/>
      <c r="AI474" s="164"/>
      <c r="AJ474" s="164"/>
      <c r="AK474" s="164"/>
      <c r="AL474" s="164"/>
      <c r="AM474" s="164"/>
      <c r="AN474" s="164"/>
      <c r="AO474" s="164"/>
      <c r="AP474" s="164"/>
      <c r="AQ474" s="164"/>
      <c r="AR474" s="164"/>
      <c r="AS474" s="164"/>
      <c r="AT474" s="164"/>
      <c r="AU474" s="164"/>
      <c r="AV474" s="164"/>
      <c r="AW474" s="164"/>
      <c r="AX474" s="164"/>
      <c r="AY474" s="164"/>
      <c r="AZ474" s="164"/>
      <c r="BA474" s="164"/>
      <c r="BB474" s="164"/>
      <c r="BC474" s="164"/>
      <c r="BD474" s="164"/>
    </row>
    <row r="475" spans="1:56" ht="14.25" customHeight="1">
      <c r="A475" s="2">
        <v>473</v>
      </c>
      <c r="B475" s="75" t="s">
        <v>1125</v>
      </c>
      <c r="C475" s="117" t="s">
        <v>1126</v>
      </c>
      <c r="D475" s="72" t="s">
        <v>1127</v>
      </c>
      <c r="E475" s="72">
        <v>1</v>
      </c>
      <c r="F475" s="72">
        <v>1</v>
      </c>
      <c r="G475" s="70" t="s">
        <v>1124</v>
      </c>
      <c r="H475" s="125"/>
      <c r="I475" s="37">
        <f t="shared" si="31"/>
        <v>0</v>
      </c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>
        <f t="shared" si="28"/>
        <v>0</v>
      </c>
      <c r="W475" s="36"/>
      <c r="X475" s="38">
        <v>30000</v>
      </c>
      <c r="Y475" s="38" t="str">
        <f t="shared" si="29"/>
        <v>无需保养</v>
      </c>
      <c r="Z475" s="38">
        <f t="shared" si="30"/>
        <v>1</v>
      </c>
      <c r="AA475" s="164"/>
      <c r="AB475" s="164"/>
      <c r="AC475" s="164"/>
      <c r="AD475" s="164"/>
      <c r="AE475" s="164"/>
      <c r="AF475" s="164"/>
      <c r="AG475" s="164"/>
      <c r="AH475" s="164"/>
      <c r="AI475" s="164"/>
      <c r="AJ475" s="164"/>
      <c r="AK475" s="164"/>
      <c r="AL475" s="164"/>
      <c r="AM475" s="164"/>
      <c r="AN475" s="164"/>
      <c r="AO475" s="164"/>
      <c r="AP475" s="164"/>
      <c r="AQ475" s="164"/>
      <c r="AR475" s="164"/>
      <c r="AS475" s="164"/>
      <c r="AT475" s="164"/>
      <c r="AU475" s="164"/>
      <c r="AV475" s="164"/>
      <c r="AW475" s="164"/>
      <c r="AX475" s="164"/>
      <c r="AY475" s="164"/>
      <c r="AZ475" s="164"/>
      <c r="BA475" s="164"/>
      <c r="BB475" s="164"/>
      <c r="BC475" s="164"/>
      <c r="BD475" s="164"/>
    </row>
    <row r="476" spans="1:56" ht="14.25" customHeight="1">
      <c r="A476" s="2">
        <v>474</v>
      </c>
      <c r="B476" s="75" t="s">
        <v>1128</v>
      </c>
      <c r="C476" s="117" t="s">
        <v>1129</v>
      </c>
      <c r="D476" s="72" t="s">
        <v>1130</v>
      </c>
      <c r="E476" s="72">
        <v>16</v>
      </c>
      <c r="F476" s="72">
        <v>16</v>
      </c>
      <c r="G476" s="70" t="s">
        <v>1131</v>
      </c>
      <c r="H476" s="125"/>
      <c r="I476" s="37">
        <f t="shared" si="31"/>
        <v>0</v>
      </c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>
        <f t="shared" si="28"/>
        <v>0</v>
      </c>
      <c r="W476" s="36"/>
      <c r="X476" s="38">
        <v>30000</v>
      </c>
      <c r="Y476" s="38" t="str">
        <f t="shared" si="29"/>
        <v>无需保养</v>
      </c>
      <c r="Z476" s="38">
        <f t="shared" si="30"/>
        <v>1</v>
      </c>
      <c r="AA476" s="164"/>
      <c r="AB476" s="164"/>
      <c r="AC476" s="164"/>
      <c r="AD476" s="164"/>
      <c r="AE476" s="164"/>
      <c r="AF476" s="164"/>
      <c r="AG476" s="164"/>
      <c r="AH476" s="164"/>
      <c r="AI476" s="164"/>
      <c r="AJ476" s="164"/>
      <c r="AK476" s="164"/>
      <c r="AL476" s="164"/>
      <c r="AM476" s="164"/>
      <c r="AN476" s="164"/>
      <c r="AO476" s="164"/>
      <c r="AP476" s="164"/>
      <c r="AQ476" s="164"/>
      <c r="AR476" s="164"/>
      <c r="AS476" s="164"/>
      <c r="AT476" s="164"/>
      <c r="AU476" s="164"/>
      <c r="AV476" s="164"/>
      <c r="AW476" s="164"/>
      <c r="AX476" s="164"/>
      <c r="AY476" s="164"/>
      <c r="AZ476" s="164"/>
      <c r="BA476" s="164"/>
      <c r="BB476" s="164"/>
      <c r="BC476" s="164"/>
      <c r="BD476" s="164"/>
    </row>
    <row r="477" spans="1:56" ht="14.25" customHeight="1">
      <c r="A477" s="2">
        <v>475</v>
      </c>
      <c r="B477" s="75" t="s">
        <v>1132</v>
      </c>
      <c r="C477" s="117" t="s">
        <v>1133</v>
      </c>
      <c r="D477" s="72" t="s">
        <v>1134</v>
      </c>
      <c r="E477" s="72">
        <v>16</v>
      </c>
      <c r="F477" s="72">
        <v>16</v>
      </c>
      <c r="G477" s="70" t="s">
        <v>1135</v>
      </c>
      <c r="H477" s="125"/>
      <c r="I477" s="37">
        <f t="shared" si="31"/>
        <v>0</v>
      </c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>
        <f t="shared" si="28"/>
        <v>0</v>
      </c>
      <c r="W477" s="36"/>
      <c r="X477" s="38">
        <v>30000</v>
      </c>
      <c r="Y477" s="38" t="str">
        <f t="shared" si="29"/>
        <v>无需保养</v>
      </c>
      <c r="Z477" s="38">
        <f t="shared" si="30"/>
        <v>1</v>
      </c>
      <c r="AA477" s="164"/>
      <c r="AB477" s="164"/>
      <c r="AC477" s="164"/>
      <c r="AD477" s="164"/>
      <c r="AE477" s="164"/>
      <c r="AF477" s="164"/>
      <c r="AG477" s="164"/>
      <c r="AH477" s="164"/>
      <c r="AI477" s="164"/>
      <c r="AJ477" s="164"/>
      <c r="AK477" s="164"/>
      <c r="AL477" s="164"/>
      <c r="AM477" s="164"/>
      <c r="AN477" s="164"/>
      <c r="AO477" s="164"/>
      <c r="AP477" s="164"/>
      <c r="AQ477" s="164"/>
      <c r="AR477" s="164"/>
      <c r="AS477" s="164"/>
      <c r="AT477" s="164"/>
      <c r="AU477" s="164"/>
      <c r="AV477" s="164"/>
      <c r="AW477" s="164"/>
      <c r="AX477" s="164"/>
      <c r="AY477" s="164"/>
      <c r="AZ477" s="164"/>
      <c r="BA477" s="164"/>
      <c r="BB477" s="164"/>
      <c r="BC477" s="164"/>
      <c r="BD477" s="164"/>
    </row>
    <row r="478" spans="1:56" ht="14.25" customHeight="1">
      <c r="A478" s="2">
        <v>476</v>
      </c>
      <c r="B478" s="75" t="s">
        <v>1136</v>
      </c>
      <c r="C478" s="117" t="s">
        <v>1137</v>
      </c>
      <c r="D478" s="72" t="s">
        <v>1138</v>
      </c>
      <c r="E478" s="72">
        <v>2</v>
      </c>
      <c r="F478" s="72">
        <v>2</v>
      </c>
      <c r="G478" s="70" t="s">
        <v>1124</v>
      </c>
      <c r="H478" s="125"/>
      <c r="I478" s="37">
        <f t="shared" si="31"/>
        <v>0</v>
      </c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>
        <f t="shared" si="28"/>
        <v>0</v>
      </c>
      <c r="W478" s="36"/>
      <c r="X478" s="38">
        <v>30000</v>
      </c>
      <c r="Y478" s="38" t="str">
        <f t="shared" si="29"/>
        <v>无需保养</v>
      </c>
      <c r="Z478" s="38">
        <f t="shared" si="30"/>
        <v>1</v>
      </c>
      <c r="AA478" s="164"/>
      <c r="AB478" s="164"/>
      <c r="AC478" s="164"/>
      <c r="AD478" s="164"/>
      <c r="AE478" s="164"/>
      <c r="AF478" s="164"/>
      <c r="AG478" s="164"/>
      <c r="AH478" s="164"/>
      <c r="AI478" s="164"/>
      <c r="AJ478" s="164"/>
      <c r="AK478" s="164"/>
      <c r="AL478" s="164"/>
      <c r="AM478" s="164"/>
      <c r="AN478" s="164"/>
      <c r="AO478" s="164"/>
      <c r="AP478" s="164"/>
      <c r="AQ478" s="164"/>
      <c r="AR478" s="164"/>
      <c r="AS478" s="164"/>
      <c r="AT478" s="164"/>
      <c r="AU478" s="164"/>
      <c r="AV478" s="164"/>
      <c r="AW478" s="164"/>
      <c r="AX478" s="164"/>
      <c r="AY478" s="164"/>
      <c r="AZ478" s="164"/>
      <c r="BA478" s="164"/>
      <c r="BB478" s="164"/>
      <c r="BC478" s="164"/>
      <c r="BD478" s="164"/>
    </row>
    <row r="479" spans="1:56" ht="14.25" customHeight="1">
      <c r="A479" s="2">
        <v>477</v>
      </c>
      <c r="B479" s="75" t="s">
        <v>1139</v>
      </c>
      <c r="C479" s="117" t="s">
        <v>1140</v>
      </c>
      <c r="D479" s="72" t="s">
        <v>1141</v>
      </c>
      <c r="E479" s="72">
        <v>2</v>
      </c>
      <c r="F479" s="72">
        <v>2</v>
      </c>
      <c r="G479" s="70" t="s">
        <v>1142</v>
      </c>
      <c r="H479" s="125"/>
      <c r="I479" s="37">
        <f t="shared" si="31"/>
        <v>0</v>
      </c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>
        <f t="shared" si="28"/>
        <v>0</v>
      </c>
      <c r="W479" s="36"/>
      <c r="X479" s="38">
        <v>30000</v>
      </c>
      <c r="Y479" s="38" t="str">
        <f t="shared" si="29"/>
        <v>无需保养</v>
      </c>
      <c r="Z479" s="38">
        <f t="shared" si="30"/>
        <v>1</v>
      </c>
      <c r="AA479" s="164"/>
      <c r="AB479" s="164"/>
      <c r="AC479" s="164"/>
      <c r="AD479" s="164"/>
      <c r="AE479" s="164"/>
      <c r="AF479" s="164"/>
      <c r="AG479" s="164"/>
      <c r="AH479" s="164"/>
      <c r="AI479" s="164"/>
      <c r="AJ479" s="164"/>
      <c r="AK479" s="164"/>
      <c r="AL479" s="164"/>
      <c r="AM479" s="164"/>
      <c r="AN479" s="164"/>
      <c r="AO479" s="164"/>
      <c r="AP479" s="164"/>
      <c r="AQ479" s="164"/>
      <c r="AR479" s="164"/>
      <c r="AS479" s="164"/>
      <c r="AT479" s="164"/>
      <c r="AU479" s="164"/>
      <c r="AV479" s="164"/>
      <c r="AW479" s="164"/>
      <c r="AX479" s="164"/>
      <c r="AY479" s="164"/>
      <c r="AZ479" s="164"/>
      <c r="BA479" s="164"/>
      <c r="BB479" s="164"/>
      <c r="BC479" s="164"/>
      <c r="BD479" s="164"/>
    </row>
    <row r="480" spans="1:56" ht="14.25" customHeight="1">
      <c r="A480" s="2">
        <v>478</v>
      </c>
      <c r="B480" s="75" t="s">
        <v>1143</v>
      </c>
      <c r="C480" s="117" t="s">
        <v>1144</v>
      </c>
      <c r="D480" s="72" t="s">
        <v>1145</v>
      </c>
      <c r="E480" s="72">
        <v>2</v>
      </c>
      <c r="F480" s="72">
        <v>2</v>
      </c>
      <c r="G480" s="70" t="s">
        <v>1142</v>
      </c>
      <c r="H480" s="125"/>
      <c r="I480" s="37">
        <f t="shared" si="31"/>
        <v>0</v>
      </c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>
        <f t="shared" si="28"/>
        <v>0</v>
      </c>
      <c r="W480" s="36"/>
      <c r="X480" s="38">
        <v>30000</v>
      </c>
      <c r="Y480" s="38" t="str">
        <f t="shared" si="29"/>
        <v>无需保养</v>
      </c>
      <c r="Z480" s="38">
        <f t="shared" si="30"/>
        <v>1</v>
      </c>
      <c r="AA480" s="164"/>
      <c r="AB480" s="164"/>
      <c r="AC480" s="164"/>
      <c r="AD480" s="164"/>
      <c r="AE480" s="164"/>
      <c r="AF480" s="164"/>
      <c r="AG480" s="164"/>
      <c r="AH480" s="164"/>
      <c r="AI480" s="164"/>
      <c r="AJ480" s="164"/>
      <c r="AK480" s="164"/>
      <c r="AL480" s="164"/>
      <c r="AM480" s="164"/>
      <c r="AN480" s="164"/>
      <c r="AO480" s="164"/>
      <c r="AP480" s="164"/>
      <c r="AQ480" s="164"/>
      <c r="AR480" s="164"/>
      <c r="AS480" s="164"/>
      <c r="AT480" s="164"/>
      <c r="AU480" s="164"/>
      <c r="AV480" s="164"/>
      <c r="AW480" s="164"/>
      <c r="AX480" s="164"/>
      <c r="AY480" s="164"/>
      <c r="AZ480" s="164"/>
      <c r="BA480" s="164"/>
      <c r="BB480" s="164"/>
      <c r="BC480" s="164"/>
      <c r="BD480" s="164"/>
    </row>
    <row r="481" spans="1:56" ht="14.25" customHeight="1">
      <c r="A481" s="2">
        <v>479</v>
      </c>
      <c r="B481" s="75" t="s">
        <v>1146</v>
      </c>
      <c r="C481" s="117" t="s">
        <v>1147</v>
      </c>
      <c r="D481" s="72" t="s">
        <v>1148</v>
      </c>
      <c r="E481" s="72">
        <v>1</v>
      </c>
      <c r="F481" s="72">
        <v>1</v>
      </c>
      <c r="G481" s="70" t="s">
        <v>1142</v>
      </c>
      <c r="H481" s="125"/>
      <c r="I481" s="37">
        <f t="shared" si="31"/>
        <v>0</v>
      </c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>
        <f t="shared" si="28"/>
        <v>0</v>
      </c>
      <c r="W481" s="36"/>
      <c r="X481" s="38">
        <v>30000</v>
      </c>
      <c r="Y481" s="38" t="str">
        <f t="shared" si="29"/>
        <v>无需保养</v>
      </c>
      <c r="Z481" s="38">
        <f t="shared" si="30"/>
        <v>1</v>
      </c>
      <c r="AA481" s="164"/>
      <c r="AB481" s="164"/>
      <c r="AC481" s="164"/>
      <c r="AD481" s="164"/>
      <c r="AE481" s="164"/>
      <c r="AF481" s="164"/>
      <c r="AG481" s="164"/>
      <c r="AH481" s="164"/>
      <c r="AI481" s="164"/>
      <c r="AJ481" s="164"/>
      <c r="AK481" s="164"/>
      <c r="AL481" s="164"/>
      <c r="AM481" s="164"/>
      <c r="AN481" s="164"/>
      <c r="AO481" s="164"/>
      <c r="AP481" s="164"/>
      <c r="AQ481" s="164"/>
      <c r="AR481" s="164"/>
      <c r="AS481" s="164"/>
      <c r="AT481" s="164"/>
      <c r="AU481" s="164"/>
      <c r="AV481" s="164"/>
      <c r="AW481" s="164"/>
      <c r="AX481" s="164"/>
      <c r="AY481" s="164"/>
      <c r="AZ481" s="164"/>
      <c r="BA481" s="164"/>
      <c r="BB481" s="164"/>
      <c r="BC481" s="164"/>
      <c r="BD481" s="164"/>
    </row>
    <row r="482" spans="1:56" ht="14.25" customHeight="1">
      <c r="A482" s="2">
        <v>480</v>
      </c>
      <c r="B482" s="75" t="s">
        <v>1149</v>
      </c>
      <c r="C482" s="117" t="s">
        <v>1150</v>
      </c>
      <c r="D482" s="72" t="s">
        <v>1151</v>
      </c>
      <c r="E482" s="72">
        <v>2</v>
      </c>
      <c r="F482" s="72">
        <v>2</v>
      </c>
      <c r="G482" s="70" t="s">
        <v>1152</v>
      </c>
      <c r="H482" s="125"/>
      <c r="I482" s="37">
        <f t="shared" si="31"/>
        <v>0</v>
      </c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>
        <f t="shared" si="28"/>
        <v>0</v>
      </c>
      <c r="W482" s="36"/>
      <c r="X482" s="38">
        <v>30000</v>
      </c>
      <c r="Y482" s="38" t="str">
        <f t="shared" si="29"/>
        <v>无需保养</v>
      </c>
      <c r="Z482" s="38">
        <f t="shared" si="30"/>
        <v>1</v>
      </c>
      <c r="AA482" s="164"/>
      <c r="AB482" s="164"/>
      <c r="AC482" s="164"/>
      <c r="AD482" s="164"/>
      <c r="AE482" s="164"/>
      <c r="AF482" s="164"/>
      <c r="AG482" s="164"/>
      <c r="AH482" s="164"/>
      <c r="AI482" s="164"/>
      <c r="AJ482" s="164"/>
      <c r="AK482" s="164"/>
      <c r="AL482" s="164"/>
      <c r="AM482" s="164"/>
      <c r="AN482" s="164"/>
      <c r="AO482" s="164"/>
      <c r="AP482" s="164"/>
      <c r="AQ482" s="164"/>
      <c r="AR482" s="164"/>
      <c r="AS482" s="164"/>
      <c r="AT482" s="164"/>
      <c r="AU482" s="164"/>
      <c r="AV482" s="164"/>
      <c r="AW482" s="164"/>
      <c r="AX482" s="164"/>
      <c r="AY482" s="164"/>
      <c r="AZ482" s="164"/>
      <c r="BA482" s="164"/>
      <c r="BB482" s="164"/>
      <c r="BC482" s="164"/>
      <c r="BD482" s="164"/>
    </row>
    <row r="483" spans="1:56" ht="14.25" customHeight="1">
      <c r="A483" s="2">
        <v>481</v>
      </c>
      <c r="B483" s="75" t="s">
        <v>1153</v>
      </c>
      <c r="C483" s="117" t="s">
        <v>1154</v>
      </c>
      <c r="D483" s="149" t="s">
        <v>1155</v>
      </c>
      <c r="E483" s="72">
        <v>2</v>
      </c>
      <c r="F483" s="72">
        <v>2</v>
      </c>
      <c r="G483" s="70" t="s">
        <v>1156</v>
      </c>
      <c r="H483" s="125"/>
      <c r="I483" s="37">
        <f t="shared" si="31"/>
        <v>0</v>
      </c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>
        <f t="shared" si="28"/>
        <v>0</v>
      </c>
      <c r="W483" s="36"/>
      <c r="X483" s="38">
        <v>30000</v>
      </c>
      <c r="Y483" s="38" t="str">
        <f t="shared" si="29"/>
        <v>无需保养</v>
      </c>
      <c r="Z483" s="38">
        <f t="shared" si="30"/>
        <v>1</v>
      </c>
      <c r="AA483" s="164"/>
      <c r="AB483" s="164"/>
      <c r="AC483" s="164"/>
      <c r="AD483" s="164"/>
      <c r="AE483" s="164"/>
      <c r="AF483" s="164"/>
      <c r="AG483" s="164"/>
      <c r="AH483" s="164"/>
      <c r="AI483" s="164"/>
      <c r="AJ483" s="164"/>
      <c r="AK483" s="164"/>
      <c r="AL483" s="164"/>
      <c r="AM483" s="164"/>
      <c r="AN483" s="164"/>
      <c r="AO483" s="164"/>
      <c r="AP483" s="164"/>
      <c r="AQ483" s="164"/>
      <c r="AR483" s="164"/>
      <c r="AS483" s="164"/>
      <c r="AT483" s="164"/>
      <c r="AU483" s="164"/>
      <c r="AV483" s="164"/>
      <c r="AW483" s="164"/>
      <c r="AX483" s="164"/>
      <c r="AY483" s="164"/>
      <c r="AZ483" s="164"/>
      <c r="BA483" s="164"/>
      <c r="BB483" s="164"/>
      <c r="BC483" s="164"/>
      <c r="BD483" s="164"/>
    </row>
    <row r="484" spans="1:56" ht="14.25" customHeight="1">
      <c r="A484" s="2">
        <v>482</v>
      </c>
      <c r="B484" s="75" t="s">
        <v>1157</v>
      </c>
      <c r="C484" s="117" t="s">
        <v>1158</v>
      </c>
      <c r="D484" s="149" t="s">
        <v>1159</v>
      </c>
      <c r="E484" s="72">
        <v>2</v>
      </c>
      <c r="F484" s="72">
        <v>2</v>
      </c>
      <c r="G484" s="70" t="s">
        <v>1160</v>
      </c>
      <c r="H484" s="125"/>
      <c r="I484" s="37">
        <f t="shared" si="31"/>
        <v>0</v>
      </c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>
        <f t="shared" si="28"/>
        <v>0</v>
      </c>
      <c r="W484" s="36"/>
      <c r="X484" s="38">
        <v>30000</v>
      </c>
      <c r="Y484" s="38" t="str">
        <f t="shared" si="29"/>
        <v>无需保养</v>
      </c>
      <c r="Z484" s="38">
        <f t="shared" si="30"/>
        <v>1</v>
      </c>
      <c r="AA484" s="164"/>
      <c r="AB484" s="164"/>
      <c r="AC484" s="164"/>
      <c r="AD484" s="164"/>
      <c r="AE484" s="164"/>
      <c r="AF484" s="164"/>
      <c r="AG484" s="164"/>
      <c r="AH484" s="164"/>
      <c r="AI484" s="164"/>
      <c r="AJ484" s="164"/>
      <c r="AK484" s="164"/>
      <c r="AL484" s="164"/>
      <c r="AM484" s="164"/>
      <c r="AN484" s="164"/>
      <c r="AO484" s="164"/>
      <c r="AP484" s="164"/>
      <c r="AQ484" s="164"/>
      <c r="AR484" s="164"/>
      <c r="AS484" s="164"/>
      <c r="AT484" s="164"/>
      <c r="AU484" s="164"/>
      <c r="AV484" s="164"/>
      <c r="AW484" s="164"/>
      <c r="AX484" s="164"/>
      <c r="AY484" s="164"/>
      <c r="AZ484" s="164"/>
      <c r="BA484" s="164"/>
      <c r="BB484" s="164"/>
      <c r="BC484" s="164"/>
      <c r="BD484" s="164"/>
    </row>
    <row r="485" spans="1:56" ht="14.25" customHeight="1">
      <c r="A485" s="2">
        <v>483</v>
      </c>
      <c r="B485" s="75" t="s">
        <v>1161</v>
      </c>
      <c r="C485" s="117" t="s">
        <v>1162</v>
      </c>
      <c r="D485" s="149" t="s">
        <v>1163</v>
      </c>
      <c r="E485" s="72">
        <v>2</v>
      </c>
      <c r="F485" s="72">
        <v>2</v>
      </c>
      <c r="G485" s="70" t="s">
        <v>1164</v>
      </c>
      <c r="H485" s="125"/>
      <c r="I485" s="37">
        <f t="shared" si="31"/>
        <v>0</v>
      </c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>
        <f t="shared" si="28"/>
        <v>0</v>
      </c>
      <c r="W485" s="36"/>
      <c r="X485" s="38">
        <v>30000</v>
      </c>
      <c r="Y485" s="38" t="str">
        <f t="shared" si="29"/>
        <v>无需保养</v>
      </c>
      <c r="Z485" s="38">
        <f t="shared" si="30"/>
        <v>1</v>
      </c>
      <c r="AA485" s="164"/>
      <c r="AB485" s="164"/>
      <c r="AC485" s="164"/>
      <c r="AD485" s="164"/>
      <c r="AE485" s="164"/>
      <c r="AF485" s="164"/>
      <c r="AG485" s="164"/>
      <c r="AH485" s="164"/>
      <c r="AI485" s="164"/>
      <c r="AJ485" s="164"/>
      <c r="AK485" s="164"/>
      <c r="AL485" s="164"/>
      <c r="AM485" s="164"/>
      <c r="AN485" s="164"/>
      <c r="AO485" s="164"/>
      <c r="AP485" s="164"/>
      <c r="AQ485" s="164"/>
      <c r="AR485" s="164"/>
      <c r="AS485" s="164"/>
      <c r="AT485" s="164"/>
      <c r="AU485" s="164"/>
      <c r="AV485" s="164"/>
      <c r="AW485" s="164"/>
      <c r="AX485" s="164"/>
      <c r="AY485" s="164"/>
      <c r="AZ485" s="164"/>
      <c r="BA485" s="164"/>
      <c r="BB485" s="164"/>
      <c r="BC485" s="164"/>
      <c r="BD485" s="164"/>
    </row>
    <row r="486" spans="1:56" ht="14.25" customHeight="1">
      <c r="A486" s="2">
        <v>484</v>
      </c>
      <c r="B486" s="75" t="s">
        <v>1165</v>
      </c>
      <c r="C486" s="117" t="s">
        <v>1166</v>
      </c>
      <c r="D486" s="149" t="s">
        <v>1167</v>
      </c>
      <c r="E486" s="72">
        <v>4</v>
      </c>
      <c r="F486" s="72">
        <v>4</v>
      </c>
      <c r="G486" s="70" t="s">
        <v>1168</v>
      </c>
      <c r="H486" s="125"/>
      <c r="I486" s="37">
        <f t="shared" si="31"/>
        <v>0</v>
      </c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>
        <f t="shared" si="28"/>
        <v>0</v>
      </c>
      <c r="W486" s="36"/>
      <c r="X486" s="38">
        <v>30000</v>
      </c>
      <c r="Y486" s="38" t="str">
        <f t="shared" si="29"/>
        <v>无需保养</v>
      </c>
      <c r="Z486" s="38">
        <f t="shared" si="30"/>
        <v>1</v>
      </c>
      <c r="AA486" s="164"/>
      <c r="AB486" s="164"/>
      <c r="AC486" s="164"/>
      <c r="AD486" s="164"/>
      <c r="AE486" s="164"/>
      <c r="AF486" s="164"/>
      <c r="AG486" s="164"/>
      <c r="AH486" s="164"/>
      <c r="AI486" s="164"/>
      <c r="AJ486" s="164"/>
      <c r="AK486" s="164"/>
      <c r="AL486" s="164"/>
      <c r="AM486" s="164"/>
      <c r="AN486" s="164"/>
      <c r="AO486" s="164"/>
      <c r="AP486" s="164"/>
      <c r="AQ486" s="164"/>
      <c r="AR486" s="164"/>
      <c r="AS486" s="164"/>
      <c r="AT486" s="164"/>
      <c r="AU486" s="164"/>
      <c r="AV486" s="164"/>
      <c r="AW486" s="164"/>
      <c r="AX486" s="164"/>
      <c r="AY486" s="164"/>
      <c r="AZ486" s="164"/>
      <c r="BA486" s="164"/>
      <c r="BB486" s="164"/>
      <c r="BC486" s="164"/>
      <c r="BD486" s="164"/>
    </row>
    <row r="487" spans="1:56" ht="14.25" customHeight="1">
      <c r="A487" s="2">
        <v>485</v>
      </c>
      <c r="B487" s="75" t="s">
        <v>1169</v>
      </c>
      <c r="C487" s="74" t="s">
        <v>1169</v>
      </c>
      <c r="D487" s="74" t="s">
        <v>1170</v>
      </c>
      <c r="E487" s="72">
        <v>1</v>
      </c>
      <c r="F487" s="72">
        <v>1</v>
      </c>
      <c r="G487" s="70" t="s">
        <v>1171</v>
      </c>
      <c r="H487" s="125"/>
      <c r="I487" s="37">
        <f t="shared" si="31"/>
        <v>0</v>
      </c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>
        <f t="shared" si="28"/>
        <v>0</v>
      </c>
      <c r="W487" s="36"/>
      <c r="X487" s="38">
        <v>30000</v>
      </c>
      <c r="Y487" s="38" t="str">
        <f t="shared" si="29"/>
        <v>无需保养</v>
      </c>
      <c r="Z487" s="38">
        <f t="shared" si="30"/>
        <v>1</v>
      </c>
      <c r="AA487" s="164"/>
      <c r="AB487" s="164"/>
      <c r="AC487" s="164"/>
      <c r="AD487" s="164"/>
      <c r="AE487" s="164"/>
      <c r="AF487" s="164"/>
      <c r="AG487" s="164"/>
      <c r="AH487" s="164"/>
      <c r="AI487" s="164"/>
      <c r="AJ487" s="164"/>
      <c r="AK487" s="164"/>
      <c r="AL487" s="164"/>
      <c r="AM487" s="164"/>
      <c r="AN487" s="164"/>
      <c r="AO487" s="164"/>
      <c r="AP487" s="164"/>
      <c r="AQ487" s="164"/>
      <c r="AR487" s="164"/>
      <c r="AS487" s="164"/>
      <c r="AT487" s="164"/>
      <c r="AU487" s="164"/>
      <c r="AV487" s="164"/>
      <c r="AW487" s="164"/>
      <c r="AX487" s="164"/>
      <c r="AY487" s="164"/>
      <c r="AZ487" s="164"/>
      <c r="BA487" s="164"/>
      <c r="BB487" s="164"/>
      <c r="BC487" s="164"/>
      <c r="BD487" s="164"/>
    </row>
    <row r="488" spans="1:56" ht="14.25" customHeight="1">
      <c r="A488" s="2">
        <v>488</v>
      </c>
      <c r="B488" s="75" t="s">
        <v>1172</v>
      </c>
      <c r="C488" s="78" t="s">
        <v>1173</v>
      </c>
      <c r="D488" s="149" t="s">
        <v>1174</v>
      </c>
      <c r="E488" s="74">
        <v>8</v>
      </c>
      <c r="F488" s="74">
        <v>8</v>
      </c>
      <c r="G488" s="75" t="s">
        <v>1175</v>
      </c>
      <c r="H488" s="126"/>
      <c r="I488" s="37">
        <f t="shared" si="31"/>
        <v>0</v>
      </c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>
        <f t="shared" si="28"/>
        <v>0</v>
      </c>
      <c r="W488" s="36"/>
      <c r="X488" s="38">
        <v>30000</v>
      </c>
      <c r="Y488" s="38" t="str">
        <f t="shared" si="29"/>
        <v>无需保养</v>
      </c>
      <c r="Z488" s="38">
        <f t="shared" si="30"/>
        <v>1</v>
      </c>
      <c r="AA488" s="164"/>
      <c r="AB488" s="164"/>
      <c r="AC488" s="164"/>
      <c r="AD488" s="164"/>
      <c r="AE488" s="164"/>
      <c r="AF488" s="164"/>
      <c r="AG488" s="164"/>
      <c r="AH488" s="164"/>
      <c r="AI488" s="164"/>
      <c r="AJ488" s="164"/>
      <c r="AK488" s="164"/>
      <c r="AL488" s="164"/>
      <c r="AM488" s="164"/>
      <c r="AN488" s="164"/>
      <c r="AO488" s="164"/>
      <c r="AP488" s="164"/>
      <c r="AQ488" s="164"/>
      <c r="AR488" s="164"/>
      <c r="AS488" s="164"/>
      <c r="AT488" s="164"/>
      <c r="AU488" s="164"/>
      <c r="AV488" s="164"/>
      <c r="AW488" s="164"/>
      <c r="AX488" s="164"/>
      <c r="AY488" s="164"/>
      <c r="AZ488" s="164"/>
      <c r="BA488" s="164"/>
      <c r="BB488" s="164"/>
      <c r="BC488" s="164"/>
      <c r="BD488" s="164"/>
    </row>
    <row r="489" spans="1:56" ht="14.25" customHeight="1">
      <c r="A489" s="2">
        <v>491</v>
      </c>
      <c r="B489" s="75" t="s">
        <v>1176</v>
      </c>
      <c r="C489" s="117" t="s">
        <v>1177</v>
      </c>
      <c r="D489" s="149" t="s">
        <v>1178</v>
      </c>
      <c r="E489" s="74">
        <v>8</v>
      </c>
      <c r="F489" s="74">
        <v>8</v>
      </c>
      <c r="G489" s="75" t="s">
        <v>1175</v>
      </c>
      <c r="H489" s="126"/>
      <c r="I489" s="37">
        <f t="shared" si="31"/>
        <v>0</v>
      </c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>
        <f t="shared" si="28"/>
        <v>0</v>
      </c>
      <c r="W489" s="36"/>
      <c r="X489" s="38">
        <v>30000</v>
      </c>
      <c r="Y489" s="38" t="str">
        <f t="shared" si="29"/>
        <v>无需保养</v>
      </c>
      <c r="Z489" s="38">
        <f t="shared" si="30"/>
        <v>1</v>
      </c>
      <c r="AA489" s="164"/>
      <c r="AB489" s="164"/>
      <c r="AC489" s="164"/>
      <c r="AD489" s="164"/>
      <c r="AE489" s="164"/>
      <c r="AF489" s="164"/>
      <c r="AG489" s="164"/>
      <c r="AH489" s="164"/>
      <c r="AI489" s="164"/>
      <c r="AJ489" s="164"/>
      <c r="AK489" s="164"/>
      <c r="AL489" s="164"/>
      <c r="AM489" s="164"/>
      <c r="AN489" s="164"/>
      <c r="AO489" s="164"/>
      <c r="AP489" s="164"/>
      <c r="AQ489" s="164"/>
      <c r="AR489" s="164"/>
      <c r="AS489" s="164"/>
      <c r="AT489" s="164"/>
      <c r="AU489" s="164"/>
      <c r="AV489" s="164"/>
      <c r="AW489" s="164"/>
      <c r="AX489" s="164"/>
      <c r="AY489" s="164"/>
      <c r="AZ489" s="164"/>
      <c r="BA489" s="164"/>
      <c r="BB489" s="164"/>
      <c r="BC489" s="164"/>
      <c r="BD489" s="164"/>
    </row>
    <row r="490" spans="1:56" ht="14.25" customHeight="1">
      <c r="A490" s="2">
        <v>492</v>
      </c>
      <c r="B490" s="75" t="s">
        <v>1179</v>
      </c>
      <c r="C490" s="117" t="s">
        <v>1180</v>
      </c>
      <c r="D490" s="149" t="s">
        <v>1181</v>
      </c>
      <c r="E490" s="74">
        <v>16</v>
      </c>
      <c r="F490" s="74">
        <v>16</v>
      </c>
      <c r="G490" s="75" t="s">
        <v>1160</v>
      </c>
      <c r="H490" s="126"/>
      <c r="I490" s="37">
        <f t="shared" si="31"/>
        <v>0</v>
      </c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>
        <f t="shared" si="28"/>
        <v>0</v>
      </c>
      <c r="W490" s="36"/>
      <c r="X490" s="38">
        <v>30000</v>
      </c>
      <c r="Y490" s="38" t="str">
        <f t="shared" si="29"/>
        <v>无需保养</v>
      </c>
      <c r="Z490" s="38">
        <f t="shared" si="30"/>
        <v>1</v>
      </c>
      <c r="AA490" s="164"/>
      <c r="AB490" s="164"/>
      <c r="AC490" s="164"/>
      <c r="AD490" s="164"/>
      <c r="AE490" s="164"/>
      <c r="AF490" s="164"/>
      <c r="AG490" s="164"/>
      <c r="AH490" s="164"/>
      <c r="AI490" s="164"/>
      <c r="AJ490" s="164"/>
      <c r="AK490" s="164"/>
      <c r="AL490" s="164"/>
      <c r="AM490" s="164"/>
      <c r="AN490" s="164"/>
      <c r="AO490" s="164"/>
      <c r="AP490" s="164"/>
      <c r="AQ490" s="164"/>
      <c r="AR490" s="164"/>
      <c r="AS490" s="164"/>
      <c r="AT490" s="164"/>
      <c r="AU490" s="164"/>
      <c r="AV490" s="164"/>
      <c r="AW490" s="164"/>
      <c r="AX490" s="164"/>
      <c r="AY490" s="164"/>
      <c r="AZ490" s="164"/>
      <c r="BA490" s="164"/>
      <c r="BB490" s="164"/>
      <c r="BC490" s="164"/>
      <c r="BD490" s="164"/>
    </row>
    <row r="491" spans="1:56" ht="14.25" customHeight="1">
      <c r="A491" s="2">
        <v>493</v>
      </c>
      <c r="B491" s="75" t="s">
        <v>1182</v>
      </c>
      <c r="C491" s="117" t="s">
        <v>1183</v>
      </c>
      <c r="D491" s="149" t="s">
        <v>1184</v>
      </c>
      <c r="E491" s="74">
        <v>4</v>
      </c>
      <c r="F491" s="74">
        <v>4</v>
      </c>
      <c r="G491" s="75" t="s">
        <v>1160</v>
      </c>
      <c r="H491" s="126"/>
      <c r="I491" s="37">
        <f t="shared" si="31"/>
        <v>0</v>
      </c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>
        <f t="shared" si="28"/>
        <v>0</v>
      </c>
      <c r="W491" s="36"/>
      <c r="X491" s="38">
        <v>30000</v>
      </c>
      <c r="Y491" s="38" t="str">
        <f t="shared" si="29"/>
        <v>无需保养</v>
      </c>
      <c r="Z491" s="38">
        <f t="shared" si="30"/>
        <v>1</v>
      </c>
      <c r="AA491" s="164"/>
      <c r="AB491" s="164"/>
      <c r="AC491" s="164"/>
      <c r="AD491" s="164"/>
      <c r="AE491" s="164"/>
      <c r="AF491" s="164"/>
      <c r="AG491" s="164"/>
      <c r="AH491" s="164"/>
      <c r="AI491" s="164"/>
      <c r="AJ491" s="164"/>
      <c r="AK491" s="164"/>
      <c r="AL491" s="164"/>
      <c r="AM491" s="164"/>
      <c r="AN491" s="164"/>
      <c r="AO491" s="164"/>
      <c r="AP491" s="164"/>
      <c r="AQ491" s="164"/>
      <c r="AR491" s="164"/>
      <c r="AS491" s="164"/>
      <c r="AT491" s="164"/>
      <c r="AU491" s="164"/>
      <c r="AV491" s="164"/>
      <c r="AW491" s="164"/>
      <c r="AX491" s="164"/>
      <c r="AY491" s="164"/>
      <c r="AZ491" s="164"/>
      <c r="BA491" s="164"/>
      <c r="BB491" s="164"/>
      <c r="BC491" s="164"/>
      <c r="BD491" s="164"/>
    </row>
    <row r="492" spans="1:56" ht="14.25" customHeight="1">
      <c r="A492" s="2">
        <v>494</v>
      </c>
      <c r="B492" s="75" t="s">
        <v>1185</v>
      </c>
      <c r="C492" s="117" t="s">
        <v>1186</v>
      </c>
      <c r="D492" s="149" t="s">
        <v>1187</v>
      </c>
      <c r="E492" s="74">
        <v>3</v>
      </c>
      <c r="F492" s="74">
        <v>3</v>
      </c>
      <c r="G492" s="75" t="s">
        <v>1160</v>
      </c>
      <c r="H492" s="126"/>
      <c r="I492" s="37">
        <f t="shared" si="31"/>
        <v>0</v>
      </c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>
        <f t="shared" si="28"/>
        <v>0</v>
      </c>
      <c r="W492" s="36"/>
      <c r="X492" s="38">
        <v>30000</v>
      </c>
      <c r="Y492" s="38" t="str">
        <f t="shared" si="29"/>
        <v>无需保养</v>
      </c>
      <c r="Z492" s="38">
        <f t="shared" si="30"/>
        <v>1</v>
      </c>
      <c r="AA492" s="164"/>
      <c r="AB492" s="164"/>
      <c r="AC492" s="164"/>
      <c r="AD492" s="164"/>
      <c r="AE492" s="164"/>
      <c r="AF492" s="164"/>
      <c r="AG492" s="164"/>
      <c r="AH492" s="164"/>
      <c r="AI492" s="164"/>
      <c r="AJ492" s="164"/>
      <c r="AK492" s="164"/>
      <c r="AL492" s="164"/>
      <c r="AM492" s="164"/>
      <c r="AN492" s="164"/>
      <c r="AO492" s="164"/>
      <c r="AP492" s="164"/>
      <c r="AQ492" s="164"/>
      <c r="AR492" s="164"/>
      <c r="AS492" s="164"/>
      <c r="AT492" s="164"/>
      <c r="AU492" s="164"/>
      <c r="AV492" s="164"/>
      <c r="AW492" s="164"/>
      <c r="AX492" s="164"/>
      <c r="AY492" s="164"/>
      <c r="AZ492" s="164"/>
      <c r="BA492" s="164"/>
      <c r="BB492" s="164"/>
      <c r="BC492" s="164"/>
      <c r="BD492" s="164"/>
    </row>
    <row r="493" spans="1:56" ht="14.25" customHeight="1">
      <c r="A493" s="2">
        <v>495</v>
      </c>
      <c r="B493" s="75" t="s">
        <v>1188</v>
      </c>
      <c r="C493" s="117" t="s">
        <v>1189</v>
      </c>
      <c r="D493" s="149" t="s">
        <v>1190</v>
      </c>
      <c r="E493" s="76">
        <v>4</v>
      </c>
      <c r="F493" s="76">
        <v>4</v>
      </c>
      <c r="G493" s="75" t="s">
        <v>1124</v>
      </c>
      <c r="H493" s="126"/>
      <c r="I493" s="37">
        <f t="shared" si="31"/>
        <v>0</v>
      </c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>
        <f t="shared" si="28"/>
        <v>0</v>
      </c>
      <c r="W493" s="36"/>
      <c r="X493" s="38">
        <v>30000</v>
      </c>
      <c r="Y493" s="38" t="str">
        <f t="shared" si="29"/>
        <v>无需保养</v>
      </c>
      <c r="Z493" s="38">
        <f t="shared" si="30"/>
        <v>1</v>
      </c>
      <c r="AA493" s="164"/>
      <c r="AB493" s="164"/>
      <c r="AC493" s="164"/>
      <c r="AD493" s="164"/>
      <c r="AE493" s="164"/>
      <c r="AF493" s="164"/>
      <c r="AG493" s="164"/>
      <c r="AH493" s="164"/>
      <c r="AI493" s="164"/>
      <c r="AJ493" s="164"/>
      <c r="AK493" s="164"/>
      <c r="AL493" s="164"/>
      <c r="AM493" s="164"/>
      <c r="AN493" s="164"/>
      <c r="AO493" s="164"/>
      <c r="AP493" s="164"/>
      <c r="AQ493" s="164"/>
      <c r="AR493" s="164"/>
      <c r="AS493" s="164"/>
      <c r="AT493" s="164"/>
      <c r="AU493" s="164"/>
      <c r="AV493" s="164"/>
      <c r="AW493" s="164"/>
      <c r="AX493" s="164"/>
      <c r="AY493" s="164"/>
      <c r="AZ493" s="164"/>
      <c r="BA493" s="164"/>
      <c r="BB493" s="164"/>
      <c r="BC493" s="164"/>
      <c r="BD493" s="164"/>
    </row>
    <row r="494" spans="1:56" ht="14.25" customHeight="1">
      <c r="A494" s="2">
        <v>496</v>
      </c>
      <c r="B494" s="75" t="s">
        <v>1191</v>
      </c>
      <c r="C494" s="117" t="s">
        <v>1192</v>
      </c>
      <c r="D494" s="149" t="s">
        <v>1193</v>
      </c>
      <c r="E494" s="74">
        <v>2</v>
      </c>
      <c r="F494" s="74">
        <v>2</v>
      </c>
      <c r="G494" s="75" t="s">
        <v>1160</v>
      </c>
      <c r="H494" s="126"/>
      <c r="I494" s="37">
        <f t="shared" si="31"/>
        <v>0</v>
      </c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>
        <f t="shared" si="28"/>
        <v>0</v>
      </c>
      <c r="W494" s="36"/>
      <c r="X494" s="38">
        <v>30000</v>
      </c>
      <c r="Y494" s="38" t="str">
        <f t="shared" si="29"/>
        <v>无需保养</v>
      </c>
      <c r="Z494" s="38">
        <f t="shared" si="30"/>
        <v>1</v>
      </c>
      <c r="AA494" s="164"/>
      <c r="AB494" s="164"/>
      <c r="AC494" s="164"/>
      <c r="AD494" s="164"/>
      <c r="AE494" s="164"/>
      <c r="AF494" s="164"/>
      <c r="AG494" s="164"/>
      <c r="AH494" s="164"/>
      <c r="AI494" s="164"/>
      <c r="AJ494" s="164"/>
      <c r="AK494" s="164"/>
      <c r="AL494" s="164"/>
      <c r="AM494" s="164"/>
      <c r="AN494" s="164"/>
      <c r="AO494" s="164"/>
      <c r="AP494" s="164"/>
      <c r="AQ494" s="164"/>
      <c r="AR494" s="164"/>
      <c r="AS494" s="164"/>
      <c r="AT494" s="164"/>
      <c r="AU494" s="164"/>
      <c r="AV494" s="164"/>
      <c r="AW494" s="164"/>
      <c r="AX494" s="164"/>
      <c r="AY494" s="164"/>
      <c r="AZ494" s="164"/>
      <c r="BA494" s="164"/>
      <c r="BB494" s="164"/>
      <c r="BC494" s="164"/>
      <c r="BD494" s="164"/>
    </row>
    <row r="495" spans="1:56" ht="14.25" customHeight="1">
      <c r="A495" s="2">
        <v>497</v>
      </c>
      <c r="B495" s="75" t="s">
        <v>1194</v>
      </c>
      <c r="C495" s="117" t="s">
        <v>1195</v>
      </c>
      <c r="D495" s="149" t="s">
        <v>1196</v>
      </c>
      <c r="E495" s="74">
        <v>4</v>
      </c>
      <c r="F495" s="74">
        <v>4</v>
      </c>
      <c r="G495" s="75" t="s">
        <v>1124</v>
      </c>
      <c r="H495" s="126"/>
      <c r="I495" s="37">
        <f t="shared" si="31"/>
        <v>0</v>
      </c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>
        <f t="shared" si="28"/>
        <v>0</v>
      </c>
      <c r="W495" s="36"/>
      <c r="X495" s="38">
        <v>30000</v>
      </c>
      <c r="Y495" s="38" t="str">
        <f t="shared" si="29"/>
        <v>无需保养</v>
      </c>
      <c r="Z495" s="38">
        <f t="shared" si="30"/>
        <v>1</v>
      </c>
      <c r="AA495" s="164"/>
      <c r="AB495" s="164"/>
      <c r="AC495" s="164"/>
      <c r="AD495" s="164"/>
      <c r="AE495" s="164"/>
      <c r="AF495" s="164"/>
      <c r="AG495" s="164"/>
      <c r="AH495" s="164"/>
      <c r="AI495" s="164"/>
      <c r="AJ495" s="164"/>
      <c r="AK495" s="164"/>
      <c r="AL495" s="164"/>
      <c r="AM495" s="164"/>
      <c r="AN495" s="164"/>
      <c r="AO495" s="164"/>
      <c r="AP495" s="164"/>
      <c r="AQ495" s="164"/>
      <c r="AR495" s="164"/>
      <c r="AS495" s="164"/>
      <c r="AT495" s="164"/>
      <c r="AU495" s="164"/>
      <c r="AV495" s="164"/>
      <c r="AW495" s="164"/>
      <c r="AX495" s="164"/>
      <c r="AY495" s="164"/>
      <c r="AZ495" s="164"/>
      <c r="BA495" s="164"/>
      <c r="BB495" s="164"/>
      <c r="BC495" s="164"/>
      <c r="BD495" s="164"/>
    </row>
    <row r="496" spans="1:56" ht="14.25" customHeight="1">
      <c r="A496" s="2">
        <v>498</v>
      </c>
      <c r="B496" s="75" t="s">
        <v>1197</v>
      </c>
      <c r="C496" s="117" t="s">
        <v>1198</v>
      </c>
      <c r="D496" s="149" t="s">
        <v>1199</v>
      </c>
      <c r="E496" s="76">
        <v>4</v>
      </c>
      <c r="F496" s="76">
        <v>4</v>
      </c>
      <c r="G496" s="75" t="s">
        <v>1160</v>
      </c>
      <c r="H496" s="126"/>
      <c r="I496" s="37">
        <f t="shared" si="31"/>
        <v>0</v>
      </c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>
        <f t="shared" si="28"/>
        <v>0</v>
      </c>
      <c r="W496" s="36"/>
      <c r="X496" s="38">
        <v>30000</v>
      </c>
      <c r="Y496" s="38" t="str">
        <f t="shared" si="29"/>
        <v>无需保养</v>
      </c>
      <c r="Z496" s="38">
        <f t="shared" si="30"/>
        <v>1</v>
      </c>
      <c r="AA496" s="164"/>
      <c r="AB496" s="164"/>
      <c r="AC496" s="164"/>
      <c r="AD496" s="164"/>
      <c r="AE496" s="164"/>
      <c r="AF496" s="164"/>
      <c r="AG496" s="164"/>
      <c r="AH496" s="164"/>
      <c r="AI496" s="164"/>
      <c r="AJ496" s="164"/>
      <c r="AK496" s="164"/>
      <c r="AL496" s="164"/>
      <c r="AM496" s="164"/>
      <c r="AN496" s="164"/>
      <c r="AO496" s="164"/>
      <c r="AP496" s="164"/>
      <c r="AQ496" s="164"/>
      <c r="AR496" s="164"/>
      <c r="AS496" s="164"/>
      <c r="AT496" s="164"/>
      <c r="AU496" s="164"/>
      <c r="AV496" s="164"/>
      <c r="AW496" s="164"/>
      <c r="AX496" s="164"/>
      <c r="AY496" s="164"/>
      <c r="AZ496" s="164"/>
      <c r="BA496" s="164"/>
      <c r="BB496" s="164"/>
      <c r="BC496" s="164"/>
      <c r="BD496" s="164"/>
    </row>
    <row r="497" spans="1:56" ht="14.25" customHeight="1">
      <c r="A497" s="2">
        <v>499</v>
      </c>
      <c r="B497" s="75" t="s">
        <v>1200</v>
      </c>
      <c r="C497" s="117" t="s">
        <v>1201</v>
      </c>
      <c r="D497" s="149" t="s">
        <v>1202</v>
      </c>
      <c r="E497" s="74">
        <v>2</v>
      </c>
      <c r="F497" s="74">
        <v>2</v>
      </c>
      <c r="G497" s="75" t="s">
        <v>1160</v>
      </c>
      <c r="H497" s="126"/>
      <c r="I497" s="37">
        <f t="shared" si="31"/>
        <v>0</v>
      </c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>
        <f t="shared" si="28"/>
        <v>0</v>
      </c>
      <c r="W497" s="36"/>
      <c r="X497" s="38">
        <v>30000</v>
      </c>
      <c r="Y497" s="38" t="str">
        <f t="shared" si="29"/>
        <v>无需保养</v>
      </c>
      <c r="Z497" s="38">
        <f t="shared" si="30"/>
        <v>1</v>
      </c>
      <c r="AA497" s="164"/>
      <c r="AB497" s="164"/>
      <c r="AC497" s="164"/>
      <c r="AD497" s="164"/>
      <c r="AE497" s="164"/>
      <c r="AF497" s="164"/>
      <c r="AG497" s="164"/>
      <c r="AH497" s="164"/>
      <c r="AI497" s="164"/>
      <c r="AJ497" s="164"/>
      <c r="AK497" s="164"/>
      <c r="AL497" s="164"/>
      <c r="AM497" s="164"/>
      <c r="AN497" s="164"/>
      <c r="AO497" s="164"/>
      <c r="AP497" s="164"/>
      <c r="AQ497" s="164"/>
      <c r="AR497" s="164"/>
      <c r="AS497" s="164"/>
      <c r="AT497" s="164"/>
      <c r="AU497" s="164"/>
      <c r="AV497" s="164"/>
      <c r="AW497" s="164"/>
      <c r="AX497" s="164"/>
      <c r="AY497" s="164"/>
      <c r="AZ497" s="164"/>
      <c r="BA497" s="164"/>
      <c r="BB497" s="164"/>
      <c r="BC497" s="164"/>
      <c r="BD497" s="164"/>
    </row>
    <row r="498" spans="1:56" ht="14.25" customHeight="1">
      <c r="A498" s="2">
        <v>500</v>
      </c>
      <c r="B498" s="75" t="s">
        <v>1203</v>
      </c>
      <c r="C498" s="78" t="s">
        <v>1204</v>
      </c>
      <c r="D498" s="149" t="s">
        <v>1205</v>
      </c>
      <c r="E498" s="74">
        <v>2</v>
      </c>
      <c r="F498" s="74">
        <v>2</v>
      </c>
      <c r="G498" s="75" t="s">
        <v>1160</v>
      </c>
      <c r="H498" s="126"/>
      <c r="I498" s="37">
        <f t="shared" si="31"/>
        <v>0</v>
      </c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>
        <f t="shared" si="28"/>
        <v>0</v>
      </c>
      <c r="W498" s="36"/>
      <c r="X498" s="38">
        <v>30000</v>
      </c>
      <c r="Y498" s="38" t="str">
        <f t="shared" si="29"/>
        <v>无需保养</v>
      </c>
      <c r="Z498" s="38">
        <f t="shared" si="30"/>
        <v>1</v>
      </c>
      <c r="AA498" s="164"/>
      <c r="AB498" s="164"/>
      <c r="AC498" s="164"/>
      <c r="AD498" s="164"/>
      <c r="AE498" s="164"/>
      <c r="AF498" s="164"/>
      <c r="AG498" s="164"/>
      <c r="AH498" s="164"/>
      <c r="AI498" s="164"/>
      <c r="AJ498" s="164"/>
      <c r="AK498" s="164"/>
      <c r="AL498" s="164"/>
      <c r="AM498" s="164"/>
      <c r="AN498" s="164"/>
      <c r="AO498" s="164"/>
      <c r="AP498" s="164"/>
      <c r="AQ498" s="164"/>
      <c r="AR498" s="164"/>
      <c r="AS498" s="164"/>
      <c r="AT498" s="164"/>
      <c r="AU498" s="164"/>
      <c r="AV498" s="164"/>
      <c r="AW498" s="164"/>
      <c r="AX498" s="164"/>
      <c r="AY498" s="164"/>
      <c r="AZ498" s="164"/>
      <c r="BA498" s="164"/>
      <c r="BB498" s="164"/>
      <c r="BC498" s="164"/>
      <c r="BD498" s="164"/>
    </row>
    <row r="499" spans="1:56" ht="14.25" customHeight="1">
      <c r="A499" s="2">
        <v>501</v>
      </c>
      <c r="B499" s="75" t="s">
        <v>1206</v>
      </c>
      <c r="C499" s="117" t="s">
        <v>1207</v>
      </c>
      <c r="D499" s="149" t="s">
        <v>1208</v>
      </c>
      <c r="E499" s="74">
        <v>2</v>
      </c>
      <c r="F499" s="74">
        <v>2</v>
      </c>
      <c r="G499" s="75" t="s">
        <v>1160</v>
      </c>
      <c r="H499" s="126"/>
      <c r="I499" s="37">
        <f t="shared" si="31"/>
        <v>0</v>
      </c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>
        <f t="shared" si="28"/>
        <v>0</v>
      </c>
      <c r="W499" s="36"/>
      <c r="X499" s="38">
        <v>30000</v>
      </c>
      <c r="Y499" s="38" t="str">
        <f t="shared" si="29"/>
        <v>无需保养</v>
      </c>
      <c r="Z499" s="38">
        <f t="shared" si="30"/>
        <v>1</v>
      </c>
      <c r="AA499" s="164"/>
      <c r="AB499" s="164"/>
      <c r="AC499" s="164"/>
      <c r="AD499" s="164"/>
      <c r="AE499" s="164"/>
      <c r="AF499" s="164"/>
      <c r="AG499" s="164"/>
      <c r="AH499" s="164"/>
      <c r="AI499" s="164"/>
      <c r="AJ499" s="164"/>
      <c r="AK499" s="164"/>
      <c r="AL499" s="164"/>
      <c r="AM499" s="164"/>
      <c r="AN499" s="164"/>
      <c r="AO499" s="164"/>
      <c r="AP499" s="164"/>
      <c r="AQ499" s="164"/>
      <c r="AR499" s="164"/>
      <c r="AS499" s="164"/>
      <c r="AT499" s="164"/>
      <c r="AU499" s="164"/>
      <c r="AV499" s="164"/>
      <c r="AW499" s="164"/>
      <c r="AX499" s="164"/>
      <c r="AY499" s="164"/>
      <c r="AZ499" s="164"/>
      <c r="BA499" s="164"/>
      <c r="BB499" s="164"/>
      <c r="BC499" s="164"/>
      <c r="BD499" s="164"/>
    </row>
    <row r="500" spans="1:56" ht="14.25" customHeight="1">
      <c r="A500" s="2">
        <v>502</v>
      </c>
      <c r="B500" s="75" t="s">
        <v>1209</v>
      </c>
      <c r="C500" s="117" t="s">
        <v>1210</v>
      </c>
      <c r="D500" s="149" t="s">
        <v>1211</v>
      </c>
      <c r="E500" s="74">
        <v>1</v>
      </c>
      <c r="F500" s="74">
        <v>1</v>
      </c>
      <c r="G500" s="75" t="s">
        <v>1142</v>
      </c>
      <c r="H500" s="126"/>
      <c r="I500" s="37">
        <f t="shared" si="31"/>
        <v>0</v>
      </c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>
        <f t="shared" si="28"/>
        <v>0</v>
      </c>
      <c r="W500" s="36"/>
      <c r="X500" s="38">
        <v>30000</v>
      </c>
      <c r="Y500" s="38" t="str">
        <f t="shared" si="29"/>
        <v>无需保养</v>
      </c>
      <c r="Z500" s="38">
        <f t="shared" si="30"/>
        <v>2</v>
      </c>
      <c r="AA500" s="164"/>
      <c r="AB500" s="164"/>
      <c r="AC500" s="164"/>
      <c r="AD500" s="164"/>
      <c r="AE500" s="164"/>
      <c r="AF500" s="164"/>
      <c r="AG500" s="164"/>
      <c r="AH500" s="164"/>
      <c r="AI500" s="164"/>
      <c r="AJ500" s="164"/>
      <c r="AK500" s="164"/>
      <c r="AL500" s="164"/>
      <c r="AM500" s="164"/>
      <c r="AN500" s="164"/>
      <c r="AO500" s="164"/>
      <c r="AP500" s="164"/>
      <c r="AQ500" s="164"/>
      <c r="AR500" s="164"/>
      <c r="AS500" s="164"/>
      <c r="AT500" s="164"/>
      <c r="AU500" s="164"/>
      <c r="AV500" s="164"/>
      <c r="AW500" s="164"/>
      <c r="AX500" s="164"/>
      <c r="AY500" s="164"/>
      <c r="AZ500" s="164"/>
      <c r="BA500" s="164"/>
      <c r="BB500" s="164"/>
      <c r="BC500" s="164"/>
      <c r="BD500" s="164"/>
    </row>
    <row r="501" spans="1:56" ht="14.25" customHeight="1">
      <c r="A501" s="2">
        <v>503</v>
      </c>
      <c r="B501" s="75" t="s">
        <v>1212</v>
      </c>
      <c r="C501" s="117" t="s">
        <v>1213</v>
      </c>
      <c r="D501" s="149" t="s">
        <v>1214</v>
      </c>
      <c r="E501" s="74">
        <v>1</v>
      </c>
      <c r="F501" s="74">
        <v>1</v>
      </c>
      <c r="G501" s="75" t="s">
        <v>1142</v>
      </c>
      <c r="H501" s="126"/>
      <c r="I501" s="37">
        <f t="shared" si="31"/>
        <v>0</v>
      </c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>
        <f t="shared" si="28"/>
        <v>0</v>
      </c>
      <c r="W501" s="36"/>
      <c r="X501" s="38">
        <v>30000</v>
      </c>
      <c r="Y501" s="38" t="str">
        <f t="shared" si="29"/>
        <v>无需保养</v>
      </c>
      <c r="Z501" s="38">
        <f t="shared" si="30"/>
        <v>1</v>
      </c>
      <c r="AA501" s="164"/>
      <c r="AB501" s="164"/>
      <c r="AC501" s="164"/>
      <c r="AD501" s="164"/>
      <c r="AE501" s="164"/>
      <c r="AF501" s="164"/>
      <c r="AG501" s="164"/>
      <c r="AH501" s="164"/>
      <c r="AI501" s="164"/>
      <c r="AJ501" s="164"/>
      <c r="AK501" s="164"/>
      <c r="AL501" s="164"/>
      <c r="AM501" s="164"/>
      <c r="AN501" s="164"/>
      <c r="AO501" s="164"/>
      <c r="AP501" s="164"/>
      <c r="AQ501" s="164"/>
      <c r="AR501" s="164"/>
      <c r="AS501" s="164"/>
      <c r="AT501" s="164"/>
      <c r="AU501" s="164"/>
      <c r="AV501" s="164"/>
      <c r="AW501" s="164"/>
      <c r="AX501" s="164"/>
      <c r="AY501" s="164"/>
      <c r="AZ501" s="164"/>
      <c r="BA501" s="164"/>
      <c r="BB501" s="164"/>
      <c r="BC501" s="164"/>
      <c r="BD501" s="164"/>
    </row>
    <row r="502" spans="1:56" ht="14.25" customHeight="1">
      <c r="A502" s="2">
        <v>504</v>
      </c>
      <c r="B502" s="75" t="s">
        <v>1215</v>
      </c>
      <c r="C502" s="117" t="s">
        <v>1216</v>
      </c>
      <c r="D502" s="150" t="s">
        <v>1217</v>
      </c>
      <c r="E502" s="74">
        <v>2</v>
      </c>
      <c r="F502" s="74">
        <v>2</v>
      </c>
      <c r="G502" s="70" t="s">
        <v>1218</v>
      </c>
      <c r="H502" s="125"/>
      <c r="I502" s="37">
        <f t="shared" si="31"/>
        <v>0</v>
      </c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>
        <f t="shared" si="28"/>
        <v>0</v>
      </c>
      <c r="W502" s="36"/>
      <c r="X502" s="38">
        <v>30000</v>
      </c>
      <c r="Y502" s="38" t="str">
        <f t="shared" si="29"/>
        <v>无需保养</v>
      </c>
      <c r="Z502" s="38">
        <f t="shared" si="30"/>
        <v>1</v>
      </c>
      <c r="AA502" s="164"/>
      <c r="AB502" s="164"/>
      <c r="AC502" s="164"/>
      <c r="AD502" s="164"/>
      <c r="AE502" s="164"/>
      <c r="AF502" s="164"/>
      <c r="AG502" s="164"/>
      <c r="AH502" s="164"/>
      <c r="AI502" s="164"/>
      <c r="AJ502" s="164"/>
      <c r="AK502" s="164"/>
      <c r="AL502" s="164"/>
      <c r="AM502" s="164"/>
      <c r="AN502" s="164"/>
      <c r="AO502" s="164"/>
      <c r="AP502" s="164"/>
      <c r="AQ502" s="164"/>
      <c r="AR502" s="164"/>
      <c r="AS502" s="164"/>
      <c r="AT502" s="164"/>
      <c r="AU502" s="164"/>
      <c r="AV502" s="164"/>
      <c r="AW502" s="164"/>
      <c r="AX502" s="164"/>
      <c r="AY502" s="164"/>
      <c r="AZ502" s="164"/>
      <c r="BA502" s="164"/>
      <c r="BB502" s="164"/>
      <c r="BC502" s="164"/>
      <c r="BD502" s="164"/>
    </row>
    <row r="503" spans="1:56" ht="14.25" customHeight="1">
      <c r="A503" s="2">
        <v>505</v>
      </c>
      <c r="B503" s="75" t="s">
        <v>1219</v>
      </c>
      <c r="C503" s="117" t="s">
        <v>1220</v>
      </c>
      <c r="D503" s="74" t="s">
        <v>1221</v>
      </c>
      <c r="E503" s="74">
        <v>2</v>
      </c>
      <c r="F503" s="74">
        <v>2</v>
      </c>
      <c r="G503" s="70" t="s">
        <v>1160</v>
      </c>
      <c r="H503" s="125"/>
      <c r="I503" s="37">
        <f t="shared" si="31"/>
        <v>0</v>
      </c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>
        <f t="shared" si="28"/>
        <v>0</v>
      </c>
      <c r="W503" s="36"/>
      <c r="X503" s="38">
        <v>30000</v>
      </c>
      <c r="Y503" s="38" t="str">
        <f t="shared" si="29"/>
        <v>无需保养</v>
      </c>
      <c r="Z503" s="38">
        <f t="shared" si="30"/>
        <v>1</v>
      </c>
      <c r="AA503" s="164"/>
      <c r="AB503" s="164"/>
      <c r="AC503" s="164"/>
      <c r="AD503" s="164"/>
      <c r="AE503" s="164"/>
      <c r="AF503" s="164"/>
      <c r="AG503" s="164"/>
      <c r="AH503" s="164"/>
      <c r="AI503" s="164"/>
      <c r="AJ503" s="164"/>
      <c r="AK503" s="164"/>
      <c r="AL503" s="164"/>
      <c r="AM503" s="164"/>
      <c r="AN503" s="164"/>
      <c r="AO503" s="164"/>
      <c r="AP503" s="164"/>
      <c r="AQ503" s="164"/>
      <c r="AR503" s="164"/>
      <c r="AS503" s="164"/>
      <c r="AT503" s="164"/>
      <c r="AU503" s="164"/>
      <c r="AV503" s="164"/>
      <c r="AW503" s="164"/>
      <c r="AX503" s="164"/>
      <c r="AY503" s="164"/>
      <c r="AZ503" s="164"/>
      <c r="BA503" s="164"/>
      <c r="BB503" s="164"/>
      <c r="BC503" s="164"/>
      <c r="BD503" s="164"/>
    </row>
    <row r="504" spans="1:56" ht="14.25" customHeight="1">
      <c r="A504" s="2">
        <v>506</v>
      </c>
      <c r="B504" s="75" t="s">
        <v>1222</v>
      </c>
      <c r="C504" s="117" t="s">
        <v>1223</v>
      </c>
      <c r="D504" s="74" t="s">
        <v>1224</v>
      </c>
      <c r="E504" s="74">
        <v>2</v>
      </c>
      <c r="F504" s="74">
        <v>2</v>
      </c>
      <c r="G504" s="70" t="s">
        <v>1160</v>
      </c>
      <c r="H504" s="125"/>
      <c r="I504" s="37">
        <f t="shared" si="31"/>
        <v>0</v>
      </c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>
        <f t="shared" si="28"/>
        <v>0</v>
      </c>
      <c r="W504" s="36"/>
      <c r="X504" s="38">
        <v>30000</v>
      </c>
      <c r="Y504" s="38" t="str">
        <f t="shared" si="29"/>
        <v>无需保养</v>
      </c>
      <c r="Z504" s="38">
        <f t="shared" si="30"/>
        <v>1</v>
      </c>
      <c r="AA504" s="164"/>
      <c r="AB504" s="164"/>
      <c r="AC504" s="164"/>
      <c r="AD504" s="164"/>
      <c r="AE504" s="164"/>
      <c r="AF504" s="164"/>
      <c r="AG504" s="164"/>
      <c r="AH504" s="164"/>
      <c r="AI504" s="164"/>
      <c r="AJ504" s="164"/>
      <c r="AK504" s="164"/>
      <c r="AL504" s="164"/>
      <c r="AM504" s="164"/>
      <c r="AN504" s="164"/>
      <c r="AO504" s="164"/>
      <c r="AP504" s="164"/>
      <c r="AQ504" s="164"/>
      <c r="AR504" s="164"/>
      <c r="AS504" s="164"/>
      <c r="AT504" s="164"/>
      <c r="AU504" s="164"/>
      <c r="AV504" s="164"/>
      <c r="AW504" s="164"/>
      <c r="AX504" s="164"/>
      <c r="AY504" s="164"/>
      <c r="AZ504" s="164"/>
      <c r="BA504" s="164"/>
      <c r="BB504" s="164"/>
      <c r="BC504" s="164"/>
      <c r="BD504" s="164"/>
    </row>
    <row r="505" spans="1:56" ht="14.25" customHeight="1">
      <c r="A505" s="2">
        <v>507</v>
      </c>
      <c r="B505" s="75" t="s">
        <v>1225</v>
      </c>
      <c r="C505" s="117" t="s">
        <v>1226</v>
      </c>
      <c r="D505" s="150" t="s">
        <v>1227</v>
      </c>
      <c r="E505" s="74">
        <v>2</v>
      </c>
      <c r="F505" s="74">
        <v>2</v>
      </c>
      <c r="G505" s="70" t="s">
        <v>1160</v>
      </c>
      <c r="H505" s="125"/>
      <c r="I505" s="37">
        <f t="shared" si="31"/>
        <v>0</v>
      </c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>
        <f t="shared" si="28"/>
        <v>0</v>
      </c>
      <c r="W505" s="36"/>
      <c r="X505" s="38">
        <v>30000</v>
      </c>
      <c r="Y505" s="38" t="str">
        <f t="shared" si="29"/>
        <v>无需保养</v>
      </c>
      <c r="Z505" s="38">
        <f t="shared" si="30"/>
        <v>1</v>
      </c>
      <c r="AA505" s="164"/>
      <c r="AB505" s="164"/>
      <c r="AC505" s="164"/>
      <c r="AD505" s="164"/>
      <c r="AE505" s="164"/>
      <c r="AF505" s="164"/>
      <c r="AG505" s="164"/>
      <c r="AH505" s="164"/>
      <c r="AI505" s="164"/>
      <c r="AJ505" s="164"/>
      <c r="AK505" s="164"/>
      <c r="AL505" s="164"/>
      <c r="AM505" s="164"/>
      <c r="AN505" s="164"/>
      <c r="AO505" s="164"/>
      <c r="AP505" s="164"/>
      <c r="AQ505" s="164"/>
      <c r="AR505" s="164"/>
      <c r="AS505" s="164"/>
      <c r="AT505" s="164"/>
      <c r="AU505" s="164"/>
      <c r="AV505" s="164"/>
      <c r="AW505" s="164"/>
      <c r="AX505" s="164"/>
      <c r="AY505" s="164"/>
      <c r="AZ505" s="164"/>
      <c r="BA505" s="164"/>
      <c r="BB505" s="164"/>
      <c r="BC505" s="164"/>
      <c r="BD505" s="164"/>
    </row>
    <row r="506" spans="1:56" ht="14.25" customHeight="1">
      <c r="A506" s="2">
        <v>508</v>
      </c>
      <c r="B506" s="75" t="s">
        <v>1228</v>
      </c>
      <c r="C506" s="117" t="s">
        <v>1229</v>
      </c>
      <c r="D506" s="74" t="s">
        <v>1230</v>
      </c>
      <c r="E506" s="74">
        <v>4</v>
      </c>
      <c r="F506" s="74">
        <v>4</v>
      </c>
      <c r="G506" s="70" t="s">
        <v>1124</v>
      </c>
      <c r="H506" s="125"/>
      <c r="I506" s="37">
        <f t="shared" si="31"/>
        <v>0</v>
      </c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>
        <f t="shared" si="28"/>
        <v>0</v>
      </c>
      <c r="W506" s="36"/>
      <c r="X506" s="38">
        <v>30000</v>
      </c>
      <c r="Y506" s="38" t="str">
        <f t="shared" si="29"/>
        <v>无需保养</v>
      </c>
      <c r="Z506" s="38">
        <f t="shared" si="30"/>
        <v>1</v>
      </c>
      <c r="AA506" s="164"/>
      <c r="AB506" s="164"/>
      <c r="AC506" s="164"/>
      <c r="AD506" s="164"/>
      <c r="AE506" s="164"/>
      <c r="AF506" s="164"/>
      <c r="AG506" s="164"/>
      <c r="AH506" s="164"/>
      <c r="AI506" s="164"/>
      <c r="AJ506" s="164"/>
      <c r="AK506" s="164"/>
      <c r="AL506" s="164"/>
      <c r="AM506" s="164"/>
      <c r="AN506" s="164"/>
      <c r="AO506" s="164"/>
      <c r="AP506" s="164"/>
      <c r="AQ506" s="164"/>
      <c r="AR506" s="164"/>
      <c r="AS506" s="164"/>
      <c r="AT506" s="164"/>
      <c r="AU506" s="164"/>
      <c r="AV506" s="164"/>
      <c r="AW506" s="164"/>
      <c r="AX506" s="164"/>
      <c r="AY506" s="164"/>
      <c r="AZ506" s="164"/>
      <c r="BA506" s="164"/>
      <c r="BB506" s="164"/>
      <c r="BC506" s="164"/>
      <c r="BD506" s="164"/>
    </row>
    <row r="507" spans="1:56" ht="14.25" customHeight="1">
      <c r="A507" s="2">
        <v>509</v>
      </c>
      <c r="B507" s="75" t="s">
        <v>1231</v>
      </c>
      <c r="C507" s="117" t="s">
        <v>1232</v>
      </c>
      <c r="D507" s="74" t="s">
        <v>1233</v>
      </c>
      <c r="E507" s="74">
        <v>2</v>
      </c>
      <c r="F507" s="74">
        <v>2</v>
      </c>
      <c r="G507" s="70" t="s">
        <v>1142</v>
      </c>
      <c r="H507" s="125"/>
      <c r="I507" s="37">
        <f t="shared" si="31"/>
        <v>0</v>
      </c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>
        <f t="shared" si="28"/>
        <v>0</v>
      </c>
      <c r="W507" s="36"/>
      <c r="X507" s="38">
        <v>30000</v>
      </c>
      <c r="Y507" s="38" t="str">
        <f t="shared" si="29"/>
        <v>无需保养</v>
      </c>
      <c r="Z507" s="38">
        <f t="shared" si="30"/>
        <v>1</v>
      </c>
      <c r="AA507" s="164"/>
      <c r="AB507" s="164"/>
      <c r="AC507" s="164"/>
      <c r="AD507" s="164"/>
      <c r="AE507" s="164"/>
      <c r="AF507" s="164"/>
      <c r="AG507" s="164"/>
      <c r="AH507" s="164"/>
      <c r="AI507" s="164"/>
      <c r="AJ507" s="164"/>
      <c r="AK507" s="164"/>
      <c r="AL507" s="164"/>
      <c r="AM507" s="164"/>
      <c r="AN507" s="164"/>
      <c r="AO507" s="164"/>
      <c r="AP507" s="164"/>
      <c r="AQ507" s="164"/>
      <c r="AR507" s="164"/>
      <c r="AS507" s="164"/>
      <c r="AT507" s="164"/>
      <c r="AU507" s="164"/>
      <c r="AV507" s="164"/>
      <c r="AW507" s="164"/>
      <c r="AX507" s="164"/>
      <c r="AY507" s="164"/>
      <c r="AZ507" s="164"/>
      <c r="BA507" s="164"/>
      <c r="BB507" s="164"/>
      <c r="BC507" s="164"/>
      <c r="BD507" s="164"/>
    </row>
    <row r="508" spans="1:56" ht="14.25" customHeight="1">
      <c r="A508" s="2">
        <v>510</v>
      </c>
      <c r="B508" s="75" t="s">
        <v>1234</v>
      </c>
      <c r="C508" s="74" t="s">
        <v>1234</v>
      </c>
      <c r="D508" s="74" t="s">
        <v>1235</v>
      </c>
      <c r="E508" s="74">
        <v>8</v>
      </c>
      <c r="F508" s="74">
        <v>8</v>
      </c>
      <c r="G508" s="70" t="s">
        <v>1236</v>
      </c>
      <c r="H508" s="125"/>
      <c r="I508" s="37">
        <f t="shared" si="31"/>
        <v>0</v>
      </c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>
        <f t="shared" si="28"/>
        <v>0</v>
      </c>
      <c r="W508" s="36"/>
      <c r="X508" s="38">
        <v>30000</v>
      </c>
      <c r="Y508" s="38" t="str">
        <f t="shared" si="29"/>
        <v>无需保养</v>
      </c>
      <c r="Z508" s="38">
        <f t="shared" si="30"/>
        <v>1</v>
      </c>
      <c r="AA508" s="164"/>
      <c r="AB508" s="164"/>
      <c r="AC508" s="164"/>
      <c r="AD508" s="164"/>
      <c r="AE508" s="164"/>
      <c r="AF508" s="164"/>
      <c r="AG508" s="164"/>
      <c r="AH508" s="164"/>
      <c r="AI508" s="164"/>
      <c r="AJ508" s="164"/>
      <c r="AK508" s="164"/>
      <c r="AL508" s="164"/>
      <c r="AM508" s="164"/>
      <c r="AN508" s="164"/>
      <c r="AO508" s="164"/>
      <c r="AP508" s="164"/>
      <c r="AQ508" s="164"/>
      <c r="AR508" s="164"/>
      <c r="AS508" s="164"/>
      <c r="AT508" s="164"/>
      <c r="AU508" s="164"/>
      <c r="AV508" s="164"/>
      <c r="AW508" s="164"/>
      <c r="AX508" s="164"/>
      <c r="AY508" s="164"/>
      <c r="AZ508" s="164"/>
      <c r="BA508" s="164"/>
      <c r="BB508" s="164"/>
      <c r="BC508" s="164"/>
      <c r="BD508" s="164"/>
    </row>
    <row r="509" spans="1:56" ht="14.25" customHeight="1">
      <c r="A509" s="2">
        <v>511</v>
      </c>
      <c r="B509" s="75" t="s">
        <v>1237</v>
      </c>
      <c r="C509" s="117" t="s">
        <v>1238</v>
      </c>
      <c r="D509" s="74" t="s">
        <v>1239</v>
      </c>
      <c r="E509" s="74">
        <v>2</v>
      </c>
      <c r="F509" s="74">
        <v>2</v>
      </c>
      <c r="G509" s="70" t="s">
        <v>1240</v>
      </c>
      <c r="H509" s="125"/>
      <c r="I509" s="37">
        <f t="shared" si="31"/>
        <v>0</v>
      </c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>
        <f t="shared" si="28"/>
        <v>0</v>
      </c>
      <c r="W509" s="36"/>
      <c r="X509" s="38">
        <v>30000</v>
      </c>
      <c r="Y509" s="38" t="str">
        <f t="shared" si="29"/>
        <v>无需保养</v>
      </c>
      <c r="Z509" s="38">
        <f t="shared" si="30"/>
        <v>1</v>
      </c>
      <c r="AA509" s="164"/>
      <c r="AB509" s="164"/>
      <c r="AC509" s="164"/>
      <c r="AD509" s="164"/>
      <c r="AE509" s="164"/>
      <c r="AF509" s="164"/>
      <c r="AG509" s="164"/>
      <c r="AH509" s="164"/>
      <c r="AI509" s="164"/>
      <c r="AJ509" s="164"/>
      <c r="AK509" s="164"/>
      <c r="AL509" s="164"/>
      <c r="AM509" s="164"/>
      <c r="AN509" s="164"/>
      <c r="AO509" s="164"/>
      <c r="AP509" s="164"/>
      <c r="AQ509" s="164"/>
      <c r="AR509" s="164"/>
      <c r="AS509" s="164"/>
      <c r="AT509" s="164"/>
      <c r="AU509" s="164"/>
      <c r="AV509" s="164"/>
      <c r="AW509" s="164"/>
      <c r="AX509" s="164"/>
      <c r="AY509" s="164"/>
      <c r="AZ509" s="164"/>
      <c r="BA509" s="164"/>
      <c r="BB509" s="164"/>
      <c r="BC509" s="164"/>
      <c r="BD509" s="164"/>
    </row>
    <row r="510" spans="1:56" ht="14.25" customHeight="1">
      <c r="A510" s="2">
        <v>512</v>
      </c>
      <c r="B510" s="75" t="s">
        <v>1241</v>
      </c>
      <c r="C510" s="117" t="s">
        <v>1242</v>
      </c>
      <c r="D510" s="74" t="s">
        <v>1243</v>
      </c>
      <c r="E510" s="74">
        <v>2</v>
      </c>
      <c r="F510" s="74">
        <v>2</v>
      </c>
      <c r="G510" s="70" t="s">
        <v>1244</v>
      </c>
      <c r="H510" s="125"/>
      <c r="I510" s="37">
        <f t="shared" si="31"/>
        <v>0</v>
      </c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>
        <f t="shared" si="28"/>
        <v>0</v>
      </c>
      <c r="W510" s="36"/>
      <c r="X510" s="38">
        <v>30000</v>
      </c>
      <c r="Y510" s="38" t="str">
        <f t="shared" si="29"/>
        <v>无需保养</v>
      </c>
      <c r="Z510" s="38">
        <f t="shared" si="30"/>
        <v>1</v>
      </c>
      <c r="AA510" s="164"/>
      <c r="AB510" s="164"/>
      <c r="AC510" s="164"/>
      <c r="AD510" s="164"/>
      <c r="AE510" s="164"/>
      <c r="AF510" s="164"/>
      <c r="AG510" s="164"/>
      <c r="AH510" s="164"/>
      <c r="AI510" s="164"/>
      <c r="AJ510" s="164"/>
      <c r="AK510" s="164"/>
      <c r="AL510" s="164"/>
      <c r="AM510" s="164"/>
      <c r="AN510" s="164"/>
      <c r="AO510" s="164"/>
      <c r="AP510" s="164"/>
      <c r="AQ510" s="164"/>
      <c r="AR510" s="164"/>
      <c r="AS510" s="164"/>
      <c r="AT510" s="164"/>
      <c r="AU510" s="164"/>
      <c r="AV510" s="164"/>
      <c r="AW510" s="164"/>
      <c r="AX510" s="164"/>
      <c r="AY510" s="164"/>
      <c r="AZ510" s="164"/>
      <c r="BA510" s="164"/>
      <c r="BB510" s="164"/>
      <c r="BC510" s="164"/>
      <c r="BD510" s="164"/>
    </row>
    <row r="511" spans="1:56" ht="14.25" customHeight="1">
      <c r="A511" s="2">
        <v>513</v>
      </c>
      <c r="B511" s="75" t="s">
        <v>1245</v>
      </c>
      <c r="C511" s="117" t="s">
        <v>1246</v>
      </c>
      <c r="D511" s="74" t="s">
        <v>1247</v>
      </c>
      <c r="E511" s="74">
        <v>4</v>
      </c>
      <c r="F511" s="74">
        <v>4</v>
      </c>
      <c r="G511" s="70" t="s">
        <v>1142</v>
      </c>
      <c r="H511" s="125"/>
      <c r="I511" s="37">
        <f t="shared" si="31"/>
        <v>0</v>
      </c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>
        <f t="shared" si="28"/>
        <v>0</v>
      </c>
      <c r="W511" s="36"/>
      <c r="X511" s="38">
        <v>30000</v>
      </c>
      <c r="Y511" s="38" t="str">
        <f t="shared" si="29"/>
        <v>无需保养</v>
      </c>
      <c r="Z511" s="38">
        <f t="shared" si="30"/>
        <v>1</v>
      </c>
      <c r="AA511" s="164"/>
      <c r="AB511" s="164"/>
      <c r="AC511" s="164"/>
      <c r="AD511" s="164"/>
      <c r="AE511" s="164"/>
      <c r="AF511" s="164"/>
      <c r="AG511" s="164"/>
      <c r="AH511" s="164"/>
      <c r="AI511" s="164"/>
      <c r="AJ511" s="164"/>
      <c r="AK511" s="164"/>
      <c r="AL511" s="164"/>
      <c r="AM511" s="164"/>
      <c r="AN511" s="164"/>
      <c r="AO511" s="164"/>
      <c r="AP511" s="164"/>
      <c r="AQ511" s="164"/>
      <c r="AR511" s="164"/>
      <c r="AS511" s="164"/>
      <c r="AT511" s="164"/>
      <c r="AU511" s="164"/>
      <c r="AV511" s="164"/>
      <c r="AW511" s="164"/>
      <c r="AX511" s="164"/>
      <c r="AY511" s="164"/>
      <c r="AZ511" s="164"/>
      <c r="BA511" s="164"/>
      <c r="BB511" s="164"/>
      <c r="BC511" s="164"/>
      <c r="BD511" s="164"/>
    </row>
    <row r="512" spans="1:56" ht="14.25" customHeight="1">
      <c r="A512" s="2">
        <v>514</v>
      </c>
      <c r="B512" s="75" t="s">
        <v>1248</v>
      </c>
      <c r="C512" s="117" t="s">
        <v>1249</v>
      </c>
      <c r="D512" s="74" t="s">
        <v>1250</v>
      </c>
      <c r="E512" s="74">
        <v>1</v>
      </c>
      <c r="F512" s="74">
        <v>1</v>
      </c>
      <c r="G512" s="70" t="s">
        <v>1135</v>
      </c>
      <c r="H512" s="125"/>
      <c r="I512" s="37">
        <f t="shared" si="31"/>
        <v>0</v>
      </c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>
        <f t="shared" si="28"/>
        <v>0</v>
      </c>
      <c r="W512" s="36"/>
      <c r="X512" s="38">
        <v>30000</v>
      </c>
      <c r="Y512" s="38" t="str">
        <f t="shared" si="29"/>
        <v>无需保养</v>
      </c>
      <c r="Z512" s="38">
        <f t="shared" si="30"/>
        <v>1</v>
      </c>
      <c r="AA512" s="164"/>
      <c r="AB512" s="164"/>
      <c r="AC512" s="164"/>
      <c r="AD512" s="164"/>
      <c r="AE512" s="164"/>
      <c r="AF512" s="164"/>
      <c r="AG512" s="164"/>
      <c r="AH512" s="164"/>
      <c r="AI512" s="164"/>
      <c r="AJ512" s="164"/>
      <c r="AK512" s="164"/>
      <c r="AL512" s="164"/>
      <c r="AM512" s="164"/>
      <c r="AN512" s="164"/>
      <c r="AO512" s="164"/>
      <c r="AP512" s="164"/>
      <c r="AQ512" s="164"/>
      <c r="AR512" s="164"/>
      <c r="AS512" s="164"/>
      <c r="AT512" s="164"/>
      <c r="AU512" s="164"/>
      <c r="AV512" s="164"/>
      <c r="AW512" s="164"/>
      <c r="AX512" s="164"/>
      <c r="AY512" s="164"/>
      <c r="AZ512" s="164"/>
      <c r="BA512" s="164"/>
      <c r="BB512" s="164"/>
      <c r="BC512" s="164"/>
      <c r="BD512" s="164"/>
    </row>
    <row r="513" spans="1:56" ht="14.25" customHeight="1">
      <c r="A513" s="2">
        <v>515</v>
      </c>
      <c r="B513" s="75" t="s">
        <v>1251</v>
      </c>
      <c r="C513" s="117" t="s">
        <v>1252</v>
      </c>
      <c r="D513" s="74" t="s">
        <v>1253</v>
      </c>
      <c r="E513" s="74">
        <v>1</v>
      </c>
      <c r="F513" s="74">
        <v>1</v>
      </c>
      <c r="G513" s="70"/>
      <c r="H513" s="125"/>
      <c r="I513" s="37">
        <f t="shared" si="31"/>
        <v>0</v>
      </c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>
        <f t="shared" si="28"/>
        <v>0</v>
      </c>
      <c r="W513" s="36"/>
      <c r="X513" s="38">
        <v>30000</v>
      </c>
      <c r="Y513" s="38" t="str">
        <f t="shared" si="29"/>
        <v>无需保养</v>
      </c>
      <c r="Z513" s="38">
        <f t="shared" si="30"/>
        <v>1</v>
      </c>
      <c r="AA513" s="164"/>
      <c r="AB513" s="164"/>
      <c r="AC513" s="164"/>
      <c r="AD513" s="164"/>
      <c r="AE513" s="164"/>
      <c r="AF513" s="164"/>
      <c r="AG513" s="164"/>
      <c r="AH513" s="164"/>
      <c r="AI513" s="164"/>
      <c r="AJ513" s="164"/>
      <c r="AK513" s="164"/>
      <c r="AL513" s="164"/>
      <c r="AM513" s="164"/>
      <c r="AN513" s="164"/>
      <c r="AO513" s="164"/>
      <c r="AP513" s="164"/>
      <c r="AQ513" s="164"/>
      <c r="AR513" s="164"/>
      <c r="AS513" s="164"/>
      <c r="AT513" s="164"/>
      <c r="AU513" s="164"/>
      <c r="AV513" s="164"/>
      <c r="AW513" s="164"/>
      <c r="AX513" s="164"/>
      <c r="AY513" s="164"/>
      <c r="AZ513" s="164"/>
      <c r="BA513" s="164"/>
      <c r="BB513" s="164"/>
      <c r="BC513" s="164"/>
      <c r="BD513" s="164"/>
    </row>
    <row r="514" spans="1:56" ht="14.25" customHeight="1">
      <c r="A514" s="2">
        <v>516</v>
      </c>
      <c r="B514" s="75" t="s">
        <v>1254</v>
      </c>
      <c r="C514" s="117" t="s">
        <v>1255</v>
      </c>
      <c r="D514" s="74" t="s">
        <v>1256</v>
      </c>
      <c r="E514" s="74">
        <v>8</v>
      </c>
      <c r="F514" s="74">
        <v>8</v>
      </c>
      <c r="G514" s="70" t="s">
        <v>1160</v>
      </c>
      <c r="H514" s="125"/>
      <c r="I514" s="37">
        <f t="shared" si="31"/>
        <v>0</v>
      </c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>
        <f t="shared" si="28"/>
        <v>0</v>
      </c>
      <c r="W514" s="36"/>
      <c r="X514" s="38">
        <v>30000</v>
      </c>
      <c r="Y514" s="38" t="str">
        <f t="shared" si="29"/>
        <v>无需保养</v>
      </c>
      <c r="Z514" s="38">
        <f t="shared" si="30"/>
        <v>1</v>
      </c>
      <c r="AA514" s="164"/>
      <c r="AB514" s="164"/>
      <c r="AC514" s="164"/>
      <c r="AD514" s="164"/>
      <c r="AE514" s="164"/>
      <c r="AF514" s="164"/>
      <c r="AG514" s="164"/>
      <c r="AH514" s="164"/>
      <c r="AI514" s="164"/>
      <c r="AJ514" s="164"/>
      <c r="AK514" s="164"/>
      <c r="AL514" s="164"/>
      <c r="AM514" s="164"/>
      <c r="AN514" s="164"/>
      <c r="AO514" s="164"/>
      <c r="AP514" s="164"/>
      <c r="AQ514" s="164"/>
      <c r="AR514" s="164"/>
      <c r="AS514" s="164"/>
      <c r="AT514" s="164"/>
      <c r="AU514" s="164"/>
      <c r="AV514" s="164"/>
      <c r="AW514" s="164"/>
      <c r="AX514" s="164"/>
      <c r="AY514" s="164"/>
      <c r="AZ514" s="164"/>
      <c r="BA514" s="164"/>
      <c r="BB514" s="164"/>
      <c r="BC514" s="164"/>
      <c r="BD514" s="164"/>
    </row>
    <row r="515" spans="1:56" ht="14.25" customHeight="1">
      <c r="A515" s="2">
        <v>517</v>
      </c>
      <c r="B515" s="75" t="s">
        <v>1257</v>
      </c>
      <c r="C515" s="117" t="s">
        <v>1258</v>
      </c>
      <c r="D515" s="74" t="s">
        <v>1259</v>
      </c>
      <c r="E515" s="74">
        <v>5</v>
      </c>
      <c r="F515" s="74">
        <v>5</v>
      </c>
      <c r="G515" s="70" t="s">
        <v>1160</v>
      </c>
      <c r="H515" s="125"/>
      <c r="I515" s="37">
        <f t="shared" si="31"/>
        <v>0</v>
      </c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>
        <f t="shared" si="28"/>
        <v>0</v>
      </c>
      <c r="W515" s="36"/>
      <c r="X515" s="38">
        <v>30000</v>
      </c>
      <c r="Y515" s="38" t="str">
        <f t="shared" si="29"/>
        <v>无需保养</v>
      </c>
      <c r="Z515" s="38">
        <f t="shared" si="30"/>
        <v>1</v>
      </c>
      <c r="AA515" s="164"/>
      <c r="AB515" s="164"/>
      <c r="AC515" s="164"/>
      <c r="AD515" s="164"/>
      <c r="AE515" s="164"/>
      <c r="AF515" s="164"/>
      <c r="AG515" s="164"/>
      <c r="AH515" s="164"/>
      <c r="AI515" s="164"/>
      <c r="AJ515" s="164"/>
      <c r="AK515" s="164"/>
      <c r="AL515" s="164"/>
      <c r="AM515" s="164"/>
      <c r="AN515" s="164"/>
      <c r="AO515" s="164"/>
      <c r="AP515" s="164"/>
      <c r="AQ515" s="164"/>
      <c r="AR515" s="164"/>
      <c r="AS515" s="164"/>
      <c r="AT515" s="164"/>
      <c r="AU515" s="164"/>
      <c r="AV515" s="164"/>
      <c r="AW515" s="164"/>
      <c r="AX515" s="164"/>
      <c r="AY515" s="164"/>
      <c r="AZ515" s="164"/>
      <c r="BA515" s="164"/>
      <c r="BB515" s="164"/>
      <c r="BC515" s="164"/>
      <c r="BD515" s="164"/>
    </row>
    <row r="516" spans="1:56" ht="14.25" customHeight="1">
      <c r="A516" s="2">
        <v>518</v>
      </c>
      <c r="B516" s="75" t="s">
        <v>1260</v>
      </c>
      <c r="C516" s="78" t="s">
        <v>1261</v>
      </c>
      <c r="D516" s="50" t="s">
        <v>1262</v>
      </c>
      <c r="E516" s="50">
        <v>4</v>
      </c>
      <c r="F516" s="50">
        <v>4</v>
      </c>
      <c r="G516" s="70" t="s">
        <v>1142</v>
      </c>
      <c r="H516" s="125"/>
      <c r="I516" s="37">
        <f t="shared" si="31"/>
        <v>0</v>
      </c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>
        <f t="shared" si="28"/>
        <v>0</v>
      </c>
      <c r="W516" s="36"/>
      <c r="X516" s="38">
        <v>30000</v>
      </c>
      <c r="Y516" s="38" t="str">
        <f t="shared" si="29"/>
        <v>无需保养</v>
      </c>
      <c r="Z516" s="38">
        <f t="shared" si="30"/>
        <v>1</v>
      </c>
      <c r="AA516" s="164"/>
      <c r="AB516" s="164"/>
      <c r="AC516" s="164"/>
      <c r="AD516" s="164"/>
      <c r="AE516" s="164"/>
      <c r="AF516" s="164"/>
      <c r="AG516" s="164"/>
      <c r="AH516" s="164"/>
      <c r="AI516" s="164"/>
      <c r="AJ516" s="164"/>
      <c r="AK516" s="164"/>
      <c r="AL516" s="164"/>
      <c r="AM516" s="164"/>
      <c r="AN516" s="164"/>
      <c r="AO516" s="164"/>
      <c r="AP516" s="164"/>
      <c r="AQ516" s="164"/>
      <c r="AR516" s="164"/>
      <c r="AS516" s="164"/>
      <c r="AT516" s="164"/>
      <c r="AU516" s="164"/>
      <c r="AV516" s="164"/>
      <c r="AW516" s="164"/>
      <c r="AX516" s="164"/>
      <c r="AY516" s="164"/>
      <c r="AZ516" s="164"/>
      <c r="BA516" s="164"/>
      <c r="BB516" s="164"/>
      <c r="BC516" s="164"/>
      <c r="BD516" s="164"/>
    </row>
    <row r="517" spans="1:56" ht="14.25" customHeight="1">
      <c r="A517" s="2">
        <v>519</v>
      </c>
      <c r="B517" s="75">
        <v>2514</v>
      </c>
      <c r="C517" s="117" t="s">
        <v>1263</v>
      </c>
      <c r="D517" s="50" t="s">
        <v>1264</v>
      </c>
      <c r="E517" s="50">
        <v>2</v>
      </c>
      <c r="F517" s="50">
        <v>2</v>
      </c>
      <c r="G517" s="70" t="s">
        <v>1156</v>
      </c>
      <c r="H517" s="125"/>
      <c r="I517" s="37">
        <f t="shared" si="31"/>
        <v>0</v>
      </c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>
        <f t="shared" ref="V517:V580" si="32">I517/F517</f>
        <v>0</v>
      </c>
      <c r="W517" s="36"/>
      <c r="X517" s="38">
        <v>30000</v>
      </c>
      <c r="Y517" s="38" t="str">
        <f t="shared" ref="Y517:Y580" si="33">IF(OR(AND(W517&lt;&gt;0,QUOTIENT(V517,X517)&gt;=1,(MOD(V517,X517)/X517)&gt;=0.9,(QUOTIENT(V517,X517)+1)&gt;W517),AND(QUOTIENT(V517,X517)=0,MOD(V517,X517)/X517&gt;=0.9,(QUOTIENT(V517,X517)+1)&gt;W517),QUOTIENT(V517,X517)&gt;W517),"保养","无需保养")</f>
        <v>无需保养</v>
      </c>
      <c r="Z517" s="38">
        <f t="shared" ref="Z517:Z542" si="34">COUNTIF($C$5:$C$542,C517)</f>
        <v>1</v>
      </c>
      <c r="AA517" s="164"/>
      <c r="AB517" s="164"/>
      <c r="AC517" s="164"/>
      <c r="AD517" s="164"/>
      <c r="AE517" s="164"/>
      <c r="AF517" s="164"/>
      <c r="AG517" s="164"/>
      <c r="AH517" s="164"/>
      <c r="AI517" s="164"/>
      <c r="AJ517" s="164"/>
      <c r="AK517" s="164"/>
      <c r="AL517" s="164"/>
      <c r="AM517" s="164"/>
      <c r="AN517" s="164"/>
      <c r="AO517" s="164"/>
      <c r="AP517" s="164"/>
      <c r="AQ517" s="164"/>
      <c r="AR517" s="164"/>
      <c r="AS517" s="164"/>
      <c r="AT517" s="164"/>
      <c r="AU517" s="164"/>
      <c r="AV517" s="164"/>
      <c r="AW517" s="164"/>
      <c r="AX517" s="164"/>
      <c r="AY517" s="164"/>
      <c r="AZ517" s="164"/>
      <c r="BA517" s="164"/>
      <c r="BB517" s="164"/>
      <c r="BC517" s="164"/>
      <c r="BD517" s="164"/>
    </row>
    <row r="518" spans="1:56" ht="14.25" customHeight="1">
      <c r="A518" s="2">
        <v>520</v>
      </c>
      <c r="B518" s="75" t="s">
        <v>1265</v>
      </c>
      <c r="C518" s="117" t="s">
        <v>1266</v>
      </c>
      <c r="D518" s="50" t="s">
        <v>1267</v>
      </c>
      <c r="E518" s="50">
        <v>8</v>
      </c>
      <c r="F518" s="50">
        <v>8</v>
      </c>
      <c r="G518" s="70" t="s">
        <v>1160</v>
      </c>
      <c r="H518" s="125"/>
      <c r="I518" s="37">
        <f t="shared" ref="I518:I581" si="35">J518+K518+L518+M518+N518+O518+P518+Q518+R518+S518+T518+U518</f>
        <v>0</v>
      </c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>
        <f t="shared" si="32"/>
        <v>0</v>
      </c>
      <c r="W518" s="36"/>
      <c r="X518" s="38">
        <v>30000</v>
      </c>
      <c r="Y518" s="38" t="str">
        <f t="shared" si="33"/>
        <v>无需保养</v>
      </c>
      <c r="Z518" s="38">
        <f t="shared" si="34"/>
        <v>1</v>
      </c>
      <c r="AA518" s="164"/>
      <c r="AB518" s="164"/>
      <c r="AC518" s="164"/>
      <c r="AD518" s="164"/>
      <c r="AE518" s="164"/>
      <c r="AF518" s="164"/>
      <c r="AG518" s="164"/>
      <c r="AH518" s="164"/>
      <c r="AI518" s="164"/>
      <c r="AJ518" s="164"/>
      <c r="AK518" s="164"/>
      <c r="AL518" s="164"/>
      <c r="AM518" s="164"/>
      <c r="AN518" s="164"/>
      <c r="AO518" s="164"/>
      <c r="AP518" s="164"/>
      <c r="AQ518" s="164"/>
      <c r="AR518" s="164"/>
      <c r="AS518" s="164"/>
      <c r="AT518" s="164"/>
      <c r="AU518" s="164"/>
      <c r="AV518" s="164"/>
      <c r="AW518" s="164"/>
      <c r="AX518" s="164"/>
      <c r="AY518" s="164"/>
      <c r="AZ518" s="164"/>
      <c r="BA518" s="164"/>
      <c r="BB518" s="164"/>
      <c r="BC518" s="164"/>
      <c r="BD518" s="164"/>
    </row>
    <row r="519" spans="1:56" ht="14.25" customHeight="1">
      <c r="A519" s="2">
        <v>521</v>
      </c>
      <c r="B519" s="75" t="s">
        <v>1268</v>
      </c>
      <c r="C519" s="117" t="s">
        <v>1269</v>
      </c>
      <c r="D519" s="50" t="s">
        <v>1270</v>
      </c>
      <c r="E519" s="50">
        <v>8</v>
      </c>
      <c r="F519" s="50">
        <v>8</v>
      </c>
      <c r="G519" s="70" t="s">
        <v>1271</v>
      </c>
      <c r="H519" s="125"/>
      <c r="I519" s="37">
        <f t="shared" si="35"/>
        <v>0</v>
      </c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>
        <f t="shared" si="32"/>
        <v>0</v>
      </c>
      <c r="W519" s="36"/>
      <c r="X519" s="38">
        <v>30000</v>
      </c>
      <c r="Y519" s="38" t="str">
        <f t="shared" si="33"/>
        <v>无需保养</v>
      </c>
      <c r="Z519" s="38">
        <f t="shared" si="34"/>
        <v>1</v>
      </c>
      <c r="AA519" s="164"/>
      <c r="AB519" s="164"/>
      <c r="AC519" s="164"/>
      <c r="AD519" s="164"/>
      <c r="AE519" s="164"/>
      <c r="AF519" s="164"/>
      <c r="AG519" s="164"/>
      <c r="AH519" s="164"/>
      <c r="AI519" s="164"/>
      <c r="AJ519" s="164"/>
      <c r="AK519" s="164"/>
      <c r="AL519" s="164"/>
      <c r="AM519" s="164"/>
      <c r="AN519" s="164"/>
      <c r="AO519" s="164"/>
      <c r="AP519" s="164"/>
      <c r="AQ519" s="164"/>
      <c r="AR519" s="164"/>
      <c r="AS519" s="164"/>
      <c r="AT519" s="164"/>
      <c r="AU519" s="164"/>
      <c r="AV519" s="164"/>
      <c r="AW519" s="164"/>
      <c r="AX519" s="164"/>
      <c r="AY519" s="164"/>
      <c r="AZ519" s="164"/>
      <c r="BA519" s="164"/>
      <c r="BB519" s="164"/>
      <c r="BC519" s="164"/>
      <c r="BD519" s="164"/>
    </row>
    <row r="520" spans="1:56" ht="14.25" customHeight="1">
      <c r="A520" s="2">
        <v>522</v>
      </c>
      <c r="B520" s="75" t="s">
        <v>1272</v>
      </c>
      <c r="C520" s="117" t="s">
        <v>1273</v>
      </c>
      <c r="D520" s="50" t="s">
        <v>1274</v>
      </c>
      <c r="E520" s="50">
        <v>8</v>
      </c>
      <c r="F520" s="50">
        <v>8</v>
      </c>
      <c r="G520" s="70" t="s">
        <v>1244</v>
      </c>
      <c r="H520" s="125"/>
      <c r="I520" s="37">
        <f t="shared" si="35"/>
        <v>0</v>
      </c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>
        <f t="shared" si="32"/>
        <v>0</v>
      </c>
      <c r="W520" s="36"/>
      <c r="X520" s="38">
        <v>30000</v>
      </c>
      <c r="Y520" s="38" t="str">
        <f t="shared" si="33"/>
        <v>无需保养</v>
      </c>
      <c r="Z520" s="38">
        <f t="shared" si="34"/>
        <v>1</v>
      </c>
      <c r="AA520" s="164"/>
      <c r="AB520" s="164"/>
      <c r="AC520" s="164"/>
      <c r="AD520" s="164"/>
      <c r="AE520" s="164"/>
      <c r="AF520" s="164"/>
      <c r="AG520" s="164"/>
      <c r="AH520" s="164"/>
      <c r="AI520" s="164"/>
      <c r="AJ520" s="164"/>
      <c r="AK520" s="164"/>
      <c r="AL520" s="164"/>
      <c r="AM520" s="164"/>
      <c r="AN520" s="164"/>
      <c r="AO520" s="164"/>
      <c r="AP520" s="164"/>
      <c r="AQ520" s="164"/>
      <c r="AR520" s="164"/>
      <c r="AS520" s="164"/>
      <c r="AT520" s="164"/>
      <c r="AU520" s="164"/>
      <c r="AV520" s="164"/>
      <c r="AW520" s="164"/>
      <c r="AX520" s="164"/>
      <c r="AY520" s="164"/>
      <c r="AZ520" s="164"/>
      <c r="BA520" s="164"/>
      <c r="BB520" s="164"/>
      <c r="BC520" s="164"/>
      <c r="BD520" s="164"/>
    </row>
    <row r="521" spans="1:56" ht="14.25" customHeight="1">
      <c r="A521" s="2">
        <v>523</v>
      </c>
      <c r="B521" s="75" t="s">
        <v>1275</v>
      </c>
      <c r="C521" s="78" t="s">
        <v>1275</v>
      </c>
      <c r="D521" s="50" t="s">
        <v>1276</v>
      </c>
      <c r="E521" s="50">
        <v>8</v>
      </c>
      <c r="F521" s="50">
        <v>8</v>
      </c>
      <c r="G521" s="70"/>
      <c r="H521" s="125"/>
      <c r="I521" s="37">
        <f t="shared" si="35"/>
        <v>0</v>
      </c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>
        <f t="shared" si="32"/>
        <v>0</v>
      </c>
      <c r="W521" s="36"/>
      <c r="X521" s="38">
        <v>30000</v>
      </c>
      <c r="Y521" s="38" t="str">
        <f t="shared" si="33"/>
        <v>无需保养</v>
      </c>
      <c r="Z521" s="38">
        <f t="shared" si="34"/>
        <v>1</v>
      </c>
      <c r="AA521" s="164"/>
      <c r="AB521" s="164"/>
      <c r="AC521" s="164"/>
      <c r="AD521" s="164"/>
      <c r="AE521" s="164"/>
      <c r="AF521" s="164"/>
      <c r="AG521" s="164"/>
      <c r="AH521" s="164"/>
      <c r="AI521" s="164"/>
      <c r="AJ521" s="164"/>
      <c r="AK521" s="164"/>
      <c r="AL521" s="164"/>
      <c r="AM521" s="164"/>
      <c r="AN521" s="164"/>
      <c r="AO521" s="164"/>
      <c r="AP521" s="164"/>
      <c r="AQ521" s="164"/>
      <c r="AR521" s="164"/>
      <c r="AS521" s="164"/>
      <c r="AT521" s="164"/>
      <c r="AU521" s="164"/>
      <c r="AV521" s="164"/>
      <c r="AW521" s="164"/>
      <c r="AX521" s="164"/>
      <c r="AY521" s="164"/>
      <c r="AZ521" s="164"/>
      <c r="BA521" s="164"/>
      <c r="BB521" s="164"/>
      <c r="BC521" s="164"/>
      <c r="BD521" s="164"/>
    </row>
    <row r="522" spans="1:56" ht="14.25" customHeight="1">
      <c r="A522" s="2">
        <v>524</v>
      </c>
      <c r="B522" s="75" t="s">
        <v>1277</v>
      </c>
      <c r="C522" s="117" t="s">
        <v>1278</v>
      </c>
      <c r="D522" s="74" t="s">
        <v>1279</v>
      </c>
      <c r="E522" s="77">
        <v>1</v>
      </c>
      <c r="F522" s="77">
        <v>1</v>
      </c>
      <c r="G522" s="70" t="s">
        <v>1160</v>
      </c>
      <c r="H522" s="125"/>
      <c r="I522" s="37">
        <f t="shared" si="35"/>
        <v>0</v>
      </c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>
        <f t="shared" si="32"/>
        <v>0</v>
      </c>
      <c r="W522" s="36"/>
      <c r="X522" s="38">
        <v>30000</v>
      </c>
      <c r="Y522" s="38" t="str">
        <f t="shared" si="33"/>
        <v>无需保养</v>
      </c>
      <c r="Z522" s="38">
        <f t="shared" si="34"/>
        <v>1</v>
      </c>
      <c r="AA522" s="164"/>
      <c r="AB522" s="164"/>
      <c r="AC522" s="164"/>
      <c r="AD522" s="164"/>
      <c r="AE522" s="164"/>
      <c r="AF522" s="164"/>
      <c r="AG522" s="164"/>
      <c r="AH522" s="164"/>
      <c r="AI522" s="164"/>
      <c r="AJ522" s="164"/>
      <c r="AK522" s="164"/>
      <c r="AL522" s="164"/>
      <c r="AM522" s="164"/>
      <c r="AN522" s="164"/>
      <c r="AO522" s="164"/>
      <c r="AP522" s="164"/>
      <c r="AQ522" s="164"/>
      <c r="AR522" s="164"/>
      <c r="AS522" s="164"/>
      <c r="AT522" s="164"/>
      <c r="AU522" s="164"/>
      <c r="AV522" s="164"/>
      <c r="AW522" s="164"/>
      <c r="AX522" s="164"/>
      <c r="AY522" s="164"/>
      <c r="AZ522" s="164"/>
      <c r="BA522" s="164"/>
      <c r="BB522" s="164"/>
      <c r="BC522" s="164"/>
      <c r="BD522" s="164"/>
    </row>
    <row r="523" spans="1:56" ht="14.25" customHeight="1">
      <c r="A523" s="2">
        <v>525</v>
      </c>
      <c r="B523" s="75" t="s">
        <v>1280</v>
      </c>
      <c r="C523" s="117" t="s">
        <v>1281</v>
      </c>
      <c r="D523" s="78" t="s">
        <v>1282</v>
      </c>
      <c r="E523" s="77">
        <v>3</v>
      </c>
      <c r="F523" s="77">
        <v>3</v>
      </c>
      <c r="G523" s="70" t="s">
        <v>1160</v>
      </c>
      <c r="H523" s="125"/>
      <c r="I523" s="37">
        <f t="shared" si="35"/>
        <v>0</v>
      </c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>
        <f t="shared" si="32"/>
        <v>0</v>
      </c>
      <c r="W523" s="36"/>
      <c r="X523" s="38">
        <v>30000</v>
      </c>
      <c r="Y523" s="38" t="str">
        <f t="shared" si="33"/>
        <v>无需保养</v>
      </c>
      <c r="Z523" s="38">
        <f t="shared" si="34"/>
        <v>1</v>
      </c>
      <c r="AA523" s="164"/>
      <c r="AB523" s="164"/>
      <c r="AC523" s="164"/>
      <c r="AD523" s="164"/>
      <c r="AE523" s="164"/>
      <c r="AF523" s="164"/>
      <c r="AG523" s="164"/>
      <c r="AH523" s="164"/>
      <c r="AI523" s="164"/>
      <c r="AJ523" s="164"/>
      <c r="AK523" s="164"/>
      <c r="AL523" s="164"/>
      <c r="AM523" s="164"/>
      <c r="AN523" s="164"/>
      <c r="AO523" s="164"/>
      <c r="AP523" s="164"/>
      <c r="AQ523" s="164"/>
      <c r="AR523" s="164"/>
      <c r="AS523" s="164"/>
      <c r="AT523" s="164"/>
      <c r="AU523" s="164"/>
      <c r="AV523" s="164"/>
      <c r="AW523" s="164"/>
      <c r="AX523" s="164"/>
      <c r="AY523" s="164"/>
      <c r="AZ523" s="164"/>
      <c r="BA523" s="164"/>
      <c r="BB523" s="164"/>
      <c r="BC523" s="164"/>
      <c r="BD523" s="164"/>
    </row>
    <row r="524" spans="1:56" ht="14.25" customHeight="1">
      <c r="A524" s="2">
        <v>526</v>
      </c>
      <c r="B524" s="75" t="s">
        <v>1283</v>
      </c>
      <c r="C524" s="117" t="s">
        <v>1284</v>
      </c>
      <c r="D524" s="78" t="s">
        <v>1217</v>
      </c>
      <c r="E524" s="77">
        <v>2</v>
      </c>
      <c r="F524" s="77">
        <v>2</v>
      </c>
      <c r="G524" s="70" t="s">
        <v>1218</v>
      </c>
      <c r="H524" s="125"/>
      <c r="I524" s="37">
        <f t="shared" si="35"/>
        <v>0</v>
      </c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>
        <f t="shared" si="32"/>
        <v>0</v>
      </c>
      <c r="W524" s="36"/>
      <c r="X524" s="38">
        <v>30000</v>
      </c>
      <c r="Y524" s="38" t="str">
        <f t="shared" si="33"/>
        <v>无需保养</v>
      </c>
      <c r="Z524" s="38">
        <f t="shared" si="34"/>
        <v>1</v>
      </c>
      <c r="AA524" s="164"/>
      <c r="AB524" s="164"/>
      <c r="AC524" s="164"/>
      <c r="AD524" s="164"/>
      <c r="AE524" s="164"/>
      <c r="AF524" s="164"/>
      <c r="AG524" s="164"/>
      <c r="AH524" s="164"/>
      <c r="AI524" s="164"/>
      <c r="AJ524" s="164"/>
      <c r="AK524" s="164"/>
      <c r="AL524" s="164"/>
      <c r="AM524" s="164"/>
      <c r="AN524" s="164"/>
      <c r="AO524" s="164"/>
      <c r="AP524" s="164"/>
      <c r="AQ524" s="164"/>
      <c r="AR524" s="164"/>
      <c r="AS524" s="164"/>
      <c r="AT524" s="164"/>
      <c r="AU524" s="164"/>
      <c r="AV524" s="164"/>
      <c r="AW524" s="164"/>
      <c r="AX524" s="164"/>
      <c r="AY524" s="164"/>
      <c r="AZ524" s="164"/>
      <c r="BA524" s="164"/>
      <c r="BB524" s="164"/>
      <c r="BC524" s="164"/>
      <c r="BD524" s="164"/>
    </row>
    <row r="525" spans="1:56" ht="14.25" customHeight="1">
      <c r="A525" s="2">
        <v>527</v>
      </c>
      <c r="B525" s="75" t="s">
        <v>1285</v>
      </c>
      <c r="C525" s="117" t="s">
        <v>1286</v>
      </c>
      <c r="D525" s="78" t="s">
        <v>1287</v>
      </c>
      <c r="E525" s="77">
        <v>4</v>
      </c>
      <c r="F525" s="77">
        <v>4</v>
      </c>
      <c r="G525" s="70" t="s">
        <v>1160</v>
      </c>
      <c r="H525" s="125"/>
      <c r="I525" s="37">
        <f t="shared" si="35"/>
        <v>0</v>
      </c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>
        <f t="shared" si="32"/>
        <v>0</v>
      </c>
      <c r="W525" s="36"/>
      <c r="X525" s="38">
        <v>30000</v>
      </c>
      <c r="Y525" s="38" t="str">
        <f t="shared" si="33"/>
        <v>无需保养</v>
      </c>
      <c r="Z525" s="38">
        <f t="shared" si="34"/>
        <v>1</v>
      </c>
      <c r="AA525" s="164"/>
      <c r="AB525" s="164"/>
      <c r="AC525" s="164"/>
      <c r="AD525" s="164"/>
      <c r="AE525" s="164"/>
      <c r="AF525" s="164"/>
      <c r="AG525" s="164"/>
      <c r="AH525" s="164"/>
      <c r="AI525" s="164"/>
      <c r="AJ525" s="164"/>
      <c r="AK525" s="164"/>
      <c r="AL525" s="164"/>
      <c r="AM525" s="164"/>
      <c r="AN525" s="164"/>
      <c r="AO525" s="164"/>
      <c r="AP525" s="164"/>
      <c r="AQ525" s="164"/>
      <c r="AR525" s="164"/>
      <c r="AS525" s="164"/>
      <c r="AT525" s="164"/>
      <c r="AU525" s="164"/>
      <c r="AV525" s="164"/>
      <c r="AW525" s="164"/>
      <c r="AX525" s="164"/>
      <c r="AY525" s="164"/>
      <c r="AZ525" s="164"/>
      <c r="BA525" s="164"/>
      <c r="BB525" s="164"/>
      <c r="BC525" s="164"/>
      <c r="BD525" s="164"/>
    </row>
    <row r="526" spans="1:56" ht="14.25" customHeight="1">
      <c r="A526" s="2">
        <v>528</v>
      </c>
      <c r="B526" s="75" t="s">
        <v>1288</v>
      </c>
      <c r="C526" s="117" t="s">
        <v>1289</v>
      </c>
      <c r="D526" s="78" t="s">
        <v>1290</v>
      </c>
      <c r="E526" s="77">
        <v>4</v>
      </c>
      <c r="F526" s="77">
        <v>4</v>
      </c>
      <c r="G526" s="70" t="s">
        <v>1160</v>
      </c>
      <c r="H526" s="125"/>
      <c r="I526" s="37">
        <f t="shared" si="35"/>
        <v>0</v>
      </c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>
        <f t="shared" si="32"/>
        <v>0</v>
      </c>
      <c r="W526" s="36"/>
      <c r="X526" s="38">
        <v>30000</v>
      </c>
      <c r="Y526" s="38" t="str">
        <f t="shared" si="33"/>
        <v>无需保养</v>
      </c>
      <c r="Z526" s="38">
        <f t="shared" si="34"/>
        <v>1</v>
      </c>
      <c r="AA526" s="164"/>
      <c r="AB526" s="164"/>
      <c r="AC526" s="164"/>
      <c r="AD526" s="164"/>
      <c r="AE526" s="164"/>
      <c r="AF526" s="164"/>
      <c r="AG526" s="164"/>
      <c r="AH526" s="164"/>
      <c r="AI526" s="164"/>
      <c r="AJ526" s="164"/>
      <c r="AK526" s="164"/>
      <c r="AL526" s="164"/>
      <c r="AM526" s="164"/>
      <c r="AN526" s="164"/>
      <c r="AO526" s="164"/>
      <c r="AP526" s="164"/>
      <c r="AQ526" s="164"/>
      <c r="AR526" s="164"/>
      <c r="AS526" s="164"/>
      <c r="AT526" s="164"/>
      <c r="AU526" s="164"/>
      <c r="AV526" s="164"/>
      <c r="AW526" s="164"/>
      <c r="AX526" s="164"/>
      <c r="AY526" s="164"/>
      <c r="AZ526" s="164"/>
      <c r="BA526" s="164"/>
      <c r="BB526" s="164"/>
      <c r="BC526" s="164"/>
      <c r="BD526" s="164"/>
    </row>
    <row r="527" spans="1:56" ht="14.25" customHeight="1">
      <c r="A527" s="2">
        <v>529</v>
      </c>
      <c r="B527" s="75" t="s">
        <v>1291</v>
      </c>
      <c r="C527" s="117" t="s">
        <v>1292</v>
      </c>
      <c r="D527" s="78" t="s">
        <v>1293</v>
      </c>
      <c r="E527" s="77">
        <v>4</v>
      </c>
      <c r="F527" s="77">
        <v>4</v>
      </c>
      <c r="G527" s="70" t="s">
        <v>1160</v>
      </c>
      <c r="H527" s="125"/>
      <c r="I527" s="37">
        <f t="shared" si="35"/>
        <v>0</v>
      </c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>
        <f t="shared" si="32"/>
        <v>0</v>
      </c>
      <c r="W527" s="36"/>
      <c r="X527" s="38">
        <v>30000</v>
      </c>
      <c r="Y527" s="38" t="str">
        <f t="shared" si="33"/>
        <v>无需保养</v>
      </c>
      <c r="Z527" s="38">
        <f t="shared" si="34"/>
        <v>1</v>
      </c>
      <c r="AA527" s="164"/>
      <c r="AB527" s="164"/>
      <c r="AC527" s="164"/>
      <c r="AD527" s="164"/>
      <c r="AE527" s="164"/>
      <c r="AF527" s="164"/>
      <c r="AG527" s="164"/>
      <c r="AH527" s="164"/>
      <c r="AI527" s="164"/>
      <c r="AJ527" s="164"/>
      <c r="AK527" s="164"/>
      <c r="AL527" s="164"/>
      <c r="AM527" s="164"/>
      <c r="AN527" s="164"/>
      <c r="AO527" s="164"/>
      <c r="AP527" s="164"/>
      <c r="AQ527" s="164"/>
      <c r="AR527" s="164"/>
      <c r="AS527" s="164"/>
      <c r="AT527" s="164"/>
      <c r="AU527" s="164"/>
      <c r="AV527" s="164"/>
      <c r="AW527" s="164"/>
      <c r="AX527" s="164"/>
      <c r="AY527" s="164"/>
      <c r="AZ527" s="164"/>
      <c r="BA527" s="164"/>
      <c r="BB527" s="164"/>
      <c r="BC527" s="164"/>
      <c r="BD527" s="164"/>
    </row>
    <row r="528" spans="1:56" ht="14.25" customHeight="1">
      <c r="A528" s="2">
        <v>530</v>
      </c>
      <c r="B528" s="75" t="s">
        <v>1294</v>
      </c>
      <c r="C528" s="117" t="s">
        <v>1295</v>
      </c>
      <c r="D528" s="78" t="s">
        <v>1296</v>
      </c>
      <c r="E528" s="77">
        <v>4</v>
      </c>
      <c r="F528" s="77">
        <v>4</v>
      </c>
      <c r="G528" s="70" t="s">
        <v>1160</v>
      </c>
      <c r="H528" s="125"/>
      <c r="I528" s="37">
        <f t="shared" si="35"/>
        <v>0</v>
      </c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>
        <f t="shared" si="32"/>
        <v>0</v>
      </c>
      <c r="W528" s="36"/>
      <c r="X528" s="38">
        <v>30000</v>
      </c>
      <c r="Y528" s="38" t="str">
        <f t="shared" si="33"/>
        <v>无需保养</v>
      </c>
      <c r="Z528" s="38">
        <f t="shared" si="34"/>
        <v>1</v>
      </c>
      <c r="AA528" s="164"/>
      <c r="AB528" s="164"/>
      <c r="AC528" s="164"/>
      <c r="AD528" s="164"/>
      <c r="AE528" s="164"/>
      <c r="AF528" s="164"/>
      <c r="AG528" s="164"/>
      <c r="AH528" s="164"/>
      <c r="AI528" s="164"/>
      <c r="AJ528" s="164"/>
      <c r="AK528" s="164"/>
      <c r="AL528" s="164"/>
      <c r="AM528" s="164"/>
      <c r="AN528" s="164"/>
      <c r="AO528" s="164"/>
      <c r="AP528" s="164"/>
      <c r="AQ528" s="164"/>
      <c r="AR528" s="164"/>
      <c r="AS528" s="164"/>
      <c r="AT528" s="164"/>
      <c r="AU528" s="164"/>
      <c r="AV528" s="164"/>
      <c r="AW528" s="164"/>
      <c r="AX528" s="164"/>
      <c r="AY528" s="164"/>
      <c r="AZ528" s="164"/>
      <c r="BA528" s="164"/>
      <c r="BB528" s="164"/>
      <c r="BC528" s="164"/>
      <c r="BD528" s="164"/>
    </row>
    <row r="529" spans="1:56" ht="14.25" customHeight="1">
      <c r="A529" s="2">
        <v>531</v>
      </c>
      <c r="B529" s="75" t="s">
        <v>1297</v>
      </c>
      <c r="C529" s="117" t="s">
        <v>1298</v>
      </c>
      <c r="D529" s="78" t="s">
        <v>1299</v>
      </c>
      <c r="E529" s="77">
        <v>2</v>
      </c>
      <c r="F529" s="77">
        <v>2</v>
      </c>
      <c r="G529" s="70" t="s">
        <v>1142</v>
      </c>
      <c r="H529" s="125"/>
      <c r="I529" s="37">
        <f t="shared" si="35"/>
        <v>0</v>
      </c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>
        <f t="shared" si="32"/>
        <v>0</v>
      </c>
      <c r="W529" s="36"/>
      <c r="X529" s="38">
        <v>30000</v>
      </c>
      <c r="Y529" s="38" t="str">
        <f t="shared" si="33"/>
        <v>无需保养</v>
      </c>
      <c r="Z529" s="38">
        <f t="shared" si="34"/>
        <v>1</v>
      </c>
      <c r="AA529" s="164"/>
      <c r="AB529" s="164"/>
      <c r="AC529" s="164"/>
      <c r="AD529" s="164"/>
      <c r="AE529" s="164"/>
      <c r="AF529" s="164"/>
      <c r="AG529" s="164"/>
      <c r="AH529" s="164"/>
      <c r="AI529" s="164"/>
      <c r="AJ529" s="164"/>
      <c r="AK529" s="164"/>
      <c r="AL529" s="164"/>
      <c r="AM529" s="164"/>
      <c r="AN529" s="164"/>
      <c r="AO529" s="164"/>
      <c r="AP529" s="164"/>
      <c r="AQ529" s="164"/>
      <c r="AR529" s="164"/>
      <c r="AS529" s="164"/>
      <c r="AT529" s="164"/>
      <c r="AU529" s="164"/>
      <c r="AV529" s="164"/>
      <c r="AW529" s="164"/>
      <c r="AX529" s="164"/>
      <c r="AY529" s="164"/>
      <c r="AZ529" s="164"/>
      <c r="BA529" s="164"/>
      <c r="BB529" s="164"/>
      <c r="BC529" s="164"/>
      <c r="BD529" s="164"/>
    </row>
    <row r="530" spans="1:56" ht="14.25" customHeight="1">
      <c r="A530" s="2">
        <v>532</v>
      </c>
      <c r="B530" s="75" t="s">
        <v>1300</v>
      </c>
      <c r="C530" s="117" t="s">
        <v>1301</v>
      </c>
      <c r="D530" s="143" t="s">
        <v>1302</v>
      </c>
      <c r="E530" s="72">
        <v>8</v>
      </c>
      <c r="F530" s="72">
        <v>8</v>
      </c>
      <c r="G530" s="70" t="s">
        <v>1142</v>
      </c>
      <c r="H530" s="125"/>
      <c r="I530" s="37">
        <f t="shared" si="35"/>
        <v>0</v>
      </c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>
        <f t="shared" si="32"/>
        <v>0</v>
      </c>
      <c r="W530" s="36"/>
      <c r="X530" s="38">
        <v>30000</v>
      </c>
      <c r="Y530" s="38" t="str">
        <f t="shared" si="33"/>
        <v>无需保养</v>
      </c>
      <c r="Z530" s="38">
        <f t="shared" si="34"/>
        <v>1</v>
      </c>
      <c r="AA530" s="164"/>
      <c r="AB530" s="164"/>
      <c r="AC530" s="164"/>
      <c r="AD530" s="164"/>
      <c r="AE530" s="164"/>
      <c r="AF530" s="164"/>
      <c r="AG530" s="164"/>
      <c r="AH530" s="164"/>
      <c r="AI530" s="164"/>
      <c r="AJ530" s="164"/>
      <c r="AK530" s="164"/>
      <c r="AL530" s="164"/>
      <c r="AM530" s="164"/>
      <c r="AN530" s="164"/>
      <c r="AO530" s="164"/>
      <c r="AP530" s="164"/>
      <c r="AQ530" s="164"/>
      <c r="AR530" s="164"/>
      <c r="AS530" s="164"/>
      <c r="AT530" s="164"/>
      <c r="AU530" s="164"/>
      <c r="AV530" s="164"/>
      <c r="AW530" s="164"/>
      <c r="AX530" s="164"/>
      <c r="AY530" s="164"/>
      <c r="AZ530" s="164"/>
      <c r="BA530" s="164"/>
      <c r="BB530" s="164"/>
      <c r="BC530" s="164"/>
      <c r="BD530" s="164"/>
    </row>
    <row r="531" spans="1:56" ht="14.25" customHeight="1">
      <c r="A531" s="2">
        <v>533</v>
      </c>
      <c r="B531" s="75" t="s">
        <v>1303</v>
      </c>
      <c r="C531" s="117" t="s">
        <v>1304</v>
      </c>
      <c r="D531" s="151" t="s">
        <v>1305</v>
      </c>
      <c r="E531" s="74">
        <v>8</v>
      </c>
      <c r="F531" s="74">
        <v>8</v>
      </c>
      <c r="G531" s="70" t="s">
        <v>1152</v>
      </c>
      <c r="H531" s="125"/>
      <c r="I531" s="37">
        <f t="shared" si="35"/>
        <v>0</v>
      </c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>
        <f t="shared" si="32"/>
        <v>0</v>
      </c>
      <c r="W531" s="36"/>
      <c r="X531" s="38">
        <v>30000</v>
      </c>
      <c r="Y531" s="38" t="str">
        <f t="shared" si="33"/>
        <v>无需保养</v>
      </c>
      <c r="Z531" s="38">
        <f t="shared" si="34"/>
        <v>1</v>
      </c>
      <c r="AA531" s="164"/>
      <c r="AB531" s="164"/>
      <c r="AC531" s="164"/>
      <c r="AD531" s="164"/>
      <c r="AE531" s="164"/>
      <c r="AF531" s="164"/>
      <c r="AG531" s="164"/>
      <c r="AH531" s="164"/>
      <c r="AI531" s="164"/>
      <c r="AJ531" s="164"/>
      <c r="AK531" s="164"/>
      <c r="AL531" s="164"/>
      <c r="AM531" s="164"/>
      <c r="AN531" s="164"/>
      <c r="AO531" s="164"/>
      <c r="AP531" s="164"/>
      <c r="AQ531" s="164"/>
      <c r="AR531" s="164"/>
      <c r="AS531" s="164"/>
      <c r="AT531" s="164"/>
      <c r="AU531" s="164"/>
      <c r="AV531" s="164"/>
      <c r="AW531" s="164"/>
      <c r="AX531" s="164"/>
      <c r="AY531" s="164"/>
      <c r="AZ531" s="164"/>
      <c r="BA531" s="164"/>
      <c r="BB531" s="164"/>
      <c r="BC531" s="164"/>
      <c r="BD531" s="164"/>
    </row>
    <row r="532" spans="1:56" ht="14.25" customHeight="1">
      <c r="A532" s="2">
        <v>534</v>
      </c>
      <c r="B532" s="75" t="s">
        <v>1306</v>
      </c>
      <c r="C532" s="117" t="s">
        <v>1307</v>
      </c>
      <c r="D532" s="151" t="s">
        <v>1270</v>
      </c>
      <c r="E532" s="78">
        <v>4</v>
      </c>
      <c r="F532" s="78">
        <v>4</v>
      </c>
      <c r="G532" s="70" t="s">
        <v>1308</v>
      </c>
      <c r="H532" s="125"/>
      <c r="I532" s="37">
        <f t="shared" si="35"/>
        <v>0</v>
      </c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>
        <f t="shared" si="32"/>
        <v>0</v>
      </c>
      <c r="W532" s="36"/>
      <c r="X532" s="38">
        <v>30000</v>
      </c>
      <c r="Y532" s="38" t="str">
        <f t="shared" si="33"/>
        <v>无需保养</v>
      </c>
      <c r="Z532" s="38">
        <f t="shared" si="34"/>
        <v>1</v>
      </c>
      <c r="AA532" s="164"/>
      <c r="AB532" s="164"/>
      <c r="AC532" s="164"/>
      <c r="AD532" s="164"/>
      <c r="AE532" s="164"/>
      <c r="AF532" s="164"/>
      <c r="AG532" s="164"/>
      <c r="AH532" s="164"/>
      <c r="AI532" s="164"/>
      <c r="AJ532" s="164"/>
      <c r="AK532" s="164"/>
      <c r="AL532" s="164"/>
      <c r="AM532" s="164"/>
      <c r="AN532" s="164"/>
      <c r="AO532" s="164"/>
      <c r="AP532" s="164"/>
      <c r="AQ532" s="164"/>
      <c r="AR532" s="164"/>
      <c r="AS532" s="164"/>
      <c r="AT532" s="164"/>
      <c r="AU532" s="164"/>
      <c r="AV532" s="164"/>
      <c r="AW532" s="164"/>
      <c r="AX532" s="164"/>
      <c r="AY532" s="164"/>
      <c r="AZ532" s="164"/>
      <c r="BA532" s="164"/>
      <c r="BB532" s="164"/>
      <c r="BC532" s="164"/>
      <c r="BD532" s="164"/>
    </row>
    <row r="533" spans="1:56" ht="14.25" customHeight="1">
      <c r="A533" s="2">
        <v>535</v>
      </c>
      <c r="B533" s="75" t="s">
        <v>1309</v>
      </c>
      <c r="C533" s="78" t="s">
        <v>1310</v>
      </c>
      <c r="D533" s="152" t="s">
        <v>1311</v>
      </c>
      <c r="E533" s="72">
        <v>1</v>
      </c>
      <c r="F533" s="72">
        <v>1</v>
      </c>
      <c r="G533" s="79" t="s">
        <v>1312</v>
      </c>
      <c r="H533" s="127"/>
      <c r="I533" s="37">
        <f t="shared" si="35"/>
        <v>0</v>
      </c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>
        <f t="shared" si="32"/>
        <v>0</v>
      </c>
      <c r="W533" s="36"/>
      <c r="X533" s="38">
        <v>30000</v>
      </c>
      <c r="Y533" s="38" t="str">
        <f t="shared" si="33"/>
        <v>无需保养</v>
      </c>
      <c r="Z533" s="38">
        <f t="shared" si="34"/>
        <v>1</v>
      </c>
      <c r="AA533" s="164"/>
      <c r="AB533" s="164"/>
      <c r="AC533" s="164"/>
      <c r="AD533" s="164"/>
      <c r="AE533" s="164"/>
      <c r="AF533" s="164"/>
      <c r="AG533" s="164"/>
      <c r="AH533" s="164"/>
      <c r="AI533" s="164"/>
      <c r="AJ533" s="164"/>
      <c r="AK533" s="164"/>
      <c r="AL533" s="164"/>
      <c r="AM533" s="164"/>
      <c r="AN533" s="164"/>
      <c r="AO533" s="164"/>
      <c r="AP533" s="164"/>
      <c r="AQ533" s="164"/>
      <c r="AR533" s="164"/>
      <c r="AS533" s="164"/>
      <c r="AT533" s="164"/>
      <c r="AU533" s="164"/>
      <c r="AV533" s="164"/>
      <c r="AW533" s="164"/>
      <c r="AX533" s="164"/>
      <c r="AY533" s="164"/>
      <c r="AZ533" s="164"/>
      <c r="BA533" s="164"/>
      <c r="BB533" s="164"/>
      <c r="BC533" s="164"/>
      <c r="BD533" s="164"/>
    </row>
    <row r="534" spans="1:56" ht="14.25" customHeight="1">
      <c r="A534" s="2">
        <v>536</v>
      </c>
      <c r="B534" s="75" t="s">
        <v>1313</v>
      </c>
      <c r="C534" s="78" t="s">
        <v>1314</v>
      </c>
      <c r="D534" s="152" t="s">
        <v>1315</v>
      </c>
      <c r="E534" s="72">
        <v>1</v>
      </c>
      <c r="F534" s="72">
        <v>1</v>
      </c>
      <c r="G534" s="79" t="s">
        <v>1312</v>
      </c>
      <c r="H534" s="127"/>
      <c r="I534" s="37">
        <f t="shared" si="35"/>
        <v>0</v>
      </c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>
        <f t="shared" si="32"/>
        <v>0</v>
      </c>
      <c r="W534" s="36"/>
      <c r="X534" s="38">
        <v>30000</v>
      </c>
      <c r="Y534" s="38" t="str">
        <f t="shared" si="33"/>
        <v>无需保养</v>
      </c>
      <c r="Z534" s="38">
        <f t="shared" si="34"/>
        <v>1</v>
      </c>
      <c r="AA534" s="164"/>
      <c r="AB534" s="164"/>
      <c r="AC534" s="164"/>
      <c r="AD534" s="164"/>
      <c r="AE534" s="164"/>
      <c r="AF534" s="164"/>
      <c r="AG534" s="164"/>
      <c r="AH534" s="164"/>
      <c r="AI534" s="164"/>
      <c r="AJ534" s="164"/>
      <c r="AK534" s="164"/>
      <c r="AL534" s="164"/>
      <c r="AM534" s="164"/>
      <c r="AN534" s="164"/>
      <c r="AO534" s="164"/>
      <c r="AP534" s="164"/>
      <c r="AQ534" s="164"/>
      <c r="AR534" s="164"/>
      <c r="AS534" s="164"/>
      <c r="AT534" s="164"/>
      <c r="AU534" s="164"/>
      <c r="AV534" s="164"/>
      <c r="AW534" s="164"/>
      <c r="AX534" s="164"/>
      <c r="AY534" s="164"/>
      <c r="AZ534" s="164"/>
      <c r="BA534" s="164"/>
      <c r="BB534" s="164"/>
      <c r="BC534" s="164"/>
      <c r="BD534" s="164"/>
    </row>
    <row r="535" spans="1:56" ht="14.25" customHeight="1">
      <c r="A535" s="2">
        <v>537</v>
      </c>
      <c r="B535" s="75" t="s">
        <v>1316</v>
      </c>
      <c r="C535" s="78" t="s">
        <v>1317</v>
      </c>
      <c r="D535" s="152" t="s">
        <v>1318</v>
      </c>
      <c r="E535" s="72">
        <v>1</v>
      </c>
      <c r="F535" s="72">
        <v>1</v>
      </c>
      <c r="G535" s="79" t="s">
        <v>1312</v>
      </c>
      <c r="H535" s="127"/>
      <c r="I535" s="37">
        <f t="shared" si="35"/>
        <v>0</v>
      </c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>
        <f t="shared" si="32"/>
        <v>0</v>
      </c>
      <c r="W535" s="36"/>
      <c r="X535" s="38">
        <v>30000</v>
      </c>
      <c r="Y535" s="38" t="str">
        <f t="shared" si="33"/>
        <v>无需保养</v>
      </c>
      <c r="Z535" s="38">
        <f t="shared" si="34"/>
        <v>1</v>
      </c>
      <c r="AA535" s="164"/>
      <c r="AB535" s="164"/>
      <c r="AC535" s="164"/>
      <c r="AD535" s="164"/>
      <c r="AE535" s="164"/>
      <c r="AF535" s="164"/>
      <c r="AG535" s="164"/>
      <c r="AH535" s="164"/>
      <c r="AI535" s="164"/>
      <c r="AJ535" s="164"/>
      <c r="AK535" s="164"/>
      <c r="AL535" s="164"/>
      <c r="AM535" s="164"/>
      <c r="AN535" s="164"/>
      <c r="AO535" s="164"/>
      <c r="AP535" s="164"/>
      <c r="AQ535" s="164"/>
      <c r="AR535" s="164"/>
      <c r="AS535" s="164"/>
      <c r="AT535" s="164"/>
      <c r="AU535" s="164"/>
      <c r="AV535" s="164"/>
      <c r="AW535" s="164"/>
      <c r="AX535" s="164"/>
      <c r="AY535" s="164"/>
      <c r="AZ535" s="164"/>
      <c r="BA535" s="164"/>
      <c r="BB535" s="164"/>
      <c r="BC535" s="164"/>
      <c r="BD535" s="164"/>
    </row>
    <row r="536" spans="1:56" ht="14.25" customHeight="1">
      <c r="A536" s="2">
        <v>538</v>
      </c>
      <c r="B536" s="75" t="s">
        <v>1319</v>
      </c>
      <c r="C536" s="78" t="s">
        <v>1320</v>
      </c>
      <c r="D536" s="152" t="s">
        <v>1321</v>
      </c>
      <c r="E536" s="72">
        <v>2</v>
      </c>
      <c r="F536" s="72">
        <v>2</v>
      </c>
      <c r="G536" s="79" t="s">
        <v>1312</v>
      </c>
      <c r="H536" s="127"/>
      <c r="I536" s="37">
        <f t="shared" si="35"/>
        <v>0</v>
      </c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>
        <f t="shared" si="32"/>
        <v>0</v>
      </c>
      <c r="W536" s="36"/>
      <c r="X536" s="38">
        <v>30000</v>
      </c>
      <c r="Y536" s="38" t="str">
        <f t="shared" si="33"/>
        <v>无需保养</v>
      </c>
      <c r="Z536" s="38">
        <f t="shared" si="34"/>
        <v>1</v>
      </c>
      <c r="AA536" s="164"/>
      <c r="AB536" s="164"/>
      <c r="AC536" s="164"/>
      <c r="AD536" s="164"/>
      <c r="AE536" s="164"/>
      <c r="AF536" s="164"/>
      <c r="AG536" s="164"/>
      <c r="AH536" s="164"/>
      <c r="AI536" s="164"/>
      <c r="AJ536" s="164"/>
      <c r="AK536" s="164"/>
      <c r="AL536" s="164"/>
      <c r="AM536" s="164"/>
      <c r="AN536" s="164"/>
      <c r="AO536" s="164"/>
      <c r="AP536" s="164"/>
      <c r="AQ536" s="164"/>
      <c r="AR536" s="164"/>
      <c r="AS536" s="164"/>
      <c r="AT536" s="164"/>
      <c r="AU536" s="164"/>
      <c r="AV536" s="164"/>
      <c r="AW536" s="164"/>
      <c r="AX536" s="164"/>
      <c r="AY536" s="164"/>
      <c r="AZ536" s="164"/>
      <c r="BA536" s="164"/>
      <c r="BB536" s="164"/>
      <c r="BC536" s="164"/>
      <c r="BD536" s="164"/>
    </row>
    <row r="537" spans="1:56" ht="14.25" customHeight="1">
      <c r="A537" s="2">
        <v>539</v>
      </c>
      <c r="B537" s="75" t="s">
        <v>1322</v>
      </c>
      <c r="C537" s="78" t="s">
        <v>1323</v>
      </c>
      <c r="D537" s="153" t="s">
        <v>1324</v>
      </c>
      <c r="E537" s="72">
        <v>4</v>
      </c>
      <c r="F537" s="72">
        <v>4</v>
      </c>
      <c r="G537" s="79" t="s">
        <v>1312</v>
      </c>
      <c r="H537" s="127"/>
      <c r="I537" s="37">
        <f t="shared" si="35"/>
        <v>0</v>
      </c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>
        <f t="shared" si="32"/>
        <v>0</v>
      </c>
      <c r="W537" s="36"/>
      <c r="X537" s="38">
        <v>30000</v>
      </c>
      <c r="Y537" s="38" t="str">
        <f t="shared" si="33"/>
        <v>无需保养</v>
      </c>
      <c r="Z537" s="38">
        <f t="shared" si="34"/>
        <v>2</v>
      </c>
      <c r="AA537" s="164"/>
      <c r="AB537" s="164"/>
      <c r="AC537" s="164"/>
      <c r="AD537" s="164"/>
      <c r="AE537" s="164"/>
      <c r="AF537" s="164"/>
      <c r="AG537" s="164"/>
      <c r="AH537" s="164"/>
      <c r="AI537" s="164"/>
      <c r="AJ537" s="164"/>
      <c r="AK537" s="164"/>
      <c r="AL537" s="164"/>
      <c r="AM537" s="164"/>
      <c r="AN537" s="164"/>
      <c r="AO537" s="164"/>
      <c r="AP537" s="164"/>
      <c r="AQ537" s="164"/>
      <c r="AR537" s="164"/>
      <c r="AS537" s="164"/>
      <c r="AT537" s="164"/>
      <c r="AU537" s="164"/>
      <c r="AV537" s="164"/>
      <c r="AW537" s="164"/>
      <c r="AX537" s="164"/>
      <c r="AY537" s="164"/>
      <c r="AZ537" s="164"/>
      <c r="BA537" s="164"/>
      <c r="BB537" s="164"/>
      <c r="BC537" s="164"/>
      <c r="BD537" s="164"/>
    </row>
    <row r="538" spans="1:56" ht="14.25" customHeight="1">
      <c r="A538" s="2">
        <v>540</v>
      </c>
      <c r="B538" s="75" t="s">
        <v>1325</v>
      </c>
      <c r="C538" s="78" t="s">
        <v>1323</v>
      </c>
      <c r="D538" s="152" t="s">
        <v>1324</v>
      </c>
      <c r="E538" s="72">
        <v>4</v>
      </c>
      <c r="F538" s="72">
        <v>4</v>
      </c>
      <c r="G538" s="79" t="s">
        <v>1312</v>
      </c>
      <c r="H538" s="127"/>
      <c r="I538" s="37">
        <f t="shared" si="35"/>
        <v>0</v>
      </c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>
        <f t="shared" si="32"/>
        <v>0</v>
      </c>
      <c r="W538" s="36"/>
      <c r="X538" s="38">
        <v>30000</v>
      </c>
      <c r="Y538" s="38" t="str">
        <f t="shared" si="33"/>
        <v>无需保养</v>
      </c>
      <c r="Z538" s="38">
        <f t="shared" si="34"/>
        <v>2</v>
      </c>
      <c r="AA538" s="164"/>
      <c r="AB538" s="164"/>
      <c r="AC538" s="164"/>
      <c r="AD538" s="164"/>
      <c r="AE538" s="164"/>
      <c r="AF538" s="164"/>
      <c r="AG538" s="164"/>
      <c r="AH538" s="164"/>
      <c r="AI538" s="164"/>
      <c r="AJ538" s="164"/>
      <c r="AK538" s="164"/>
      <c r="AL538" s="164"/>
      <c r="AM538" s="164"/>
      <c r="AN538" s="164"/>
      <c r="AO538" s="164"/>
      <c r="AP538" s="164"/>
      <c r="AQ538" s="164"/>
      <c r="AR538" s="164"/>
      <c r="AS538" s="164"/>
      <c r="AT538" s="164"/>
      <c r="AU538" s="164"/>
      <c r="AV538" s="164"/>
      <c r="AW538" s="164"/>
      <c r="AX538" s="164"/>
      <c r="AY538" s="164"/>
      <c r="AZ538" s="164"/>
      <c r="BA538" s="164"/>
      <c r="BB538" s="164"/>
      <c r="BC538" s="164"/>
      <c r="BD538" s="164"/>
    </row>
    <row r="539" spans="1:56" ht="14.25" customHeight="1">
      <c r="A539" s="2">
        <v>541</v>
      </c>
      <c r="B539" s="75" t="s">
        <v>1326</v>
      </c>
      <c r="C539" s="78" t="s">
        <v>1327</v>
      </c>
      <c r="D539" s="153" t="s">
        <v>1328</v>
      </c>
      <c r="E539" s="72">
        <v>4</v>
      </c>
      <c r="F539" s="72">
        <v>4</v>
      </c>
      <c r="G539" s="79" t="s">
        <v>1312</v>
      </c>
      <c r="H539" s="127"/>
      <c r="I539" s="37">
        <f t="shared" si="35"/>
        <v>0</v>
      </c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>
        <f t="shared" si="32"/>
        <v>0</v>
      </c>
      <c r="W539" s="36"/>
      <c r="X539" s="38">
        <v>30000</v>
      </c>
      <c r="Y539" s="38" t="str">
        <f t="shared" si="33"/>
        <v>无需保养</v>
      </c>
      <c r="Z539" s="38">
        <f t="shared" si="34"/>
        <v>1</v>
      </c>
      <c r="AA539" s="164"/>
      <c r="AB539" s="164"/>
      <c r="AC539" s="164"/>
      <c r="AD539" s="164"/>
      <c r="AE539" s="164"/>
      <c r="AF539" s="164"/>
      <c r="AG539" s="164"/>
      <c r="AH539" s="164"/>
      <c r="AI539" s="164"/>
      <c r="AJ539" s="164"/>
      <c r="AK539" s="164"/>
      <c r="AL539" s="164"/>
      <c r="AM539" s="164"/>
      <c r="AN539" s="164"/>
      <c r="AO539" s="164"/>
      <c r="AP539" s="164"/>
      <c r="AQ539" s="164"/>
      <c r="AR539" s="164"/>
      <c r="AS539" s="164"/>
      <c r="AT539" s="164"/>
      <c r="AU539" s="164"/>
      <c r="AV539" s="164"/>
      <c r="AW539" s="164"/>
      <c r="AX539" s="164"/>
      <c r="AY539" s="164"/>
      <c r="AZ539" s="164"/>
      <c r="BA539" s="164"/>
      <c r="BB539" s="164"/>
      <c r="BC539" s="164"/>
      <c r="BD539" s="164"/>
    </row>
    <row r="540" spans="1:56" ht="14.25" customHeight="1">
      <c r="A540" s="2">
        <v>542</v>
      </c>
      <c r="B540" s="75" t="s">
        <v>1329</v>
      </c>
      <c r="C540" s="78" t="s">
        <v>1330</v>
      </c>
      <c r="D540" s="153" t="s">
        <v>1331</v>
      </c>
      <c r="E540" s="72">
        <v>4</v>
      </c>
      <c r="F540" s="72">
        <v>4</v>
      </c>
      <c r="G540" s="79" t="s">
        <v>1312</v>
      </c>
      <c r="H540" s="127"/>
      <c r="I540" s="37">
        <f t="shared" si="35"/>
        <v>0</v>
      </c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>
        <f t="shared" si="32"/>
        <v>0</v>
      </c>
      <c r="W540" s="36"/>
      <c r="X540" s="38">
        <v>30000</v>
      </c>
      <c r="Y540" s="38" t="str">
        <f t="shared" si="33"/>
        <v>无需保养</v>
      </c>
      <c r="Z540" s="38">
        <f t="shared" si="34"/>
        <v>1</v>
      </c>
      <c r="AA540" s="164"/>
      <c r="AB540" s="164"/>
      <c r="AC540" s="164"/>
      <c r="AD540" s="164"/>
      <c r="AE540" s="164"/>
      <c r="AF540" s="164"/>
      <c r="AG540" s="164"/>
      <c r="AH540" s="164"/>
      <c r="AI540" s="164"/>
      <c r="AJ540" s="164"/>
      <c r="AK540" s="164"/>
      <c r="AL540" s="164"/>
      <c r="AM540" s="164"/>
      <c r="AN540" s="164"/>
      <c r="AO540" s="164"/>
      <c r="AP540" s="164"/>
      <c r="AQ540" s="164"/>
      <c r="AR540" s="164"/>
      <c r="AS540" s="164"/>
      <c r="AT540" s="164"/>
      <c r="AU540" s="164"/>
      <c r="AV540" s="164"/>
      <c r="AW540" s="164"/>
      <c r="AX540" s="164"/>
      <c r="AY540" s="164"/>
      <c r="AZ540" s="164"/>
      <c r="BA540" s="164"/>
      <c r="BB540" s="164"/>
      <c r="BC540" s="164"/>
      <c r="BD540" s="164"/>
    </row>
    <row r="541" spans="1:56" ht="14.25" customHeight="1">
      <c r="A541" s="2">
        <v>543</v>
      </c>
      <c r="B541" s="75" t="s">
        <v>1332</v>
      </c>
      <c r="C541" s="78" t="s">
        <v>1333</v>
      </c>
      <c r="D541" s="153" t="s">
        <v>1334</v>
      </c>
      <c r="E541" s="72">
        <v>4</v>
      </c>
      <c r="F541" s="72">
        <v>4</v>
      </c>
      <c r="G541" s="79" t="s">
        <v>1312</v>
      </c>
      <c r="H541" s="127"/>
      <c r="I541" s="37">
        <f t="shared" si="35"/>
        <v>0</v>
      </c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>
        <f t="shared" si="32"/>
        <v>0</v>
      </c>
      <c r="W541" s="36"/>
      <c r="X541" s="38">
        <v>30000</v>
      </c>
      <c r="Y541" s="38" t="str">
        <f t="shared" si="33"/>
        <v>无需保养</v>
      </c>
      <c r="Z541" s="38">
        <f t="shared" si="34"/>
        <v>1</v>
      </c>
      <c r="AA541" s="164"/>
      <c r="AB541" s="164"/>
      <c r="AC541" s="164"/>
      <c r="AD541" s="164"/>
      <c r="AE541" s="164"/>
      <c r="AF541" s="164"/>
      <c r="AG541" s="164"/>
      <c r="AH541" s="164"/>
      <c r="AI541" s="164"/>
      <c r="AJ541" s="164"/>
      <c r="AK541" s="164"/>
      <c r="AL541" s="164"/>
      <c r="AM541" s="164"/>
      <c r="AN541" s="164"/>
      <c r="AO541" s="164"/>
      <c r="AP541" s="164"/>
      <c r="AQ541" s="164"/>
      <c r="AR541" s="164"/>
      <c r="AS541" s="164"/>
      <c r="AT541" s="164"/>
      <c r="AU541" s="164"/>
      <c r="AV541" s="164"/>
      <c r="AW541" s="164"/>
      <c r="AX541" s="164"/>
      <c r="AY541" s="164"/>
      <c r="AZ541" s="164"/>
      <c r="BA541" s="164"/>
      <c r="BB541" s="164"/>
      <c r="BC541" s="164"/>
      <c r="BD541" s="164"/>
    </row>
    <row r="542" spans="1:56" ht="14.25" customHeight="1">
      <c r="A542" s="2">
        <v>544</v>
      </c>
      <c r="B542" s="75" t="s">
        <v>1335</v>
      </c>
      <c r="C542" s="78" t="s">
        <v>1336</v>
      </c>
      <c r="D542" s="152" t="s">
        <v>1217</v>
      </c>
      <c r="E542" s="72">
        <v>8</v>
      </c>
      <c r="F542" s="72">
        <v>8</v>
      </c>
      <c r="G542" s="79" t="s">
        <v>1312</v>
      </c>
      <c r="H542" s="127"/>
      <c r="I542" s="37">
        <f t="shared" si="35"/>
        <v>0</v>
      </c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>
        <f>I542/F542</f>
        <v>0</v>
      </c>
      <c r="W542" s="36"/>
      <c r="X542" s="38">
        <v>30000</v>
      </c>
      <c r="Y542" s="38" t="str">
        <f t="shared" si="33"/>
        <v>无需保养</v>
      </c>
      <c r="Z542" s="38">
        <f t="shared" si="34"/>
        <v>1</v>
      </c>
      <c r="AA542" s="164"/>
      <c r="AB542" s="164"/>
      <c r="AC542" s="164"/>
      <c r="AD542" s="164"/>
      <c r="AE542" s="164"/>
      <c r="AF542" s="164"/>
      <c r="AG542" s="164"/>
      <c r="AH542" s="164"/>
      <c r="AI542" s="164"/>
      <c r="AJ542" s="164"/>
      <c r="AK542" s="164"/>
      <c r="AL542" s="164"/>
      <c r="AM542" s="164"/>
      <c r="AN542" s="164"/>
      <c r="AO542" s="164"/>
      <c r="AP542" s="164"/>
      <c r="AQ542" s="164"/>
      <c r="AR542" s="164"/>
      <c r="AS542" s="164"/>
      <c r="AT542" s="164"/>
      <c r="AU542" s="164"/>
      <c r="AV542" s="164"/>
      <c r="AW542" s="164"/>
      <c r="AX542" s="164"/>
      <c r="AY542" s="164"/>
      <c r="AZ542" s="164"/>
      <c r="BA542" s="164"/>
      <c r="BB542" s="164"/>
      <c r="BC542" s="164"/>
      <c r="BD542" s="164"/>
    </row>
    <row r="543" spans="1:56" ht="14.25" customHeight="1">
      <c r="A543" s="19">
        <v>545</v>
      </c>
      <c r="B543" s="80" t="s">
        <v>1337</v>
      </c>
      <c r="C543" s="81">
        <v>68008591</v>
      </c>
      <c r="D543" s="154" t="s">
        <v>1338</v>
      </c>
      <c r="E543" s="82">
        <v>4</v>
      </c>
      <c r="F543" s="82">
        <v>4</v>
      </c>
      <c r="G543" s="83" t="s">
        <v>1339</v>
      </c>
      <c r="H543" s="128"/>
      <c r="I543" s="37">
        <f t="shared" si="35"/>
        <v>0</v>
      </c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>
        <f t="shared" si="32"/>
        <v>0</v>
      </c>
      <c r="W543" s="36"/>
      <c r="X543" s="38">
        <v>30000</v>
      </c>
      <c r="Y543" s="38" t="str">
        <f t="shared" si="33"/>
        <v>无需保养</v>
      </c>
      <c r="Z543" s="38"/>
      <c r="AA543" s="164"/>
      <c r="AB543" s="164"/>
      <c r="AC543" s="164"/>
      <c r="AD543" s="164"/>
      <c r="AE543" s="164"/>
      <c r="AF543" s="164"/>
      <c r="AG543" s="164"/>
      <c r="AH543" s="164"/>
      <c r="AI543" s="164"/>
      <c r="AJ543" s="164"/>
      <c r="AK543" s="164"/>
      <c r="AL543" s="164"/>
      <c r="AM543" s="164"/>
      <c r="AN543" s="164"/>
      <c r="AO543" s="164"/>
      <c r="AP543" s="164"/>
      <c r="AQ543" s="164"/>
      <c r="AR543" s="164"/>
      <c r="AS543" s="164"/>
      <c r="AT543" s="164"/>
      <c r="AU543" s="164"/>
      <c r="AV543" s="164"/>
      <c r="AW543" s="164"/>
      <c r="AX543" s="164"/>
      <c r="AY543" s="164"/>
      <c r="AZ543" s="164"/>
      <c r="BA543" s="164"/>
      <c r="BB543" s="164"/>
      <c r="BC543" s="164"/>
      <c r="BD543" s="164"/>
    </row>
    <row r="544" spans="1:56" ht="14.25" customHeight="1">
      <c r="A544" s="19">
        <v>546</v>
      </c>
      <c r="B544" s="80" t="s">
        <v>1340</v>
      </c>
      <c r="C544" s="84">
        <v>68008590</v>
      </c>
      <c r="D544" s="154" t="s">
        <v>1341</v>
      </c>
      <c r="E544" s="82">
        <v>4</v>
      </c>
      <c r="F544" s="82">
        <v>4</v>
      </c>
      <c r="G544" s="83" t="s">
        <v>1339</v>
      </c>
      <c r="H544" s="128"/>
      <c r="I544" s="37">
        <f t="shared" si="35"/>
        <v>0</v>
      </c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>
        <f t="shared" si="32"/>
        <v>0</v>
      </c>
      <c r="W544" s="36"/>
      <c r="X544" s="38">
        <v>30000</v>
      </c>
      <c r="Y544" s="38" t="str">
        <f t="shared" si="33"/>
        <v>无需保养</v>
      </c>
      <c r="Z544" s="38"/>
      <c r="AA544" s="164"/>
      <c r="AB544" s="164"/>
      <c r="AC544" s="164"/>
      <c r="AD544" s="164"/>
      <c r="AE544" s="164"/>
      <c r="AF544" s="164"/>
      <c r="AG544" s="164"/>
      <c r="AH544" s="164"/>
      <c r="AI544" s="164"/>
      <c r="AJ544" s="164"/>
      <c r="AK544" s="164"/>
      <c r="AL544" s="164"/>
      <c r="AM544" s="164"/>
      <c r="AN544" s="164"/>
      <c r="AO544" s="164"/>
      <c r="AP544" s="164"/>
      <c r="AQ544" s="164"/>
      <c r="AR544" s="164"/>
      <c r="AS544" s="164"/>
      <c r="AT544" s="164"/>
      <c r="AU544" s="164"/>
      <c r="AV544" s="164"/>
      <c r="AW544" s="164"/>
      <c r="AX544" s="164"/>
      <c r="AY544" s="164"/>
      <c r="AZ544" s="164"/>
      <c r="BA544" s="164"/>
      <c r="BB544" s="164"/>
      <c r="BC544" s="164"/>
      <c r="BD544" s="164"/>
    </row>
    <row r="545" spans="1:56" ht="14.25" customHeight="1">
      <c r="A545" s="19">
        <v>547</v>
      </c>
      <c r="B545" s="80" t="s">
        <v>1342</v>
      </c>
      <c r="C545" s="81">
        <v>68008590</v>
      </c>
      <c r="D545" s="154" t="s">
        <v>1341</v>
      </c>
      <c r="E545" s="82">
        <v>4</v>
      </c>
      <c r="F545" s="82">
        <v>4</v>
      </c>
      <c r="G545" s="83" t="s">
        <v>1339</v>
      </c>
      <c r="H545" s="128"/>
      <c r="I545" s="37">
        <f t="shared" si="35"/>
        <v>0</v>
      </c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>
        <f t="shared" si="32"/>
        <v>0</v>
      </c>
      <c r="W545" s="36"/>
      <c r="X545" s="38">
        <v>30000</v>
      </c>
      <c r="Y545" s="38" t="str">
        <f t="shared" si="33"/>
        <v>无需保养</v>
      </c>
      <c r="Z545" s="38"/>
      <c r="AA545" s="164"/>
      <c r="AB545" s="164"/>
      <c r="AC545" s="164"/>
      <c r="AD545" s="164"/>
      <c r="AE545" s="164"/>
      <c r="AF545" s="164"/>
      <c r="AG545" s="164"/>
      <c r="AH545" s="164"/>
      <c r="AI545" s="164"/>
      <c r="AJ545" s="164"/>
      <c r="AK545" s="164"/>
      <c r="AL545" s="164"/>
      <c r="AM545" s="164"/>
      <c r="AN545" s="164"/>
      <c r="AO545" s="164"/>
      <c r="AP545" s="164"/>
      <c r="AQ545" s="164"/>
      <c r="AR545" s="164"/>
      <c r="AS545" s="164"/>
      <c r="AT545" s="164"/>
      <c r="AU545" s="164"/>
      <c r="AV545" s="164"/>
      <c r="AW545" s="164"/>
      <c r="AX545" s="164"/>
      <c r="AY545" s="164"/>
      <c r="AZ545" s="164"/>
      <c r="BA545" s="164"/>
      <c r="BB545" s="164"/>
      <c r="BC545" s="164"/>
      <c r="BD545" s="164"/>
    </row>
    <row r="546" spans="1:56" ht="14.25" customHeight="1">
      <c r="A546" s="19">
        <v>548</v>
      </c>
      <c r="B546" s="85" t="s">
        <v>1343</v>
      </c>
      <c r="C546" s="81">
        <v>68003702</v>
      </c>
      <c r="D546" s="155" t="s">
        <v>1344</v>
      </c>
      <c r="E546" s="86">
        <v>4</v>
      </c>
      <c r="F546" s="86">
        <v>4</v>
      </c>
      <c r="G546" s="87" t="s">
        <v>1339</v>
      </c>
      <c r="H546" s="129"/>
      <c r="I546" s="37">
        <f t="shared" si="35"/>
        <v>0</v>
      </c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>
        <f t="shared" si="32"/>
        <v>0</v>
      </c>
      <c r="W546" s="36"/>
      <c r="X546" s="38">
        <v>30000</v>
      </c>
      <c r="Y546" s="38" t="str">
        <f t="shared" si="33"/>
        <v>无需保养</v>
      </c>
      <c r="Z546" s="38"/>
      <c r="AA546" s="164"/>
      <c r="AB546" s="164"/>
      <c r="AC546" s="164"/>
      <c r="AD546" s="164"/>
      <c r="AE546" s="164"/>
      <c r="AF546" s="164"/>
      <c r="AG546" s="164"/>
      <c r="AH546" s="164"/>
      <c r="AI546" s="164"/>
      <c r="AJ546" s="164"/>
      <c r="AK546" s="164"/>
      <c r="AL546" s="164"/>
      <c r="AM546" s="164"/>
      <c r="AN546" s="164"/>
      <c r="AO546" s="164"/>
      <c r="AP546" s="164"/>
      <c r="AQ546" s="164"/>
      <c r="AR546" s="164"/>
      <c r="AS546" s="164"/>
      <c r="AT546" s="164"/>
      <c r="AU546" s="164"/>
      <c r="AV546" s="164"/>
      <c r="AW546" s="164"/>
      <c r="AX546" s="164"/>
      <c r="AY546" s="164"/>
      <c r="AZ546" s="164"/>
      <c r="BA546" s="164"/>
      <c r="BB546" s="164"/>
      <c r="BC546" s="164"/>
      <c r="BD546" s="164"/>
    </row>
    <row r="547" spans="1:56" ht="14.25" customHeight="1">
      <c r="A547" s="19">
        <v>549</v>
      </c>
      <c r="B547" s="85" t="s">
        <v>1345</v>
      </c>
      <c r="C547" s="84">
        <v>68003721</v>
      </c>
      <c r="D547" s="155" t="s">
        <v>1346</v>
      </c>
      <c r="E547" s="86">
        <v>16</v>
      </c>
      <c r="F547" s="86">
        <v>16</v>
      </c>
      <c r="G547" s="87" t="s">
        <v>1339</v>
      </c>
      <c r="H547" s="129"/>
      <c r="I547" s="37">
        <f t="shared" si="35"/>
        <v>0</v>
      </c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>
        <f t="shared" si="32"/>
        <v>0</v>
      </c>
      <c r="W547" s="36"/>
      <c r="X547" s="38">
        <v>30000</v>
      </c>
      <c r="Y547" s="38" t="str">
        <f t="shared" si="33"/>
        <v>无需保养</v>
      </c>
      <c r="Z547" s="38"/>
      <c r="AA547" s="164"/>
      <c r="AB547" s="164"/>
      <c r="AC547" s="164"/>
      <c r="AD547" s="164"/>
      <c r="AE547" s="164"/>
      <c r="AF547" s="164"/>
      <c r="AG547" s="164"/>
      <c r="AH547" s="164"/>
      <c r="AI547" s="164"/>
      <c r="AJ547" s="164"/>
      <c r="AK547" s="164"/>
      <c r="AL547" s="164"/>
      <c r="AM547" s="164"/>
      <c r="AN547" s="164"/>
      <c r="AO547" s="164"/>
      <c r="AP547" s="164"/>
      <c r="AQ547" s="164"/>
      <c r="AR547" s="164"/>
      <c r="AS547" s="164"/>
      <c r="AT547" s="164"/>
      <c r="AU547" s="164"/>
      <c r="AV547" s="164"/>
      <c r="AW547" s="164"/>
      <c r="AX547" s="164"/>
      <c r="AY547" s="164"/>
      <c r="AZ547" s="164"/>
      <c r="BA547" s="164"/>
      <c r="BB547" s="164"/>
      <c r="BC547" s="164"/>
      <c r="BD547" s="164"/>
    </row>
    <row r="548" spans="1:56" ht="14.25" customHeight="1">
      <c r="A548" s="16">
        <v>550</v>
      </c>
      <c r="B548" s="85" t="s">
        <v>1347</v>
      </c>
      <c r="C548" s="84">
        <v>68003721</v>
      </c>
      <c r="D548" s="155" t="s">
        <v>1348</v>
      </c>
      <c r="E548" s="86">
        <v>8</v>
      </c>
      <c r="F548" s="86">
        <v>8</v>
      </c>
      <c r="G548" s="87" t="s">
        <v>1339</v>
      </c>
      <c r="H548" s="129"/>
      <c r="I548" s="37">
        <f t="shared" si="35"/>
        <v>0</v>
      </c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>
        <f t="shared" si="32"/>
        <v>0</v>
      </c>
      <c r="W548" s="36"/>
      <c r="X548" s="38">
        <v>30000</v>
      </c>
      <c r="Y548" s="38" t="str">
        <f t="shared" si="33"/>
        <v>无需保养</v>
      </c>
      <c r="Z548" s="38"/>
      <c r="AA548" s="164"/>
      <c r="AB548" s="164"/>
      <c r="AC548" s="164"/>
      <c r="AD548" s="164"/>
      <c r="AE548" s="164"/>
      <c r="AF548" s="164"/>
      <c r="AG548" s="164"/>
      <c r="AH548" s="164"/>
      <c r="AI548" s="164"/>
      <c r="AJ548" s="164"/>
      <c r="AK548" s="164"/>
      <c r="AL548" s="164"/>
      <c r="AM548" s="164"/>
      <c r="AN548" s="164"/>
      <c r="AO548" s="164"/>
      <c r="AP548" s="164"/>
      <c r="AQ548" s="164"/>
      <c r="AR548" s="164"/>
      <c r="AS548" s="164"/>
      <c r="AT548" s="164"/>
      <c r="AU548" s="164"/>
      <c r="AV548" s="164"/>
      <c r="AW548" s="164"/>
      <c r="AX548" s="164"/>
      <c r="AY548" s="164"/>
      <c r="AZ548" s="164"/>
      <c r="BA548" s="164"/>
      <c r="BB548" s="164"/>
      <c r="BC548" s="164"/>
      <c r="BD548" s="164"/>
    </row>
    <row r="549" spans="1:56" ht="14.25" customHeight="1">
      <c r="A549" s="19">
        <v>551</v>
      </c>
      <c r="B549" s="85" t="s">
        <v>1349</v>
      </c>
      <c r="C549" s="84">
        <v>68003721</v>
      </c>
      <c r="D549" s="155" t="s">
        <v>1350</v>
      </c>
      <c r="E549" s="86">
        <v>8</v>
      </c>
      <c r="F549" s="86">
        <v>8</v>
      </c>
      <c r="G549" s="87" t="s">
        <v>1339</v>
      </c>
      <c r="H549" s="129"/>
      <c r="I549" s="37">
        <f t="shared" si="35"/>
        <v>0</v>
      </c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>
        <f t="shared" si="32"/>
        <v>0</v>
      </c>
      <c r="W549" s="36"/>
      <c r="X549" s="38">
        <v>30000</v>
      </c>
      <c r="Y549" s="38" t="str">
        <f t="shared" si="33"/>
        <v>无需保养</v>
      </c>
      <c r="Z549" s="38"/>
      <c r="AA549" s="164"/>
      <c r="AB549" s="164"/>
      <c r="AC549" s="164"/>
      <c r="AD549" s="164"/>
      <c r="AE549" s="164"/>
      <c r="AF549" s="164"/>
      <c r="AG549" s="164"/>
      <c r="AH549" s="164"/>
      <c r="AI549" s="164"/>
      <c r="AJ549" s="164"/>
      <c r="AK549" s="164"/>
      <c r="AL549" s="164"/>
      <c r="AM549" s="164"/>
      <c r="AN549" s="164"/>
      <c r="AO549" s="164"/>
      <c r="AP549" s="164"/>
      <c r="AQ549" s="164"/>
      <c r="AR549" s="164"/>
      <c r="AS549" s="164"/>
      <c r="AT549" s="164"/>
      <c r="AU549" s="164"/>
      <c r="AV549" s="164"/>
      <c r="AW549" s="164"/>
      <c r="AX549" s="164"/>
      <c r="AY549" s="164"/>
      <c r="AZ549" s="164"/>
      <c r="BA549" s="164"/>
      <c r="BB549" s="164"/>
      <c r="BC549" s="164"/>
      <c r="BD549" s="164"/>
    </row>
    <row r="550" spans="1:56" ht="14.25" customHeight="1">
      <c r="A550" s="16">
        <v>552</v>
      </c>
      <c r="B550" s="85" t="s">
        <v>1351</v>
      </c>
      <c r="C550" s="84">
        <v>68003681</v>
      </c>
      <c r="D550" s="155" t="s">
        <v>1352</v>
      </c>
      <c r="E550" s="86">
        <v>32</v>
      </c>
      <c r="F550" s="86">
        <v>32</v>
      </c>
      <c r="G550" s="87" t="s">
        <v>1339</v>
      </c>
      <c r="H550" s="129"/>
      <c r="I550" s="37">
        <f t="shared" si="35"/>
        <v>0</v>
      </c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>
        <f t="shared" si="32"/>
        <v>0</v>
      </c>
      <c r="W550" s="36"/>
      <c r="X550" s="38">
        <v>30000</v>
      </c>
      <c r="Y550" s="38" t="str">
        <f t="shared" si="33"/>
        <v>无需保养</v>
      </c>
      <c r="Z550" s="38"/>
      <c r="AA550" s="164"/>
      <c r="AB550" s="164"/>
      <c r="AC550" s="164"/>
      <c r="AD550" s="164"/>
      <c r="AE550" s="164"/>
      <c r="AF550" s="164"/>
      <c r="AG550" s="164"/>
      <c r="AH550" s="164"/>
      <c r="AI550" s="164"/>
      <c r="AJ550" s="164"/>
      <c r="AK550" s="164"/>
      <c r="AL550" s="164"/>
      <c r="AM550" s="164"/>
      <c r="AN550" s="164"/>
      <c r="AO550" s="164"/>
      <c r="AP550" s="164"/>
      <c r="AQ550" s="164"/>
      <c r="AR550" s="164"/>
      <c r="AS550" s="164"/>
      <c r="AT550" s="164"/>
      <c r="AU550" s="164"/>
      <c r="AV550" s="164"/>
      <c r="AW550" s="164"/>
      <c r="AX550" s="164"/>
      <c r="AY550" s="164"/>
      <c r="AZ550" s="164"/>
      <c r="BA550" s="164"/>
      <c r="BB550" s="164"/>
      <c r="BC550" s="164"/>
      <c r="BD550" s="164"/>
    </row>
    <row r="551" spans="1:56" ht="14.25" customHeight="1">
      <c r="A551" s="16">
        <v>553</v>
      </c>
      <c r="B551" s="85" t="s">
        <v>1353</v>
      </c>
      <c r="C551" s="84">
        <v>68005035</v>
      </c>
      <c r="D551" s="156" t="s">
        <v>1354</v>
      </c>
      <c r="E551" s="86">
        <v>8</v>
      </c>
      <c r="F551" s="86">
        <v>8</v>
      </c>
      <c r="G551" s="87" t="s">
        <v>1339</v>
      </c>
      <c r="H551" s="129"/>
      <c r="I551" s="37">
        <f t="shared" si="35"/>
        <v>0</v>
      </c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>
        <f t="shared" si="32"/>
        <v>0</v>
      </c>
      <c r="W551" s="36"/>
      <c r="X551" s="38">
        <v>30000</v>
      </c>
      <c r="Y551" s="38" t="str">
        <f t="shared" si="33"/>
        <v>无需保养</v>
      </c>
      <c r="Z551" s="38"/>
      <c r="AA551" s="164"/>
      <c r="AB551" s="164"/>
      <c r="AC551" s="164"/>
      <c r="AD551" s="164"/>
      <c r="AE551" s="164"/>
      <c r="AF551" s="164"/>
      <c r="AG551" s="164"/>
      <c r="AH551" s="164"/>
      <c r="AI551" s="164"/>
      <c r="AJ551" s="164"/>
      <c r="AK551" s="164"/>
      <c r="AL551" s="164"/>
      <c r="AM551" s="164"/>
      <c r="AN551" s="164"/>
      <c r="AO551" s="164"/>
      <c r="AP551" s="164"/>
      <c r="AQ551" s="164"/>
      <c r="AR551" s="164"/>
      <c r="AS551" s="164"/>
      <c r="AT551" s="164"/>
      <c r="AU551" s="164"/>
      <c r="AV551" s="164"/>
      <c r="AW551" s="164"/>
      <c r="AX551" s="164"/>
      <c r="AY551" s="164"/>
      <c r="AZ551" s="164"/>
      <c r="BA551" s="164"/>
      <c r="BB551" s="164"/>
      <c r="BC551" s="164"/>
      <c r="BD551" s="164"/>
    </row>
    <row r="552" spans="1:56" ht="14.25" customHeight="1">
      <c r="A552" s="19">
        <v>554</v>
      </c>
      <c r="B552" s="89" t="s">
        <v>1355</v>
      </c>
      <c r="C552" s="84">
        <v>68003616</v>
      </c>
      <c r="D552" s="154" t="s">
        <v>1356</v>
      </c>
      <c r="E552" s="90">
        <v>2</v>
      </c>
      <c r="F552" s="90">
        <v>2</v>
      </c>
      <c r="G552" s="91" t="s">
        <v>1357</v>
      </c>
      <c r="H552" s="130"/>
      <c r="I552" s="37">
        <f t="shared" si="35"/>
        <v>0</v>
      </c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>
        <f t="shared" si="32"/>
        <v>0</v>
      </c>
      <c r="W552" s="36"/>
      <c r="X552" s="38">
        <v>30000</v>
      </c>
      <c r="Y552" s="38" t="str">
        <f t="shared" si="33"/>
        <v>无需保养</v>
      </c>
      <c r="Z552" s="38"/>
      <c r="AA552" s="164"/>
      <c r="AB552" s="164"/>
      <c r="AC552" s="164"/>
      <c r="AD552" s="164"/>
      <c r="AE552" s="164"/>
      <c r="AF552" s="164"/>
      <c r="AG552" s="164"/>
      <c r="AH552" s="164"/>
      <c r="AI552" s="164"/>
      <c r="AJ552" s="164"/>
      <c r="AK552" s="164"/>
      <c r="AL552" s="164"/>
      <c r="AM552" s="164"/>
      <c r="AN552" s="164"/>
      <c r="AO552" s="164"/>
      <c r="AP552" s="164"/>
      <c r="AQ552" s="164"/>
      <c r="AR552" s="164"/>
      <c r="AS552" s="164"/>
      <c r="AT552" s="164"/>
      <c r="AU552" s="164"/>
      <c r="AV552" s="164"/>
      <c r="AW552" s="164"/>
      <c r="AX552" s="164"/>
      <c r="AY552" s="164"/>
      <c r="AZ552" s="164"/>
      <c r="BA552" s="164"/>
      <c r="BB552" s="164"/>
      <c r="BC552" s="164"/>
      <c r="BD552" s="164"/>
    </row>
    <row r="553" spans="1:56" ht="14.25" customHeight="1">
      <c r="A553" s="19">
        <v>555</v>
      </c>
      <c r="B553" s="92" t="s">
        <v>1358</v>
      </c>
      <c r="C553" s="84">
        <v>68003614</v>
      </c>
      <c r="D553" s="154" t="s">
        <v>1359</v>
      </c>
      <c r="E553" s="90">
        <v>2</v>
      </c>
      <c r="F553" s="90">
        <v>2</v>
      </c>
      <c r="G553" s="91" t="s">
        <v>1357</v>
      </c>
      <c r="H553" s="130"/>
      <c r="I553" s="37">
        <f t="shared" si="35"/>
        <v>0</v>
      </c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>
        <f t="shared" si="32"/>
        <v>0</v>
      </c>
      <c r="W553" s="36"/>
      <c r="X553" s="38">
        <v>30000</v>
      </c>
      <c r="Y553" s="38" t="str">
        <f t="shared" si="33"/>
        <v>无需保养</v>
      </c>
      <c r="Z553" s="38"/>
      <c r="AA553" s="164"/>
      <c r="AB553" s="164"/>
      <c r="AC553" s="164"/>
      <c r="AD553" s="164"/>
      <c r="AE553" s="164"/>
      <c r="AF553" s="164"/>
      <c r="AG553" s="164"/>
      <c r="AH553" s="164"/>
      <c r="AI553" s="164"/>
      <c r="AJ553" s="164"/>
      <c r="AK553" s="164"/>
      <c r="AL553" s="164"/>
      <c r="AM553" s="164"/>
      <c r="AN553" s="164"/>
      <c r="AO553" s="164"/>
      <c r="AP553" s="164"/>
      <c r="AQ553" s="164"/>
      <c r="AR553" s="164"/>
      <c r="AS553" s="164"/>
      <c r="AT553" s="164"/>
      <c r="AU553" s="164"/>
      <c r="AV553" s="164"/>
      <c r="AW553" s="164"/>
      <c r="AX553" s="164"/>
      <c r="AY553" s="164"/>
      <c r="AZ553" s="164"/>
      <c r="BA553" s="164"/>
      <c r="BB553" s="164"/>
      <c r="BC553" s="164"/>
      <c r="BD553" s="164"/>
    </row>
    <row r="554" spans="1:56" ht="14.25" customHeight="1">
      <c r="A554" s="16">
        <v>556</v>
      </c>
      <c r="B554" s="85" t="s">
        <v>1360</v>
      </c>
      <c r="C554" s="84">
        <v>68004503</v>
      </c>
      <c r="D554" s="156" t="s">
        <v>1361</v>
      </c>
      <c r="E554" s="90">
        <v>8</v>
      </c>
      <c r="F554" s="90">
        <v>8</v>
      </c>
      <c r="G554" s="91" t="s">
        <v>1357</v>
      </c>
      <c r="H554" s="130"/>
      <c r="I554" s="37">
        <f t="shared" si="35"/>
        <v>0</v>
      </c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>
        <f t="shared" si="32"/>
        <v>0</v>
      </c>
      <c r="W554" s="36"/>
      <c r="X554" s="38">
        <v>30000</v>
      </c>
      <c r="Y554" s="38" t="str">
        <f t="shared" si="33"/>
        <v>无需保养</v>
      </c>
      <c r="Z554" s="38"/>
      <c r="AA554" s="164"/>
      <c r="AB554" s="164"/>
      <c r="AC554" s="164"/>
      <c r="AD554" s="164"/>
      <c r="AE554" s="164"/>
      <c r="AF554" s="164"/>
      <c r="AG554" s="164"/>
      <c r="AH554" s="164"/>
      <c r="AI554" s="164"/>
      <c r="AJ554" s="164"/>
      <c r="AK554" s="164"/>
      <c r="AL554" s="164"/>
      <c r="AM554" s="164"/>
      <c r="AN554" s="164"/>
      <c r="AO554" s="164"/>
      <c r="AP554" s="164"/>
      <c r="AQ554" s="164"/>
      <c r="AR554" s="164"/>
      <c r="AS554" s="164"/>
      <c r="AT554" s="164"/>
      <c r="AU554" s="164"/>
      <c r="AV554" s="164"/>
      <c r="AW554" s="164"/>
      <c r="AX554" s="164"/>
      <c r="AY554" s="164"/>
      <c r="AZ554" s="164"/>
      <c r="BA554" s="164"/>
      <c r="BB554" s="164"/>
      <c r="BC554" s="164"/>
      <c r="BD554" s="164"/>
    </row>
    <row r="555" spans="1:56" ht="14.25" customHeight="1">
      <c r="A555" s="19">
        <v>557</v>
      </c>
      <c r="B555" s="85" t="s">
        <v>1362</v>
      </c>
      <c r="C555" s="84">
        <v>68004501</v>
      </c>
      <c r="D555" s="156" t="s">
        <v>1363</v>
      </c>
      <c r="E555" s="90">
        <v>8</v>
      </c>
      <c r="F555" s="90">
        <v>8</v>
      </c>
      <c r="G555" s="91" t="s">
        <v>1357</v>
      </c>
      <c r="H555" s="130"/>
      <c r="I555" s="37">
        <f t="shared" si="35"/>
        <v>0</v>
      </c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>
        <f t="shared" si="32"/>
        <v>0</v>
      </c>
      <c r="W555" s="36"/>
      <c r="X555" s="38">
        <v>30000</v>
      </c>
      <c r="Y555" s="38" t="str">
        <f t="shared" si="33"/>
        <v>无需保养</v>
      </c>
      <c r="Z555" s="38"/>
      <c r="AA555" s="164"/>
      <c r="AB555" s="164"/>
      <c r="AC555" s="164"/>
      <c r="AD555" s="164"/>
      <c r="AE555" s="164"/>
      <c r="AF555" s="164"/>
      <c r="AG555" s="164"/>
      <c r="AH555" s="164"/>
      <c r="AI555" s="164"/>
      <c r="AJ555" s="164"/>
      <c r="AK555" s="164"/>
      <c r="AL555" s="164"/>
      <c r="AM555" s="164"/>
      <c r="AN555" s="164"/>
      <c r="AO555" s="164"/>
      <c r="AP555" s="164"/>
      <c r="AQ555" s="164"/>
      <c r="AR555" s="164"/>
      <c r="AS555" s="164"/>
      <c r="AT555" s="164"/>
      <c r="AU555" s="164"/>
      <c r="AV555" s="164"/>
      <c r="AW555" s="164"/>
      <c r="AX555" s="164"/>
      <c r="AY555" s="164"/>
      <c r="AZ555" s="164"/>
      <c r="BA555" s="164"/>
      <c r="BB555" s="164"/>
      <c r="BC555" s="164"/>
      <c r="BD555" s="164"/>
    </row>
    <row r="556" spans="1:56" ht="14.25" customHeight="1">
      <c r="A556" s="16">
        <v>558</v>
      </c>
      <c r="B556" s="85" t="s">
        <v>1364</v>
      </c>
      <c r="C556" s="81">
        <v>68003679</v>
      </c>
      <c r="D556" s="155" t="s">
        <v>1365</v>
      </c>
      <c r="E556" s="86">
        <v>16</v>
      </c>
      <c r="F556" s="86">
        <v>16</v>
      </c>
      <c r="G556" s="87" t="s">
        <v>1339</v>
      </c>
      <c r="H556" s="129"/>
      <c r="I556" s="37">
        <f t="shared" si="35"/>
        <v>0</v>
      </c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>
        <f t="shared" si="32"/>
        <v>0</v>
      </c>
      <c r="W556" s="36"/>
      <c r="X556" s="38">
        <v>30000</v>
      </c>
      <c r="Y556" s="38" t="str">
        <f t="shared" si="33"/>
        <v>无需保养</v>
      </c>
      <c r="Z556" s="38"/>
      <c r="AA556" s="164"/>
      <c r="AB556" s="164"/>
      <c r="AC556" s="164"/>
      <c r="AD556" s="164"/>
      <c r="AE556" s="164"/>
      <c r="AF556" s="164"/>
      <c r="AG556" s="164"/>
      <c r="AH556" s="164"/>
      <c r="AI556" s="164"/>
      <c r="AJ556" s="164"/>
      <c r="AK556" s="164"/>
      <c r="AL556" s="164"/>
      <c r="AM556" s="164"/>
      <c r="AN556" s="164"/>
      <c r="AO556" s="164"/>
      <c r="AP556" s="164"/>
      <c r="AQ556" s="164"/>
      <c r="AR556" s="164"/>
      <c r="AS556" s="164"/>
      <c r="AT556" s="164"/>
      <c r="AU556" s="164"/>
      <c r="AV556" s="164"/>
      <c r="AW556" s="164"/>
      <c r="AX556" s="164"/>
      <c r="AY556" s="164"/>
      <c r="AZ556" s="164"/>
      <c r="BA556" s="164"/>
      <c r="BB556" s="164"/>
      <c r="BC556" s="164"/>
      <c r="BD556" s="164"/>
    </row>
    <row r="557" spans="1:56" ht="14.25" customHeight="1">
      <c r="A557" s="17">
        <v>559</v>
      </c>
      <c r="B557" s="75" t="s">
        <v>1366</v>
      </c>
      <c r="C557" s="84" t="s">
        <v>1367</v>
      </c>
      <c r="D557" s="157" t="s">
        <v>1368</v>
      </c>
      <c r="E557" s="74">
        <v>4</v>
      </c>
      <c r="F557" s="74">
        <v>4</v>
      </c>
      <c r="G557" s="75" t="s">
        <v>1369</v>
      </c>
      <c r="H557" s="126"/>
      <c r="I557" s="37">
        <f t="shared" si="35"/>
        <v>0</v>
      </c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>
        <f t="shared" si="32"/>
        <v>0</v>
      </c>
      <c r="W557" s="36"/>
      <c r="X557" s="38">
        <v>30000</v>
      </c>
      <c r="Y557" s="38" t="str">
        <f t="shared" si="33"/>
        <v>无需保养</v>
      </c>
      <c r="Z557" s="38"/>
      <c r="AA557" s="164"/>
      <c r="AB557" s="164"/>
      <c r="AC557" s="164"/>
      <c r="AD557" s="164"/>
      <c r="AE557" s="164"/>
      <c r="AF557" s="164"/>
      <c r="AG557" s="164"/>
      <c r="AH557" s="164"/>
      <c r="AI557" s="164"/>
      <c r="AJ557" s="164"/>
      <c r="AK557" s="164"/>
      <c r="AL557" s="164"/>
      <c r="AM557" s="164"/>
      <c r="AN557" s="164"/>
      <c r="AO557" s="164"/>
      <c r="AP557" s="164"/>
      <c r="AQ557" s="164"/>
      <c r="AR557" s="164"/>
      <c r="AS557" s="164"/>
      <c r="AT557" s="164"/>
      <c r="AU557" s="164"/>
      <c r="AV557" s="164"/>
      <c r="AW557" s="164"/>
      <c r="AX557" s="164"/>
      <c r="AY557" s="164"/>
      <c r="AZ557" s="164"/>
      <c r="BA557" s="164"/>
      <c r="BB557" s="164"/>
      <c r="BC557" s="164"/>
      <c r="BD557" s="164"/>
    </row>
    <row r="558" spans="1:56" ht="14.25" customHeight="1">
      <c r="A558" s="17">
        <v>560</v>
      </c>
      <c r="B558" s="75" t="s">
        <v>1370</v>
      </c>
      <c r="C558" s="84" t="s">
        <v>1371</v>
      </c>
      <c r="D558" s="157" t="s">
        <v>1368</v>
      </c>
      <c r="E558" s="74">
        <v>4</v>
      </c>
      <c r="F558" s="74">
        <v>4</v>
      </c>
      <c r="G558" s="75" t="s">
        <v>1369</v>
      </c>
      <c r="H558" s="126"/>
      <c r="I558" s="37">
        <f t="shared" si="35"/>
        <v>0</v>
      </c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>
        <f t="shared" si="32"/>
        <v>0</v>
      </c>
      <c r="W558" s="36"/>
      <c r="X558" s="38">
        <v>30000</v>
      </c>
      <c r="Y558" s="38" t="str">
        <f t="shared" si="33"/>
        <v>无需保养</v>
      </c>
      <c r="Z558" s="38"/>
      <c r="AA558" s="164"/>
      <c r="AB558" s="164"/>
      <c r="AC558" s="164"/>
      <c r="AD558" s="164"/>
      <c r="AE558" s="164"/>
      <c r="AF558" s="164"/>
      <c r="AG558" s="164"/>
      <c r="AH558" s="164"/>
      <c r="AI558" s="164"/>
      <c r="AJ558" s="164"/>
      <c r="AK558" s="164"/>
      <c r="AL558" s="164"/>
      <c r="AM558" s="164"/>
      <c r="AN558" s="164"/>
      <c r="AO558" s="164"/>
      <c r="AP558" s="164"/>
      <c r="AQ558" s="164"/>
      <c r="AR558" s="164"/>
      <c r="AS558" s="164"/>
      <c r="AT558" s="164"/>
      <c r="AU558" s="164"/>
      <c r="AV558" s="164"/>
      <c r="AW558" s="164"/>
      <c r="AX558" s="164"/>
      <c r="AY558" s="164"/>
      <c r="AZ558" s="164"/>
      <c r="BA558" s="164"/>
      <c r="BB558" s="164"/>
      <c r="BC558" s="164"/>
      <c r="BD558" s="164"/>
    </row>
    <row r="559" spans="1:56" ht="14.25" customHeight="1">
      <c r="A559" s="18">
        <v>561</v>
      </c>
      <c r="B559" s="75" t="s">
        <v>1372</v>
      </c>
      <c r="C559" s="84" t="s">
        <v>1371</v>
      </c>
      <c r="D559" s="157" t="s">
        <v>1368</v>
      </c>
      <c r="E559" s="74">
        <v>4</v>
      </c>
      <c r="F559" s="74">
        <v>4</v>
      </c>
      <c r="G559" s="75" t="s">
        <v>1369</v>
      </c>
      <c r="H559" s="126"/>
      <c r="I559" s="37">
        <f t="shared" si="35"/>
        <v>0</v>
      </c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>
        <f t="shared" si="32"/>
        <v>0</v>
      </c>
      <c r="W559" s="36"/>
      <c r="X559" s="38">
        <v>30000</v>
      </c>
      <c r="Y559" s="38" t="str">
        <f t="shared" si="33"/>
        <v>无需保养</v>
      </c>
      <c r="Z559" s="38"/>
      <c r="AA559" s="164"/>
      <c r="AB559" s="164"/>
      <c r="AC559" s="164"/>
      <c r="AD559" s="164"/>
      <c r="AE559" s="164"/>
      <c r="AF559" s="164"/>
      <c r="AG559" s="164"/>
      <c r="AH559" s="164"/>
      <c r="AI559" s="164"/>
      <c r="AJ559" s="164"/>
      <c r="AK559" s="164"/>
      <c r="AL559" s="164"/>
      <c r="AM559" s="164"/>
      <c r="AN559" s="164"/>
      <c r="AO559" s="164"/>
      <c r="AP559" s="164"/>
      <c r="AQ559" s="164"/>
      <c r="AR559" s="164"/>
      <c r="AS559" s="164"/>
      <c r="AT559" s="164"/>
      <c r="AU559" s="164"/>
      <c r="AV559" s="164"/>
      <c r="AW559" s="164"/>
      <c r="AX559" s="164"/>
      <c r="AY559" s="164"/>
      <c r="AZ559" s="164"/>
      <c r="BA559" s="164"/>
      <c r="BB559" s="164"/>
      <c r="BC559" s="164"/>
      <c r="BD559" s="164"/>
    </row>
    <row r="560" spans="1:56" ht="14.25" customHeight="1">
      <c r="A560" s="18">
        <v>562</v>
      </c>
      <c r="B560" s="75" t="s">
        <v>1373</v>
      </c>
      <c r="C560" s="84" t="s">
        <v>1371</v>
      </c>
      <c r="D560" s="157" t="s">
        <v>1368</v>
      </c>
      <c r="E560" s="74">
        <v>4</v>
      </c>
      <c r="F560" s="74">
        <v>4</v>
      </c>
      <c r="G560" s="75" t="s">
        <v>1369</v>
      </c>
      <c r="H560" s="126"/>
      <c r="I560" s="37">
        <f t="shared" si="35"/>
        <v>0</v>
      </c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>
        <f t="shared" si="32"/>
        <v>0</v>
      </c>
      <c r="W560" s="36"/>
      <c r="X560" s="38">
        <v>30000</v>
      </c>
      <c r="Y560" s="38" t="str">
        <f t="shared" si="33"/>
        <v>无需保养</v>
      </c>
      <c r="Z560" s="38"/>
      <c r="AA560" s="164"/>
      <c r="AB560" s="164"/>
      <c r="AC560" s="164"/>
      <c r="AD560" s="164"/>
      <c r="AE560" s="164"/>
      <c r="AF560" s="164"/>
      <c r="AG560" s="164"/>
      <c r="AH560" s="164"/>
      <c r="AI560" s="164"/>
      <c r="AJ560" s="164"/>
      <c r="AK560" s="164"/>
      <c r="AL560" s="164"/>
      <c r="AM560" s="164"/>
      <c r="AN560" s="164"/>
      <c r="AO560" s="164"/>
      <c r="AP560" s="164"/>
      <c r="AQ560" s="164"/>
      <c r="AR560" s="164"/>
      <c r="AS560" s="164"/>
      <c r="AT560" s="164"/>
      <c r="AU560" s="164"/>
      <c r="AV560" s="164"/>
      <c r="AW560" s="164"/>
      <c r="AX560" s="164"/>
      <c r="AY560" s="164"/>
      <c r="AZ560" s="164"/>
      <c r="BA560" s="164"/>
      <c r="BB560" s="164"/>
      <c r="BC560" s="164"/>
      <c r="BD560" s="164"/>
    </row>
    <row r="561" spans="1:56" ht="14.25" customHeight="1">
      <c r="A561" s="18">
        <v>563</v>
      </c>
      <c r="B561" s="75" t="s">
        <v>1374</v>
      </c>
      <c r="C561" s="84" t="s">
        <v>1367</v>
      </c>
      <c r="D561" s="157" t="s">
        <v>1368</v>
      </c>
      <c r="E561" s="74">
        <v>4</v>
      </c>
      <c r="F561" s="74">
        <v>4</v>
      </c>
      <c r="G561" s="75" t="s">
        <v>1369</v>
      </c>
      <c r="H561" s="126"/>
      <c r="I561" s="37">
        <f t="shared" si="35"/>
        <v>0</v>
      </c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>
        <f t="shared" si="32"/>
        <v>0</v>
      </c>
      <c r="W561" s="36"/>
      <c r="X561" s="38">
        <v>30000</v>
      </c>
      <c r="Y561" s="38" t="str">
        <f t="shared" si="33"/>
        <v>无需保养</v>
      </c>
      <c r="Z561" s="38"/>
      <c r="AA561" s="164"/>
      <c r="AB561" s="164"/>
      <c r="AC561" s="164"/>
      <c r="AD561" s="164"/>
      <c r="AE561" s="164"/>
      <c r="AF561" s="164"/>
      <c r="AG561" s="164"/>
      <c r="AH561" s="164"/>
      <c r="AI561" s="164"/>
      <c r="AJ561" s="164"/>
      <c r="AK561" s="164"/>
      <c r="AL561" s="164"/>
      <c r="AM561" s="164"/>
      <c r="AN561" s="164"/>
      <c r="AO561" s="164"/>
      <c r="AP561" s="164"/>
      <c r="AQ561" s="164"/>
      <c r="AR561" s="164"/>
      <c r="AS561" s="164"/>
      <c r="AT561" s="164"/>
      <c r="AU561" s="164"/>
      <c r="AV561" s="164"/>
      <c r="AW561" s="164"/>
      <c r="AX561" s="164"/>
      <c r="AY561" s="164"/>
      <c r="AZ561" s="164"/>
      <c r="BA561" s="164"/>
      <c r="BB561" s="164"/>
      <c r="BC561" s="164"/>
      <c r="BD561" s="164"/>
    </row>
    <row r="562" spans="1:56" ht="14.25" customHeight="1">
      <c r="A562" s="17">
        <v>564</v>
      </c>
      <c r="B562" s="75" t="s">
        <v>1375</v>
      </c>
      <c r="C562" s="84" t="s">
        <v>1376</v>
      </c>
      <c r="D562" s="157" t="s">
        <v>1377</v>
      </c>
      <c r="E562" s="93">
        <v>3</v>
      </c>
      <c r="F562" s="93">
        <v>3</v>
      </c>
      <c r="G562" s="75" t="s">
        <v>1124</v>
      </c>
      <c r="H562" s="126"/>
      <c r="I562" s="37">
        <f t="shared" si="35"/>
        <v>0</v>
      </c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>
        <f t="shared" si="32"/>
        <v>0</v>
      </c>
      <c r="W562" s="36"/>
      <c r="X562" s="38">
        <v>30000</v>
      </c>
      <c r="Y562" s="38" t="str">
        <f t="shared" si="33"/>
        <v>无需保养</v>
      </c>
      <c r="Z562" s="38"/>
      <c r="AA562" s="164"/>
      <c r="AB562" s="164"/>
      <c r="AC562" s="164"/>
      <c r="AD562" s="164"/>
      <c r="AE562" s="164"/>
      <c r="AF562" s="164"/>
      <c r="AG562" s="164"/>
      <c r="AH562" s="164"/>
      <c r="AI562" s="164"/>
      <c r="AJ562" s="164"/>
      <c r="AK562" s="164"/>
      <c r="AL562" s="164"/>
      <c r="AM562" s="164"/>
      <c r="AN562" s="164"/>
      <c r="AO562" s="164"/>
      <c r="AP562" s="164"/>
      <c r="AQ562" s="164"/>
      <c r="AR562" s="164"/>
      <c r="AS562" s="164"/>
      <c r="AT562" s="164"/>
      <c r="AU562" s="164"/>
      <c r="AV562" s="164"/>
      <c r="AW562" s="164"/>
      <c r="AX562" s="164"/>
      <c r="AY562" s="164"/>
      <c r="AZ562" s="164"/>
      <c r="BA562" s="164"/>
      <c r="BB562" s="164"/>
      <c r="BC562" s="164"/>
      <c r="BD562" s="164"/>
    </row>
    <row r="563" spans="1:56" ht="14.25" customHeight="1">
      <c r="A563" s="17">
        <v>565</v>
      </c>
      <c r="B563" s="75" t="s">
        <v>1378</v>
      </c>
      <c r="C563" s="84" t="s">
        <v>1376</v>
      </c>
      <c r="D563" s="157" t="s">
        <v>1377</v>
      </c>
      <c r="E563" s="74">
        <v>4</v>
      </c>
      <c r="F563" s="74">
        <v>4</v>
      </c>
      <c r="G563" s="75" t="s">
        <v>1124</v>
      </c>
      <c r="H563" s="126"/>
      <c r="I563" s="37">
        <f t="shared" si="35"/>
        <v>0</v>
      </c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>
        <f t="shared" si="32"/>
        <v>0</v>
      </c>
      <c r="W563" s="36"/>
      <c r="X563" s="38">
        <v>30000</v>
      </c>
      <c r="Y563" s="38" t="str">
        <f t="shared" si="33"/>
        <v>无需保养</v>
      </c>
      <c r="Z563" s="38"/>
      <c r="AA563" s="164"/>
      <c r="AB563" s="164"/>
      <c r="AC563" s="164"/>
      <c r="AD563" s="164"/>
      <c r="AE563" s="164"/>
      <c r="AF563" s="164"/>
      <c r="AG563" s="164"/>
      <c r="AH563" s="164"/>
      <c r="AI563" s="164"/>
      <c r="AJ563" s="164"/>
      <c r="AK563" s="164"/>
      <c r="AL563" s="164"/>
      <c r="AM563" s="164"/>
      <c r="AN563" s="164"/>
      <c r="AO563" s="164"/>
      <c r="AP563" s="164"/>
      <c r="AQ563" s="164"/>
      <c r="AR563" s="164"/>
      <c r="AS563" s="164"/>
      <c r="AT563" s="164"/>
      <c r="AU563" s="164"/>
      <c r="AV563" s="164"/>
      <c r="AW563" s="164"/>
      <c r="AX563" s="164"/>
      <c r="AY563" s="164"/>
      <c r="AZ563" s="164"/>
      <c r="BA563" s="164"/>
      <c r="BB563" s="164"/>
      <c r="BC563" s="164"/>
      <c r="BD563" s="164"/>
    </row>
    <row r="564" spans="1:56" ht="14.25" customHeight="1">
      <c r="A564" s="17">
        <v>566</v>
      </c>
      <c r="B564" s="75" t="s">
        <v>1379</v>
      </c>
      <c r="C564" s="84" t="s">
        <v>1376</v>
      </c>
      <c r="D564" s="157" t="s">
        <v>1377</v>
      </c>
      <c r="E564" s="74">
        <v>4</v>
      </c>
      <c r="F564" s="74">
        <v>4</v>
      </c>
      <c r="G564" s="75" t="s">
        <v>1124</v>
      </c>
      <c r="H564" s="126"/>
      <c r="I564" s="37">
        <f t="shared" si="35"/>
        <v>0</v>
      </c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>
        <f t="shared" si="32"/>
        <v>0</v>
      </c>
      <c r="W564" s="36"/>
      <c r="X564" s="38">
        <v>30000</v>
      </c>
      <c r="Y564" s="38" t="str">
        <f t="shared" si="33"/>
        <v>无需保养</v>
      </c>
      <c r="Z564" s="38"/>
      <c r="AA564" s="164"/>
      <c r="AB564" s="164"/>
      <c r="AC564" s="164"/>
      <c r="AD564" s="164"/>
      <c r="AE564" s="164"/>
      <c r="AF564" s="164"/>
      <c r="AG564" s="164"/>
      <c r="AH564" s="164"/>
      <c r="AI564" s="164"/>
      <c r="AJ564" s="164"/>
      <c r="AK564" s="164"/>
      <c r="AL564" s="164"/>
      <c r="AM564" s="164"/>
      <c r="AN564" s="164"/>
      <c r="AO564" s="164"/>
      <c r="AP564" s="164"/>
      <c r="AQ564" s="164"/>
      <c r="AR564" s="164"/>
      <c r="AS564" s="164"/>
      <c r="AT564" s="164"/>
      <c r="AU564" s="164"/>
      <c r="AV564" s="164"/>
      <c r="AW564" s="164"/>
      <c r="AX564" s="164"/>
      <c r="AY564" s="164"/>
      <c r="AZ564" s="164"/>
      <c r="BA564" s="164"/>
      <c r="BB564" s="164"/>
      <c r="BC564" s="164"/>
      <c r="BD564" s="164"/>
    </row>
    <row r="565" spans="1:56" ht="14.25" customHeight="1">
      <c r="A565" s="17">
        <v>567</v>
      </c>
      <c r="B565" s="75" t="s">
        <v>1380</v>
      </c>
      <c r="C565" s="84" t="s">
        <v>1177</v>
      </c>
      <c r="D565" s="157" t="s">
        <v>1178</v>
      </c>
      <c r="E565" s="74">
        <v>8</v>
      </c>
      <c r="F565" s="74">
        <v>8</v>
      </c>
      <c r="G565" s="75" t="s">
        <v>1175</v>
      </c>
      <c r="H565" s="126"/>
      <c r="I565" s="37">
        <f t="shared" si="35"/>
        <v>0</v>
      </c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>
        <f t="shared" si="32"/>
        <v>0</v>
      </c>
      <c r="W565" s="36"/>
      <c r="X565" s="38">
        <v>30000</v>
      </c>
      <c r="Y565" s="38" t="str">
        <f t="shared" si="33"/>
        <v>无需保养</v>
      </c>
      <c r="Z565" s="38"/>
      <c r="AA565" s="164"/>
      <c r="AB565" s="164"/>
      <c r="AC565" s="164"/>
      <c r="AD565" s="164"/>
      <c r="AE565" s="164"/>
      <c r="AF565" s="164"/>
      <c r="AG565" s="164"/>
      <c r="AH565" s="164"/>
      <c r="AI565" s="164"/>
      <c r="AJ565" s="164"/>
      <c r="AK565" s="164"/>
      <c r="AL565" s="164"/>
      <c r="AM565" s="164"/>
      <c r="AN565" s="164"/>
      <c r="AO565" s="164"/>
      <c r="AP565" s="164"/>
      <c r="AQ565" s="164"/>
      <c r="AR565" s="164"/>
      <c r="AS565" s="164"/>
      <c r="AT565" s="164"/>
      <c r="AU565" s="164"/>
      <c r="AV565" s="164"/>
      <c r="AW565" s="164"/>
      <c r="AX565" s="164"/>
      <c r="AY565" s="164"/>
      <c r="AZ565" s="164"/>
      <c r="BA565" s="164"/>
      <c r="BB565" s="164"/>
      <c r="BC565" s="164"/>
      <c r="BD565" s="164"/>
    </row>
    <row r="566" spans="1:56" ht="14.25" customHeight="1">
      <c r="A566" s="17">
        <v>568</v>
      </c>
      <c r="B566" s="75" t="s">
        <v>1381</v>
      </c>
      <c r="C566" s="84" t="s">
        <v>1177</v>
      </c>
      <c r="D566" s="157" t="s">
        <v>1178</v>
      </c>
      <c r="E566" s="74">
        <v>8</v>
      </c>
      <c r="F566" s="74">
        <v>8</v>
      </c>
      <c r="G566" s="75" t="s">
        <v>1175</v>
      </c>
      <c r="H566" s="126"/>
      <c r="I566" s="37">
        <f t="shared" si="35"/>
        <v>0</v>
      </c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>
        <f t="shared" si="32"/>
        <v>0</v>
      </c>
      <c r="W566" s="36"/>
      <c r="X566" s="38">
        <v>30000</v>
      </c>
      <c r="Y566" s="38" t="str">
        <f t="shared" si="33"/>
        <v>无需保养</v>
      </c>
      <c r="Z566" s="38"/>
      <c r="AA566" s="164"/>
      <c r="AB566" s="164"/>
      <c r="AC566" s="164"/>
      <c r="AD566" s="164"/>
      <c r="AE566" s="164"/>
      <c r="AF566" s="164"/>
      <c r="AG566" s="164"/>
      <c r="AH566" s="164"/>
      <c r="AI566" s="164"/>
      <c r="AJ566" s="164"/>
      <c r="AK566" s="164"/>
      <c r="AL566" s="164"/>
      <c r="AM566" s="164"/>
      <c r="AN566" s="164"/>
      <c r="AO566" s="164"/>
      <c r="AP566" s="164"/>
      <c r="AQ566" s="164"/>
      <c r="AR566" s="164"/>
      <c r="AS566" s="164"/>
      <c r="AT566" s="164"/>
      <c r="AU566" s="164"/>
      <c r="AV566" s="164"/>
      <c r="AW566" s="164"/>
      <c r="AX566" s="164"/>
      <c r="AY566" s="164"/>
      <c r="AZ566" s="164"/>
      <c r="BA566" s="164"/>
      <c r="BB566" s="164"/>
      <c r="BC566" s="164"/>
      <c r="BD566" s="164"/>
    </row>
    <row r="567" spans="1:56" ht="14.25" customHeight="1">
      <c r="A567" s="17">
        <v>569</v>
      </c>
      <c r="B567" s="75" t="s">
        <v>1382</v>
      </c>
      <c r="C567" s="84" t="s">
        <v>1177</v>
      </c>
      <c r="D567" s="157" t="s">
        <v>1178</v>
      </c>
      <c r="E567" s="74">
        <v>8</v>
      </c>
      <c r="F567" s="74">
        <v>8</v>
      </c>
      <c r="G567" s="75" t="s">
        <v>1175</v>
      </c>
      <c r="H567" s="126"/>
      <c r="I567" s="37">
        <f t="shared" si="35"/>
        <v>0</v>
      </c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>
        <f t="shared" si="32"/>
        <v>0</v>
      </c>
      <c r="W567" s="36"/>
      <c r="X567" s="38">
        <v>30000</v>
      </c>
      <c r="Y567" s="38" t="str">
        <f t="shared" si="33"/>
        <v>无需保养</v>
      </c>
      <c r="Z567" s="38"/>
      <c r="AA567" s="164"/>
      <c r="AB567" s="164"/>
      <c r="AC567" s="164"/>
      <c r="AD567" s="164"/>
      <c r="AE567" s="164"/>
      <c r="AF567" s="164"/>
      <c r="AG567" s="164"/>
      <c r="AH567" s="164"/>
      <c r="AI567" s="164"/>
      <c r="AJ567" s="164"/>
      <c r="AK567" s="164"/>
      <c r="AL567" s="164"/>
      <c r="AM567" s="164"/>
      <c r="AN567" s="164"/>
      <c r="AO567" s="164"/>
      <c r="AP567" s="164"/>
      <c r="AQ567" s="164"/>
      <c r="AR567" s="164"/>
      <c r="AS567" s="164"/>
      <c r="AT567" s="164"/>
      <c r="AU567" s="164"/>
      <c r="AV567" s="164"/>
      <c r="AW567" s="164"/>
      <c r="AX567" s="164"/>
      <c r="AY567" s="164"/>
      <c r="AZ567" s="164"/>
      <c r="BA567" s="164"/>
      <c r="BB567" s="164"/>
      <c r="BC567" s="164"/>
      <c r="BD567" s="164"/>
    </row>
    <row r="568" spans="1:56" ht="14.25" customHeight="1">
      <c r="A568" s="18">
        <v>570</v>
      </c>
      <c r="B568" s="75" t="s">
        <v>1383</v>
      </c>
      <c r="C568" s="84" t="s">
        <v>1384</v>
      </c>
      <c r="D568" s="157" t="s">
        <v>1385</v>
      </c>
      <c r="E568" s="76">
        <v>4</v>
      </c>
      <c r="F568" s="76">
        <v>4</v>
      </c>
      <c r="G568" s="83" t="s">
        <v>1240</v>
      </c>
      <c r="H568" s="128"/>
      <c r="I568" s="37">
        <f t="shared" si="35"/>
        <v>0</v>
      </c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>
        <f t="shared" si="32"/>
        <v>0</v>
      </c>
      <c r="W568" s="36"/>
      <c r="X568" s="38">
        <v>30000</v>
      </c>
      <c r="Y568" s="38" t="str">
        <f t="shared" si="33"/>
        <v>无需保养</v>
      </c>
      <c r="Z568" s="38"/>
      <c r="AA568" s="164"/>
      <c r="AB568" s="164"/>
      <c r="AC568" s="164"/>
      <c r="AD568" s="164"/>
      <c r="AE568" s="164"/>
      <c r="AF568" s="164"/>
      <c r="AG568" s="164"/>
      <c r="AH568" s="164"/>
      <c r="AI568" s="164"/>
      <c r="AJ568" s="164"/>
      <c r="AK568" s="164"/>
      <c r="AL568" s="164"/>
      <c r="AM568" s="164"/>
      <c r="AN568" s="164"/>
      <c r="AO568" s="164"/>
      <c r="AP568" s="164"/>
      <c r="AQ568" s="164"/>
      <c r="AR568" s="164"/>
      <c r="AS568" s="164"/>
      <c r="AT568" s="164"/>
      <c r="AU568" s="164"/>
      <c r="AV568" s="164"/>
      <c r="AW568" s="164"/>
      <c r="AX568" s="164"/>
      <c r="AY568" s="164"/>
      <c r="AZ568" s="164"/>
      <c r="BA568" s="164"/>
      <c r="BB568" s="164"/>
      <c r="BC568" s="164"/>
      <c r="BD568" s="164"/>
    </row>
    <row r="569" spans="1:56" ht="14.25" customHeight="1">
      <c r="A569" s="18">
        <v>571</v>
      </c>
      <c r="B569" s="75" t="s">
        <v>1386</v>
      </c>
      <c r="C569" s="84" t="s">
        <v>1192</v>
      </c>
      <c r="D569" s="157" t="s">
        <v>1193</v>
      </c>
      <c r="E569" s="74">
        <v>2</v>
      </c>
      <c r="F569" s="74">
        <v>2</v>
      </c>
      <c r="G569" s="75" t="s">
        <v>1160</v>
      </c>
      <c r="H569" s="126"/>
      <c r="I569" s="37">
        <f t="shared" si="35"/>
        <v>0</v>
      </c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>
        <f t="shared" si="32"/>
        <v>0</v>
      </c>
      <c r="W569" s="36"/>
      <c r="X569" s="38">
        <v>30000</v>
      </c>
      <c r="Y569" s="38" t="str">
        <f t="shared" si="33"/>
        <v>无需保养</v>
      </c>
      <c r="Z569" s="38"/>
      <c r="AA569" s="164"/>
      <c r="AB569" s="164"/>
      <c r="AC569" s="164"/>
      <c r="AD569" s="164"/>
      <c r="AE569" s="164"/>
      <c r="AF569" s="164"/>
      <c r="AG569" s="164"/>
      <c r="AH569" s="164"/>
      <c r="AI569" s="164"/>
      <c r="AJ569" s="164"/>
      <c r="AK569" s="164"/>
      <c r="AL569" s="164"/>
      <c r="AM569" s="164"/>
      <c r="AN569" s="164"/>
      <c r="AO569" s="164"/>
      <c r="AP569" s="164"/>
      <c r="AQ569" s="164"/>
      <c r="AR569" s="164"/>
      <c r="AS569" s="164"/>
      <c r="AT569" s="164"/>
      <c r="AU569" s="164"/>
      <c r="AV569" s="164"/>
      <c r="AW569" s="164"/>
      <c r="AX569" s="164"/>
      <c r="AY569" s="164"/>
      <c r="AZ569" s="164"/>
      <c r="BA569" s="164"/>
      <c r="BB569" s="164"/>
      <c r="BC569" s="164"/>
      <c r="BD569" s="164"/>
    </row>
    <row r="570" spans="1:56" ht="14.25" customHeight="1">
      <c r="A570" s="18">
        <v>572</v>
      </c>
      <c r="B570" s="75" t="s">
        <v>1387</v>
      </c>
      <c r="C570" s="84" t="s">
        <v>1388</v>
      </c>
      <c r="D570" s="157" t="s">
        <v>1389</v>
      </c>
      <c r="E570" s="74">
        <v>4</v>
      </c>
      <c r="F570" s="74">
        <v>4</v>
      </c>
      <c r="G570" s="83" t="s">
        <v>1240</v>
      </c>
      <c r="H570" s="128"/>
      <c r="I570" s="37">
        <f t="shared" si="35"/>
        <v>0</v>
      </c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>
        <f t="shared" si="32"/>
        <v>0</v>
      </c>
      <c r="W570" s="36"/>
      <c r="X570" s="38">
        <v>30000</v>
      </c>
      <c r="Y570" s="38" t="str">
        <f t="shared" si="33"/>
        <v>无需保养</v>
      </c>
      <c r="Z570" s="38"/>
      <c r="AA570" s="164"/>
      <c r="AB570" s="164"/>
      <c r="AC570" s="164"/>
      <c r="AD570" s="164"/>
      <c r="AE570" s="164"/>
      <c r="AF570" s="164"/>
      <c r="AG570" s="164"/>
      <c r="AH570" s="164"/>
      <c r="AI570" s="164"/>
      <c r="AJ570" s="164"/>
      <c r="AK570" s="164"/>
      <c r="AL570" s="164"/>
      <c r="AM570" s="164"/>
      <c r="AN570" s="164"/>
      <c r="AO570" s="164"/>
      <c r="AP570" s="164"/>
      <c r="AQ570" s="164"/>
      <c r="AR570" s="164"/>
      <c r="AS570" s="164"/>
      <c r="AT570" s="164"/>
      <c r="AU570" s="164"/>
      <c r="AV570" s="164"/>
      <c r="AW570" s="164"/>
      <c r="AX570" s="164"/>
      <c r="AY570" s="164"/>
      <c r="AZ570" s="164"/>
      <c r="BA570" s="164"/>
      <c r="BB570" s="164"/>
      <c r="BC570" s="164"/>
      <c r="BD570" s="164"/>
    </row>
    <row r="571" spans="1:56" ht="14.25" customHeight="1">
      <c r="A571" s="17">
        <v>573</v>
      </c>
      <c r="B571" s="75" t="s">
        <v>1390</v>
      </c>
      <c r="C571" s="84" t="s">
        <v>1209</v>
      </c>
      <c r="D571" s="157" t="s">
        <v>1391</v>
      </c>
      <c r="E571" s="74">
        <v>1</v>
      </c>
      <c r="F571" s="74">
        <v>1</v>
      </c>
      <c r="G571" s="75" t="s">
        <v>1142</v>
      </c>
      <c r="H571" s="126"/>
      <c r="I571" s="37">
        <f t="shared" si="35"/>
        <v>0</v>
      </c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>
        <f t="shared" si="32"/>
        <v>0</v>
      </c>
      <c r="W571" s="36"/>
      <c r="X571" s="38">
        <v>30000</v>
      </c>
      <c r="Y571" s="38" t="str">
        <f t="shared" si="33"/>
        <v>无需保养</v>
      </c>
      <c r="Z571" s="38"/>
      <c r="AA571" s="164"/>
      <c r="AB571" s="164"/>
      <c r="AC571" s="164"/>
      <c r="AD571" s="164"/>
      <c r="AE571" s="164"/>
      <c r="AF571" s="164"/>
      <c r="AG571" s="164"/>
      <c r="AH571" s="164"/>
      <c r="AI571" s="164"/>
      <c r="AJ571" s="164"/>
      <c r="AK571" s="164"/>
      <c r="AL571" s="164"/>
      <c r="AM571" s="164"/>
      <c r="AN571" s="164"/>
      <c r="AO571" s="164"/>
      <c r="AP571" s="164"/>
      <c r="AQ571" s="164"/>
      <c r="AR571" s="164"/>
      <c r="AS571" s="164"/>
      <c r="AT571" s="164"/>
      <c r="AU571" s="164"/>
      <c r="AV571" s="164"/>
      <c r="AW571" s="164"/>
      <c r="AX571" s="164"/>
      <c r="AY571" s="164"/>
      <c r="AZ571" s="164"/>
      <c r="BA571" s="164"/>
      <c r="BB571" s="164"/>
      <c r="BC571" s="164"/>
      <c r="BD571" s="164"/>
    </row>
    <row r="572" spans="1:56" ht="14.25" customHeight="1">
      <c r="A572" s="18">
        <v>574</v>
      </c>
      <c r="B572" s="75" t="s">
        <v>1392</v>
      </c>
      <c r="C572" s="84" t="s">
        <v>1234</v>
      </c>
      <c r="D572" s="157" t="s">
        <v>1393</v>
      </c>
      <c r="E572" s="93">
        <v>5</v>
      </c>
      <c r="F572" s="93">
        <v>5</v>
      </c>
      <c r="G572" s="94" t="s">
        <v>1236</v>
      </c>
      <c r="H572" s="131"/>
      <c r="I572" s="37">
        <f t="shared" si="35"/>
        <v>0</v>
      </c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>
        <f t="shared" si="32"/>
        <v>0</v>
      </c>
      <c r="W572" s="36"/>
      <c r="X572" s="38">
        <v>30000</v>
      </c>
      <c r="Y572" s="38" t="str">
        <f t="shared" si="33"/>
        <v>无需保养</v>
      </c>
      <c r="Z572" s="38"/>
      <c r="AA572" s="164"/>
      <c r="AB572" s="164"/>
      <c r="AC572" s="164"/>
      <c r="AD572" s="164"/>
      <c r="AE572" s="164"/>
      <c r="AF572" s="164"/>
      <c r="AG572" s="164"/>
      <c r="AH572" s="164"/>
      <c r="AI572" s="164"/>
      <c r="AJ572" s="164"/>
      <c r="AK572" s="164"/>
      <c r="AL572" s="164"/>
      <c r="AM572" s="164"/>
      <c r="AN572" s="164"/>
      <c r="AO572" s="164"/>
      <c r="AP572" s="164"/>
      <c r="AQ572" s="164"/>
      <c r="AR572" s="164"/>
      <c r="AS572" s="164"/>
      <c r="AT572" s="164"/>
      <c r="AU572" s="164"/>
      <c r="AV572" s="164"/>
      <c r="AW572" s="164"/>
      <c r="AX572" s="164"/>
      <c r="AY572" s="164"/>
      <c r="AZ572" s="164"/>
      <c r="BA572" s="164"/>
      <c r="BB572" s="164"/>
      <c r="BC572" s="164"/>
      <c r="BD572" s="164"/>
    </row>
    <row r="573" spans="1:56" ht="14.25" customHeight="1">
      <c r="A573" s="18">
        <v>575</v>
      </c>
      <c r="B573" s="75" t="s">
        <v>1394</v>
      </c>
      <c r="C573" s="84" t="s">
        <v>1395</v>
      </c>
      <c r="D573" s="74" t="s">
        <v>1287</v>
      </c>
      <c r="E573" s="95">
        <v>4</v>
      </c>
      <c r="F573" s="95">
        <v>4</v>
      </c>
      <c r="G573" s="94" t="s">
        <v>1160</v>
      </c>
      <c r="H573" s="131"/>
      <c r="I573" s="37">
        <f t="shared" si="35"/>
        <v>0</v>
      </c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>
        <f t="shared" si="32"/>
        <v>0</v>
      </c>
      <c r="W573" s="36"/>
      <c r="X573" s="38">
        <v>30000</v>
      </c>
      <c r="Y573" s="38" t="str">
        <f t="shared" si="33"/>
        <v>无需保养</v>
      </c>
      <c r="Z573" s="38"/>
      <c r="AA573" s="164"/>
      <c r="AB573" s="164"/>
      <c r="AC573" s="164"/>
      <c r="AD573" s="164"/>
      <c r="AE573" s="164"/>
      <c r="AF573" s="164"/>
      <c r="AG573" s="164"/>
      <c r="AH573" s="164"/>
      <c r="AI573" s="164"/>
      <c r="AJ573" s="164"/>
      <c r="AK573" s="164"/>
      <c r="AL573" s="164"/>
      <c r="AM573" s="164"/>
      <c r="AN573" s="164"/>
      <c r="AO573" s="164"/>
      <c r="AP573" s="164"/>
      <c r="AQ573" s="164"/>
      <c r="AR573" s="164"/>
      <c r="AS573" s="164"/>
      <c r="AT573" s="164"/>
      <c r="AU573" s="164"/>
      <c r="AV573" s="164"/>
      <c r="AW573" s="164"/>
      <c r="AX573" s="164"/>
      <c r="AY573" s="164"/>
      <c r="AZ573" s="164"/>
      <c r="BA573" s="164"/>
      <c r="BB573" s="164"/>
      <c r="BC573" s="164"/>
      <c r="BD573" s="164"/>
    </row>
    <row r="574" spans="1:56" ht="14.25" customHeight="1">
      <c r="A574" s="19">
        <v>576</v>
      </c>
      <c r="B574" s="75" t="s">
        <v>1396</v>
      </c>
      <c r="C574" s="84" t="s">
        <v>1397</v>
      </c>
      <c r="D574" s="158" t="s">
        <v>1398</v>
      </c>
      <c r="E574" s="96">
        <v>4</v>
      </c>
      <c r="F574" s="96">
        <v>4</v>
      </c>
      <c r="G574" s="94" t="s">
        <v>1124</v>
      </c>
      <c r="H574" s="131"/>
      <c r="I574" s="37">
        <f t="shared" si="35"/>
        <v>0</v>
      </c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>
        <f t="shared" si="32"/>
        <v>0</v>
      </c>
      <c r="W574" s="36"/>
      <c r="X574" s="38">
        <v>30000</v>
      </c>
      <c r="Y574" s="38" t="str">
        <f t="shared" si="33"/>
        <v>无需保养</v>
      </c>
      <c r="Z574" s="38"/>
      <c r="AA574" s="164"/>
      <c r="AB574" s="164"/>
      <c r="AC574" s="164"/>
      <c r="AD574" s="164"/>
      <c r="AE574" s="164"/>
      <c r="AF574" s="164"/>
      <c r="AG574" s="164"/>
      <c r="AH574" s="164"/>
      <c r="AI574" s="164"/>
      <c r="AJ574" s="164"/>
      <c r="AK574" s="164"/>
      <c r="AL574" s="164"/>
      <c r="AM574" s="164"/>
      <c r="AN574" s="164"/>
      <c r="AO574" s="164"/>
      <c r="AP574" s="164"/>
      <c r="AQ574" s="164"/>
      <c r="AR574" s="164"/>
      <c r="AS574" s="164"/>
      <c r="AT574" s="164"/>
      <c r="AU574" s="164"/>
      <c r="AV574" s="164"/>
      <c r="AW574" s="164"/>
      <c r="AX574" s="164"/>
      <c r="AY574" s="164"/>
      <c r="AZ574" s="164"/>
      <c r="BA574" s="164"/>
      <c r="BB574" s="164"/>
      <c r="BC574" s="164"/>
      <c r="BD574" s="164"/>
    </row>
    <row r="575" spans="1:56" ht="14.25" customHeight="1">
      <c r="A575" s="19">
        <v>577</v>
      </c>
      <c r="B575" s="75" t="s">
        <v>1399</v>
      </c>
      <c r="C575" s="84" t="s">
        <v>1397</v>
      </c>
      <c r="D575" s="158" t="s">
        <v>1398</v>
      </c>
      <c r="E575" s="96">
        <v>4</v>
      </c>
      <c r="F575" s="96">
        <v>4</v>
      </c>
      <c r="G575" s="94" t="s">
        <v>1124</v>
      </c>
      <c r="H575" s="131"/>
      <c r="I575" s="37">
        <f t="shared" si="35"/>
        <v>0</v>
      </c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>
        <f t="shared" si="32"/>
        <v>0</v>
      </c>
      <c r="W575" s="36"/>
      <c r="X575" s="38">
        <v>30000</v>
      </c>
      <c r="Y575" s="38" t="str">
        <f t="shared" si="33"/>
        <v>无需保养</v>
      </c>
      <c r="Z575" s="38"/>
      <c r="AA575" s="164"/>
      <c r="AB575" s="164"/>
      <c r="AC575" s="164"/>
      <c r="AD575" s="164"/>
      <c r="AE575" s="164"/>
      <c r="AF575" s="164"/>
      <c r="AG575" s="164"/>
      <c r="AH575" s="164"/>
      <c r="AI575" s="164"/>
      <c r="AJ575" s="164"/>
      <c r="AK575" s="164"/>
      <c r="AL575" s="164"/>
      <c r="AM575" s="164"/>
      <c r="AN575" s="164"/>
      <c r="AO575" s="164"/>
      <c r="AP575" s="164"/>
      <c r="AQ575" s="164"/>
      <c r="AR575" s="164"/>
      <c r="AS575" s="164"/>
      <c r="AT575" s="164"/>
      <c r="AU575" s="164"/>
      <c r="AV575" s="164"/>
      <c r="AW575" s="164"/>
      <c r="AX575" s="164"/>
      <c r="AY575" s="164"/>
      <c r="AZ575" s="164"/>
      <c r="BA575" s="164"/>
      <c r="BB575" s="164"/>
      <c r="BC575" s="164"/>
      <c r="BD575" s="164"/>
    </row>
    <row r="576" spans="1:56" ht="14.25" customHeight="1">
      <c r="A576" s="16">
        <v>578</v>
      </c>
      <c r="B576" s="97" t="s">
        <v>1400</v>
      </c>
      <c r="C576" s="84" t="s">
        <v>1401</v>
      </c>
      <c r="D576" s="158" t="s">
        <v>1398</v>
      </c>
      <c r="E576" s="96">
        <v>4</v>
      </c>
      <c r="F576" s="96">
        <v>4</v>
      </c>
      <c r="G576" s="94" t="s">
        <v>1160</v>
      </c>
      <c r="H576" s="131"/>
      <c r="I576" s="37">
        <f t="shared" si="35"/>
        <v>0</v>
      </c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>
        <f t="shared" si="32"/>
        <v>0</v>
      </c>
      <c r="W576" s="36"/>
      <c r="X576" s="38">
        <v>30000</v>
      </c>
      <c r="Y576" s="38" t="str">
        <f t="shared" si="33"/>
        <v>无需保养</v>
      </c>
      <c r="Z576" s="38"/>
      <c r="AA576" s="164"/>
      <c r="AB576" s="164"/>
      <c r="AC576" s="164"/>
      <c r="AD576" s="164"/>
      <c r="AE576" s="164"/>
      <c r="AF576" s="164"/>
      <c r="AG576" s="164"/>
      <c r="AH576" s="164"/>
      <c r="AI576" s="164"/>
      <c r="AJ576" s="164"/>
      <c r="AK576" s="164"/>
      <c r="AL576" s="164"/>
      <c r="AM576" s="164"/>
      <c r="AN576" s="164"/>
      <c r="AO576" s="164"/>
      <c r="AP576" s="164"/>
      <c r="AQ576" s="164"/>
      <c r="AR576" s="164"/>
      <c r="AS576" s="164"/>
      <c r="AT576" s="164"/>
      <c r="AU576" s="164"/>
      <c r="AV576" s="164"/>
      <c r="AW576" s="164"/>
      <c r="AX576" s="164"/>
      <c r="AY576" s="164"/>
      <c r="AZ576" s="164"/>
      <c r="BA576" s="164"/>
      <c r="BB576" s="164"/>
      <c r="BC576" s="164"/>
      <c r="BD576" s="164"/>
    </row>
    <row r="577" spans="1:56" ht="14.25" customHeight="1">
      <c r="A577" s="16">
        <v>579</v>
      </c>
      <c r="B577" s="97" t="s">
        <v>1402</v>
      </c>
      <c r="C577" s="84" t="s">
        <v>1401</v>
      </c>
      <c r="D577" s="158" t="s">
        <v>1398</v>
      </c>
      <c r="E577" s="96">
        <v>4</v>
      </c>
      <c r="F577" s="96">
        <v>4</v>
      </c>
      <c r="G577" s="94" t="s">
        <v>1160</v>
      </c>
      <c r="H577" s="131"/>
      <c r="I577" s="37">
        <f t="shared" si="35"/>
        <v>0</v>
      </c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>
        <f t="shared" si="32"/>
        <v>0</v>
      </c>
      <c r="W577" s="36"/>
      <c r="X577" s="38">
        <v>30000</v>
      </c>
      <c r="Y577" s="38" t="str">
        <f t="shared" si="33"/>
        <v>无需保养</v>
      </c>
      <c r="Z577" s="38"/>
      <c r="AA577" s="164"/>
      <c r="AB577" s="164"/>
      <c r="AC577" s="164"/>
      <c r="AD577" s="164"/>
      <c r="AE577" s="164"/>
      <c r="AF577" s="164"/>
      <c r="AG577" s="164"/>
      <c r="AH577" s="164"/>
      <c r="AI577" s="164"/>
      <c r="AJ577" s="164"/>
      <c r="AK577" s="164"/>
      <c r="AL577" s="164"/>
      <c r="AM577" s="164"/>
      <c r="AN577" s="164"/>
      <c r="AO577" s="164"/>
      <c r="AP577" s="164"/>
      <c r="AQ577" s="164"/>
      <c r="AR577" s="164"/>
      <c r="AS577" s="164"/>
      <c r="AT577" s="164"/>
      <c r="AU577" s="164"/>
      <c r="AV577" s="164"/>
      <c r="AW577" s="164"/>
      <c r="AX577" s="164"/>
      <c r="AY577" s="164"/>
      <c r="AZ577" s="164"/>
      <c r="BA577" s="164"/>
      <c r="BB577" s="164"/>
      <c r="BC577" s="164"/>
      <c r="BD577" s="164"/>
    </row>
    <row r="578" spans="1:56" ht="14.25" customHeight="1">
      <c r="A578" s="16">
        <v>580</v>
      </c>
      <c r="B578" s="97" t="s">
        <v>1403</v>
      </c>
      <c r="C578" s="84" t="s">
        <v>1401</v>
      </c>
      <c r="D578" s="158" t="s">
        <v>1398</v>
      </c>
      <c r="E578" s="96">
        <v>4</v>
      </c>
      <c r="F578" s="96">
        <v>4</v>
      </c>
      <c r="G578" s="94" t="s">
        <v>1160</v>
      </c>
      <c r="H578" s="131"/>
      <c r="I578" s="37">
        <f t="shared" si="35"/>
        <v>0</v>
      </c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>
        <f t="shared" si="32"/>
        <v>0</v>
      </c>
      <c r="W578" s="36"/>
      <c r="X578" s="38">
        <v>30000</v>
      </c>
      <c r="Y578" s="38" t="str">
        <f t="shared" si="33"/>
        <v>无需保养</v>
      </c>
      <c r="Z578" s="38"/>
      <c r="AA578" s="164"/>
      <c r="AB578" s="164"/>
      <c r="AC578" s="164"/>
      <c r="AD578" s="164"/>
      <c r="AE578" s="164"/>
      <c r="AF578" s="164"/>
      <c r="AG578" s="164"/>
      <c r="AH578" s="164"/>
      <c r="AI578" s="164"/>
      <c r="AJ578" s="164"/>
      <c r="AK578" s="164"/>
      <c r="AL578" s="164"/>
      <c r="AM578" s="164"/>
      <c r="AN578" s="164"/>
      <c r="AO578" s="164"/>
      <c r="AP578" s="164"/>
      <c r="AQ578" s="164"/>
      <c r="AR578" s="164"/>
      <c r="AS578" s="164"/>
      <c r="AT578" s="164"/>
      <c r="AU578" s="164"/>
      <c r="AV578" s="164"/>
      <c r="AW578" s="164"/>
      <c r="AX578" s="164"/>
      <c r="AY578" s="164"/>
      <c r="AZ578" s="164"/>
      <c r="BA578" s="164"/>
      <c r="BB578" s="164"/>
      <c r="BC578" s="164"/>
      <c r="BD578" s="164"/>
    </row>
    <row r="579" spans="1:56" ht="14.25" customHeight="1">
      <c r="A579" s="16">
        <v>581</v>
      </c>
      <c r="B579" s="97" t="s">
        <v>1404</v>
      </c>
      <c r="C579" s="84" t="s">
        <v>1401</v>
      </c>
      <c r="D579" s="159" t="s">
        <v>1398</v>
      </c>
      <c r="E579" s="96">
        <v>4</v>
      </c>
      <c r="F579" s="96">
        <v>4</v>
      </c>
      <c r="G579" s="94" t="s">
        <v>1160</v>
      </c>
      <c r="H579" s="131"/>
      <c r="I579" s="37">
        <f t="shared" si="35"/>
        <v>0</v>
      </c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>
        <f t="shared" si="32"/>
        <v>0</v>
      </c>
      <c r="W579" s="36"/>
      <c r="X579" s="38">
        <v>30000</v>
      </c>
      <c r="Y579" s="38" t="str">
        <f t="shared" si="33"/>
        <v>无需保养</v>
      </c>
      <c r="Z579" s="38"/>
      <c r="AA579" s="164"/>
      <c r="AB579" s="164"/>
      <c r="AC579" s="164"/>
      <c r="AD579" s="164"/>
      <c r="AE579" s="164"/>
      <c r="AF579" s="164"/>
      <c r="AG579" s="164"/>
      <c r="AH579" s="164"/>
      <c r="AI579" s="164"/>
      <c r="AJ579" s="164"/>
      <c r="AK579" s="164"/>
      <c r="AL579" s="164"/>
      <c r="AM579" s="164"/>
      <c r="AN579" s="164"/>
      <c r="AO579" s="164"/>
      <c r="AP579" s="164"/>
      <c r="AQ579" s="164"/>
      <c r="AR579" s="164"/>
      <c r="AS579" s="164"/>
      <c r="AT579" s="164"/>
      <c r="AU579" s="164"/>
      <c r="AV579" s="164"/>
      <c r="AW579" s="164"/>
      <c r="AX579" s="164"/>
      <c r="AY579" s="164"/>
      <c r="AZ579" s="164"/>
      <c r="BA579" s="164"/>
      <c r="BB579" s="164"/>
      <c r="BC579" s="164"/>
      <c r="BD579" s="164"/>
    </row>
    <row r="580" spans="1:56" ht="14.25" customHeight="1">
      <c r="A580" s="16">
        <v>582</v>
      </c>
      <c r="B580" s="97" t="s">
        <v>1405</v>
      </c>
      <c r="C580" s="84" t="s">
        <v>1406</v>
      </c>
      <c r="D580" s="158" t="s">
        <v>1407</v>
      </c>
      <c r="E580" s="96">
        <v>4</v>
      </c>
      <c r="F580" s="96">
        <v>4</v>
      </c>
      <c r="G580" s="94" t="s">
        <v>1160</v>
      </c>
      <c r="H580" s="131"/>
      <c r="I580" s="37">
        <f t="shared" si="35"/>
        <v>0</v>
      </c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>
        <f t="shared" si="32"/>
        <v>0</v>
      </c>
      <c r="W580" s="36"/>
      <c r="X580" s="38">
        <v>30000</v>
      </c>
      <c r="Y580" s="38" t="str">
        <f t="shared" si="33"/>
        <v>无需保养</v>
      </c>
      <c r="Z580" s="38"/>
      <c r="AA580" s="164"/>
      <c r="AB580" s="164"/>
      <c r="AC580" s="164"/>
      <c r="AD580" s="164"/>
      <c r="AE580" s="164"/>
      <c r="AF580" s="164"/>
      <c r="AG580" s="164"/>
      <c r="AH580" s="164"/>
      <c r="AI580" s="164"/>
      <c r="AJ580" s="164"/>
      <c r="AK580" s="164"/>
      <c r="AL580" s="164"/>
      <c r="AM580" s="164"/>
      <c r="AN580" s="164"/>
      <c r="AO580" s="164"/>
      <c r="AP580" s="164"/>
      <c r="AQ580" s="164"/>
      <c r="AR580" s="164"/>
      <c r="AS580" s="164"/>
      <c r="AT580" s="164"/>
      <c r="AU580" s="164"/>
      <c r="AV580" s="164"/>
      <c r="AW580" s="164"/>
      <c r="AX580" s="164"/>
      <c r="AY580" s="164"/>
      <c r="AZ580" s="164"/>
      <c r="BA580" s="164"/>
      <c r="BB580" s="164"/>
      <c r="BC580" s="164"/>
      <c r="BD580" s="164"/>
    </row>
    <row r="581" spans="1:56" ht="14.25" customHeight="1">
      <c r="A581" s="16">
        <v>583</v>
      </c>
      <c r="B581" s="97" t="s">
        <v>1408</v>
      </c>
      <c r="C581" s="84" t="s">
        <v>1406</v>
      </c>
      <c r="D581" s="158" t="s">
        <v>1407</v>
      </c>
      <c r="E581" s="96">
        <v>4</v>
      </c>
      <c r="F581" s="96">
        <v>4</v>
      </c>
      <c r="G581" s="94" t="s">
        <v>1160</v>
      </c>
      <c r="H581" s="131"/>
      <c r="I581" s="37">
        <f t="shared" si="35"/>
        <v>0</v>
      </c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>
        <f t="shared" ref="V581:V626" si="36">I581/F581</f>
        <v>0</v>
      </c>
      <c r="W581" s="36"/>
      <c r="X581" s="38">
        <v>30000</v>
      </c>
      <c r="Y581" s="38" t="str">
        <f t="shared" ref="Y581:Y626" si="37">IF(OR(AND(W581&lt;&gt;0,QUOTIENT(V581,X581)&gt;=1,(MOD(V581,X581)/X581)&gt;=0.9,(QUOTIENT(V581,X581)+1)&gt;W581),AND(QUOTIENT(V581,X581)=0,MOD(V581,X581)/X581&gt;=0.9,(QUOTIENT(V581,X581)+1)&gt;W581),QUOTIENT(V581,X581)&gt;W581),"保养","无需保养")</f>
        <v>无需保养</v>
      </c>
      <c r="Z581" s="38"/>
      <c r="AA581" s="164"/>
      <c r="AB581" s="164"/>
      <c r="AC581" s="164"/>
      <c r="AD581" s="164"/>
      <c r="AE581" s="164"/>
      <c r="AF581" s="164"/>
      <c r="AG581" s="164"/>
      <c r="AH581" s="164"/>
      <c r="AI581" s="164"/>
      <c r="AJ581" s="164"/>
      <c r="AK581" s="164"/>
      <c r="AL581" s="164"/>
      <c r="AM581" s="164"/>
      <c r="AN581" s="164"/>
      <c r="AO581" s="164"/>
      <c r="AP581" s="164"/>
      <c r="AQ581" s="164"/>
      <c r="AR581" s="164"/>
      <c r="AS581" s="164"/>
      <c r="AT581" s="164"/>
      <c r="AU581" s="164"/>
      <c r="AV581" s="164"/>
      <c r="AW581" s="164"/>
      <c r="AX581" s="164"/>
      <c r="AY581" s="164"/>
      <c r="AZ581" s="164"/>
      <c r="BA581" s="164"/>
      <c r="BB581" s="164"/>
      <c r="BC581" s="164"/>
      <c r="BD581" s="164"/>
    </row>
    <row r="582" spans="1:56" ht="14.25" customHeight="1">
      <c r="A582" s="16">
        <v>584</v>
      </c>
      <c r="B582" s="97" t="s">
        <v>1409</v>
      </c>
      <c r="C582" s="84" t="s">
        <v>1406</v>
      </c>
      <c r="D582" s="159"/>
      <c r="E582" s="96">
        <v>4</v>
      </c>
      <c r="F582" s="96">
        <v>4</v>
      </c>
      <c r="G582" s="94" t="s">
        <v>1160</v>
      </c>
      <c r="H582" s="131"/>
      <c r="I582" s="37">
        <f t="shared" ref="I582:I645" si="38">J582+K582+L582+M582+N582+O582+P582+Q582+R582+S582+T582+U582</f>
        <v>0</v>
      </c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>
        <f t="shared" si="36"/>
        <v>0</v>
      </c>
      <c r="W582" s="36"/>
      <c r="X582" s="38">
        <v>30000</v>
      </c>
      <c r="Y582" s="38" t="str">
        <f t="shared" si="37"/>
        <v>无需保养</v>
      </c>
      <c r="Z582" s="38"/>
      <c r="AA582" s="164"/>
      <c r="AB582" s="164"/>
      <c r="AC582" s="164"/>
      <c r="AD582" s="164"/>
      <c r="AE582" s="164"/>
      <c r="AF582" s="164"/>
      <c r="AG582" s="164"/>
      <c r="AH582" s="164"/>
      <c r="AI582" s="164"/>
      <c r="AJ582" s="164"/>
      <c r="AK582" s="164"/>
      <c r="AL582" s="164"/>
      <c r="AM582" s="164"/>
      <c r="AN582" s="164"/>
      <c r="AO582" s="164"/>
      <c r="AP582" s="164"/>
      <c r="AQ582" s="164"/>
      <c r="AR582" s="164"/>
      <c r="AS582" s="164"/>
      <c r="AT582" s="164"/>
      <c r="AU582" s="164"/>
      <c r="AV582" s="164"/>
      <c r="AW582" s="164"/>
      <c r="AX582" s="164"/>
      <c r="AY582" s="164"/>
      <c r="AZ582" s="164"/>
      <c r="BA582" s="164"/>
      <c r="BB582" s="164"/>
      <c r="BC582" s="164"/>
      <c r="BD582" s="164"/>
    </row>
    <row r="583" spans="1:56" ht="14.25" customHeight="1">
      <c r="A583" s="16">
        <v>585</v>
      </c>
      <c r="B583" s="97" t="s">
        <v>1410</v>
      </c>
      <c r="C583" s="84" t="s">
        <v>1411</v>
      </c>
      <c r="D583" s="158" t="s">
        <v>1412</v>
      </c>
      <c r="E583" s="96">
        <v>8</v>
      </c>
      <c r="F583" s="96">
        <v>8</v>
      </c>
      <c r="G583" s="94" t="s">
        <v>1160</v>
      </c>
      <c r="H583" s="131"/>
      <c r="I583" s="37">
        <f t="shared" si="38"/>
        <v>0</v>
      </c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>
        <f t="shared" si="36"/>
        <v>0</v>
      </c>
      <c r="W583" s="36"/>
      <c r="X583" s="38">
        <v>30000</v>
      </c>
      <c r="Y583" s="38" t="str">
        <f t="shared" si="37"/>
        <v>无需保养</v>
      </c>
      <c r="Z583" s="38"/>
      <c r="AA583" s="164"/>
      <c r="AB583" s="164"/>
      <c r="AC583" s="164"/>
      <c r="AD583" s="164"/>
      <c r="AE583" s="164"/>
      <c r="AF583" s="164"/>
      <c r="AG583" s="164"/>
      <c r="AH583" s="164"/>
      <c r="AI583" s="164"/>
      <c r="AJ583" s="164"/>
      <c r="AK583" s="164"/>
      <c r="AL583" s="164"/>
      <c r="AM583" s="164"/>
      <c r="AN583" s="164"/>
      <c r="AO583" s="164"/>
      <c r="AP583" s="164"/>
      <c r="AQ583" s="164"/>
      <c r="AR583" s="164"/>
      <c r="AS583" s="164"/>
      <c r="AT583" s="164"/>
      <c r="AU583" s="164"/>
      <c r="AV583" s="164"/>
      <c r="AW583" s="164"/>
      <c r="AX583" s="164"/>
      <c r="AY583" s="164"/>
      <c r="AZ583" s="164"/>
      <c r="BA583" s="164"/>
      <c r="BB583" s="164"/>
      <c r="BC583" s="164"/>
      <c r="BD583" s="164"/>
    </row>
    <row r="584" spans="1:56" ht="14.25" customHeight="1">
      <c r="A584" s="16">
        <v>586</v>
      </c>
      <c r="B584" s="97" t="s">
        <v>1413</v>
      </c>
      <c r="C584" s="84" t="s">
        <v>1411</v>
      </c>
      <c r="D584" s="158" t="s">
        <v>1412</v>
      </c>
      <c r="E584" s="96">
        <v>8</v>
      </c>
      <c r="F584" s="96">
        <v>8</v>
      </c>
      <c r="G584" s="94" t="s">
        <v>1160</v>
      </c>
      <c r="H584" s="131"/>
      <c r="I584" s="37">
        <f t="shared" si="38"/>
        <v>0</v>
      </c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>
        <f t="shared" si="36"/>
        <v>0</v>
      </c>
      <c r="W584" s="36"/>
      <c r="X584" s="38">
        <v>30000</v>
      </c>
      <c r="Y584" s="38" t="str">
        <f t="shared" si="37"/>
        <v>无需保养</v>
      </c>
      <c r="Z584" s="38"/>
      <c r="AA584" s="164"/>
      <c r="AB584" s="164"/>
      <c r="AC584" s="164"/>
      <c r="AD584" s="164"/>
      <c r="AE584" s="164"/>
      <c r="AF584" s="164"/>
      <c r="AG584" s="164"/>
      <c r="AH584" s="164"/>
      <c r="AI584" s="164"/>
      <c r="AJ584" s="164"/>
      <c r="AK584" s="164"/>
      <c r="AL584" s="164"/>
      <c r="AM584" s="164"/>
      <c r="AN584" s="164"/>
      <c r="AO584" s="164"/>
      <c r="AP584" s="164"/>
      <c r="AQ584" s="164"/>
      <c r="AR584" s="164"/>
      <c r="AS584" s="164"/>
      <c r="AT584" s="164"/>
      <c r="AU584" s="164"/>
      <c r="AV584" s="164"/>
      <c r="AW584" s="164"/>
      <c r="AX584" s="164"/>
      <c r="AY584" s="164"/>
      <c r="AZ584" s="164"/>
      <c r="BA584" s="164"/>
      <c r="BB584" s="164"/>
      <c r="BC584" s="164"/>
      <c r="BD584" s="164"/>
    </row>
    <row r="585" spans="1:56" ht="14.25" customHeight="1">
      <c r="A585" s="16">
        <v>587</v>
      </c>
      <c r="B585" s="97" t="s">
        <v>1414</v>
      </c>
      <c r="C585" s="84" t="s">
        <v>1173</v>
      </c>
      <c r="D585" s="158" t="s">
        <v>1174</v>
      </c>
      <c r="E585" s="96">
        <v>8</v>
      </c>
      <c r="F585" s="96">
        <v>8</v>
      </c>
      <c r="G585" s="94" t="s">
        <v>1175</v>
      </c>
      <c r="H585" s="131"/>
      <c r="I585" s="37">
        <f t="shared" si="38"/>
        <v>0</v>
      </c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>
        <f t="shared" si="36"/>
        <v>0</v>
      </c>
      <c r="W585" s="36"/>
      <c r="X585" s="38">
        <v>30000</v>
      </c>
      <c r="Y585" s="38" t="str">
        <f t="shared" si="37"/>
        <v>无需保养</v>
      </c>
      <c r="Z585" s="38"/>
      <c r="AA585" s="164"/>
      <c r="AB585" s="164"/>
      <c r="AC585" s="164"/>
      <c r="AD585" s="164"/>
      <c r="AE585" s="164"/>
      <c r="AF585" s="164"/>
      <c r="AG585" s="164"/>
      <c r="AH585" s="164"/>
      <c r="AI585" s="164"/>
      <c r="AJ585" s="164"/>
      <c r="AK585" s="164"/>
      <c r="AL585" s="164"/>
      <c r="AM585" s="164"/>
      <c r="AN585" s="164"/>
      <c r="AO585" s="164"/>
      <c r="AP585" s="164"/>
      <c r="AQ585" s="164"/>
      <c r="AR585" s="164"/>
      <c r="AS585" s="164"/>
      <c r="AT585" s="164"/>
      <c r="AU585" s="164"/>
      <c r="AV585" s="164"/>
      <c r="AW585" s="164"/>
      <c r="AX585" s="164"/>
      <c r="AY585" s="164"/>
      <c r="AZ585" s="164"/>
      <c r="BA585" s="164"/>
      <c r="BB585" s="164"/>
      <c r="BC585" s="164"/>
      <c r="BD585" s="164"/>
    </row>
    <row r="586" spans="1:56" ht="14.25" customHeight="1">
      <c r="A586" s="16">
        <v>588</v>
      </c>
      <c r="B586" s="97" t="s">
        <v>1415</v>
      </c>
      <c r="C586" s="84" t="s">
        <v>1173</v>
      </c>
      <c r="D586" s="158" t="s">
        <v>1174</v>
      </c>
      <c r="E586" s="96">
        <v>8</v>
      </c>
      <c r="F586" s="96">
        <v>8</v>
      </c>
      <c r="G586" s="94" t="s">
        <v>1175</v>
      </c>
      <c r="H586" s="131"/>
      <c r="I586" s="37">
        <f t="shared" si="38"/>
        <v>0</v>
      </c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>
        <f>I586/F586</f>
        <v>0</v>
      </c>
      <c r="W586" s="36"/>
      <c r="X586" s="38">
        <v>30000</v>
      </c>
      <c r="Y586" s="38" t="str">
        <f t="shared" si="37"/>
        <v>无需保养</v>
      </c>
      <c r="Z586" s="38"/>
      <c r="AA586" s="164"/>
      <c r="AB586" s="164"/>
      <c r="AC586" s="164"/>
      <c r="AD586" s="164"/>
      <c r="AE586" s="164"/>
      <c r="AF586" s="164"/>
      <c r="AG586" s="164"/>
      <c r="AH586" s="164"/>
      <c r="AI586" s="164"/>
      <c r="AJ586" s="164"/>
      <c r="AK586" s="164"/>
      <c r="AL586" s="164"/>
      <c r="AM586" s="164"/>
      <c r="AN586" s="164"/>
      <c r="AO586" s="164"/>
      <c r="AP586" s="164"/>
      <c r="AQ586" s="164"/>
      <c r="AR586" s="164"/>
      <c r="AS586" s="164"/>
      <c r="AT586" s="164"/>
      <c r="AU586" s="164"/>
      <c r="AV586" s="164"/>
      <c r="AW586" s="164"/>
      <c r="AX586" s="164"/>
      <c r="AY586" s="164"/>
      <c r="AZ586" s="164"/>
      <c r="BA586" s="164"/>
      <c r="BB586" s="164"/>
      <c r="BC586" s="164"/>
      <c r="BD586" s="164"/>
    </row>
    <row r="587" spans="1:56" ht="14.25" customHeight="1">
      <c r="A587" s="19">
        <v>589</v>
      </c>
      <c r="B587" s="97" t="s">
        <v>1416</v>
      </c>
      <c r="C587" s="84" t="s">
        <v>1416</v>
      </c>
      <c r="D587" s="158" t="s">
        <v>1417</v>
      </c>
      <c r="E587" s="96">
        <v>2</v>
      </c>
      <c r="F587" s="96">
        <v>2</v>
      </c>
      <c r="G587" s="94" t="s">
        <v>1160</v>
      </c>
      <c r="H587" s="131"/>
      <c r="I587" s="37">
        <f t="shared" si="38"/>
        <v>0</v>
      </c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>
        <f t="shared" si="36"/>
        <v>0</v>
      </c>
      <c r="W587" s="36"/>
      <c r="X587" s="38">
        <v>30000</v>
      </c>
      <c r="Y587" s="38" t="str">
        <f t="shared" si="37"/>
        <v>无需保养</v>
      </c>
      <c r="Z587" s="38"/>
      <c r="AA587" s="164"/>
      <c r="AB587" s="164"/>
      <c r="AC587" s="164"/>
      <c r="AD587" s="164"/>
      <c r="AE587" s="164"/>
      <c r="AF587" s="164"/>
      <c r="AG587" s="164"/>
      <c r="AH587" s="164"/>
      <c r="AI587" s="164"/>
      <c r="AJ587" s="164"/>
      <c r="AK587" s="164"/>
      <c r="AL587" s="164"/>
      <c r="AM587" s="164"/>
      <c r="AN587" s="164"/>
      <c r="AO587" s="164"/>
      <c r="AP587" s="164"/>
      <c r="AQ587" s="164"/>
      <c r="AR587" s="164"/>
      <c r="AS587" s="164"/>
      <c r="AT587" s="164"/>
      <c r="AU587" s="164"/>
      <c r="AV587" s="164"/>
      <c r="AW587" s="164"/>
      <c r="AX587" s="164"/>
      <c r="AY587" s="164"/>
      <c r="AZ587" s="164"/>
      <c r="BA587" s="164"/>
      <c r="BB587" s="164"/>
      <c r="BC587" s="164"/>
      <c r="BD587" s="164"/>
    </row>
    <row r="588" spans="1:56" ht="14.25" customHeight="1">
      <c r="A588" s="20">
        <v>590</v>
      </c>
      <c r="B588" s="97" t="s">
        <v>1418</v>
      </c>
      <c r="C588" s="84" t="s">
        <v>1419</v>
      </c>
      <c r="D588" s="158" t="s">
        <v>1407</v>
      </c>
      <c r="E588" s="96">
        <v>4</v>
      </c>
      <c r="F588" s="96">
        <v>4</v>
      </c>
      <c r="G588" s="98" t="s">
        <v>1312</v>
      </c>
      <c r="H588" s="132"/>
      <c r="I588" s="37">
        <f t="shared" si="38"/>
        <v>0</v>
      </c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>
        <f t="shared" si="36"/>
        <v>0</v>
      </c>
      <c r="W588" s="36"/>
      <c r="X588" s="38">
        <v>30000</v>
      </c>
      <c r="Y588" s="38" t="str">
        <f t="shared" si="37"/>
        <v>无需保养</v>
      </c>
      <c r="Z588" s="38"/>
      <c r="AA588" s="164"/>
      <c r="AB588" s="164"/>
      <c r="AC588" s="164"/>
      <c r="AD588" s="164"/>
      <c r="AE588" s="164"/>
      <c r="AF588" s="164"/>
      <c r="AG588" s="164"/>
      <c r="AH588" s="164"/>
      <c r="AI588" s="164"/>
      <c r="AJ588" s="164"/>
      <c r="AK588" s="164"/>
      <c r="AL588" s="164"/>
      <c r="AM588" s="164"/>
      <c r="AN588" s="164"/>
      <c r="AO588" s="164"/>
      <c r="AP588" s="164"/>
      <c r="AQ588" s="164"/>
      <c r="AR588" s="164"/>
      <c r="AS588" s="164"/>
      <c r="AT588" s="164"/>
      <c r="AU588" s="164"/>
      <c r="AV588" s="164"/>
      <c r="AW588" s="164"/>
      <c r="AX588" s="164"/>
      <c r="AY588" s="164"/>
      <c r="AZ588" s="164"/>
      <c r="BA588" s="164"/>
      <c r="BB588" s="164"/>
      <c r="BC588" s="164"/>
      <c r="BD588" s="164"/>
    </row>
    <row r="589" spans="1:56" ht="14.25" customHeight="1">
      <c r="A589" s="20">
        <v>591</v>
      </c>
      <c r="B589" s="97" t="s">
        <v>1420</v>
      </c>
      <c r="C589" s="84" t="s">
        <v>1420</v>
      </c>
      <c r="D589" s="158" t="s">
        <v>1407</v>
      </c>
      <c r="E589" s="96">
        <v>4</v>
      </c>
      <c r="F589" s="96">
        <v>4</v>
      </c>
      <c r="G589" s="98" t="s">
        <v>1312</v>
      </c>
      <c r="H589" s="132"/>
      <c r="I589" s="37">
        <f t="shared" si="38"/>
        <v>0</v>
      </c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>
        <f t="shared" si="36"/>
        <v>0</v>
      </c>
      <c r="W589" s="36"/>
      <c r="X589" s="38">
        <v>30000</v>
      </c>
      <c r="Y589" s="38" t="str">
        <f t="shared" si="37"/>
        <v>无需保养</v>
      </c>
      <c r="Z589" s="38"/>
      <c r="AA589" s="164"/>
      <c r="AB589" s="164"/>
      <c r="AC589" s="164"/>
      <c r="AD589" s="164"/>
      <c r="AE589" s="164"/>
      <c r="AF589" s="164"/>
      <c r="AG589" s="164"/>
      <c r="AH589" s="164"/>
      <c r="AI589" s="164"/>
      <c r="AJ589" s="164"/>
      <c r="AK589" s="164"/>
      <c r="AL589" s="164"/>
      <c r="AM589" s="164"/>
      <c r="AN589" s="164"/>
      <c r="AO589" s="164"/>
      <c r="AP589" s="164"/>
      <c r="AQ589" s="164"/>
      <c r="AR589" s="164"/>
      <c r="AS589" s="164"/>
      <c r="AT589" s="164"/>
      <c r="AU589" s="164"/>
      <c r="AV589" s="164"/>
      <c r="AW589" s="164"/>
      <c r="AX589" s="164"/>
      <c r="AY589" s="164"/>
      <c r="AZ589" s="164"/>
      <c r="BA589" s="164"/>
      <c r="BB589" s="164"/>
      <c r="BC589" s="164"/>
      <c r="BD589" s="164"/>
    </row>
    <row r="590" spans="1:56" ht="14.25" customHeight="1">
      <c r="A590" s="19">
        <v>592</v>
      </c>
      <c r="B590" s="75" t="s">
        <v>1421</v>
      </c>
      <c r="C590" s="84" t="s">
        <v>1421</v>
      </c>
      <c r="D590" s="160" t="s">
        <v>1422</v>
      </c>
      <c r="E590" s="99">
        <v>4</v>
      </c>
      <c r="F590" s="99">
        <v>4</v>
      </c>
      <c r="G590" s="98"/>
      <c r="H590" s="132"/>
      <c r="I590" s="37">
        <f t="shared" si="38"/>
        <v>0</v>
      </c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>
        <f t="shared" si="36"/>
        <v>0</v>
      </c>
      <c r="W590" s="36"/>
      <c r="X590" s="38">
        <v>30000</v>
      </c>
      <c r="Y590" s="38" t="str">
        <f t="shared" si="37"/>
        <v>无需保养</v>
      </c>
      <c r="Z590" s="38"/>
      <c r="AA590" s="164"/>
      <c r="AB590" s="164"/>
      <c r="AC590" s="164"/>
      <c r="AD590" s="164"/>
      <c r="AE590" s="164"/>
      <c r="AF590" s="164"/>
      <c r="AG590" s="164"/>
      <c r="AH590" s="164"/>
      <c r="AI590" s="164"/>
      <c r="AJ590" s="164"/>
      <c r="AK590" s="164"/>
      <c r="AL590" s="164"/>
      <c r="AM590" s="164"/>
      <c r="AN590" s="164"/>
      <c r="AO590" s="164"/>
      <c r="AP590" s="164"/>
      <c r="AQ590" s="164"/>
      <c r="AR590" s="164"/>
      <c r="AS590" s="164"/>
      <c r="AT590" s="164"/>
      <c r="AU590" s="164"/>
      <c r="AV590" s="164"/>
      <c r="AW590" s="164"/>
      <c r="AX590" s="164"/>
      <c r="AY590" s="164"/>
      <c r="AZ590" s="164"/>
      <c r="BA590" s="164"/>
      <c r="BB590" s="164"/>
      <c r="BC590" s="164"/>
      <c r="BD590" s="164"/>
    </row>
    <row r="591" spans="1:56" ht="14.25" customHeight="1">
      <c r="A591" s="19">
        <v>593</v>
      </c>
      <c r="B591" s="100" t="s">
        <v>1173</v>
      </c>
      <c r="C591" s="84" t="s">
        <v>1173</v>
      </c>
      <c r="D591" s="160" t="s">
        <v>1423</v>
      </c>
      <c r="E591" s="99">
        <v>8</v>
      </c>
      <c r="F591" s="99">
        <v>8</v>
      </c>
      <c r="G591" s="98"/>
      <c r="H591" s="132"/>
      <c r="I591" s="37">
        <f t="shared" si="38"/>
        <v>0</v>
      </c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>
        <f t="shared" si="36"/>
        <v>0</v>
      </c>
      <c r="W591" s="36"/>
      <c r="X591" s="38">
        <v>30000</v>
      </c>
      <c r="Y591" s="38" t="str">
        <f t="shared" si="37"/>
        <v>无需保养</v>
      </c>
      <c r="Z591" s="38"/>
      <c r="AA591" s="164"/>
      <c r="AB591" s="164"/>
      <c r="AC591" s="164"/>
      <c r="AD591" s="164"/>
      <c r="AE591" s="164"/>
      <c r="AF591" s="164"/>
      <c r="AG591" s="164"/>
      <c r="AH591" s="164"/>
      <c r="AI591" s="164"/>
      <c r="AJ591" s="164"/>
      <c r="AK591" s="164"/>
      <c r="AL591" s="164"/>
      <c r="AM591" s="164"/>
      <c r="AN591" s="164"/>
      <c r="AO591" s="164"/>
      <c r="AP591" s="164"/>
      <c r="AQ591" s="164"/>
      <c r="AR591" s="164"/>
      <c r="AS591" s="164"/>
      <c r="AT591" s="164"/>
      <c r="AU591" s="164"/>
      <c r="AV591" s="164"/>
      <c r="AW591" s="164"/>
      <c r="AX591" s="164"/>
      <c r="AY591" s="164"/>
      <c r="AZ591" s="164"/>
      <c r="BA591" s="164"/>
      <c r="BB591" s="164"/>
      <c r="BC591" s="164"/>
      <c r="BD591" s="164"/>
    </row>
    <row r="592" spans="1:56" ht="14.25" customHeight="1">
      <c r="A592" s="19">
        <v>594</v>
      </c>
      <c r="B592" s="100" t="s">
        <v>1424</v>
      </c>
      <c r="C592" s="84" t="s">
        <v>1425</v>
      </c>
      <c r="D592" s="161" t="s">
        <v>1426</v>
      </c>
      <c r="E592" s="99">
        <v>2</v>
      </c>
      <c r="F592" s="99">
        <v>2</v>
      </c>
      <c r="G592" s="98"/>
      <c r="H592" s="132"/>
      <c r="I592" s="37">
        <f t="shared" si="38"/>
        <v>0</v>
      </c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>
        <f t="shared" si="36"/>
        <v>0</v>
      </c>
      <c r="W592" s="36"/>
      <c r="X592" s="38">
        <v>30000</v>
      </c>
      <c r="Y592" s="38" t="str">
        <f t="shared" si="37"/>
        <v>无需保养</v>
      </c>
      <c r="Z592" s="38"/>
      <c r="AA592" s="164"/>
      <c r="AB592" s="164"/>
      <c r="AC592" s="164"/>
      <c r="AD592" s="164"/>
      <c r="AE592" s="164"/>
      <c r="AF592" s="164"/>
      <c r="AG592" s="164"/>
      <c r="AH592" s="164"/>
      <c r="AI592" s="164"/>
      <c r="AJ592" s="164"/>
      <c r="AK592" s="164"/>
      <c r="AL592" s="164"/>
      <c r="AM592" s="164"/>
      <c r="AN592" s="164"/>
      <c r="AO592" s="164"/>
      <c r="AP592" s="164"/>
      <c r="AQ592" s="164"/>
      <c r="AR592" s="164"/>
      <c r="AS592" s="164"/>
      <c r="AT592" s="164"/>
      <c r="AU592" s="164"/>
      <c r="AV592" s="164"/>
      <c r="AW592" s="164"/>
      <c r="AX592" s="164"/>
      <c r="AY592" s="164"/>
      <c r="AZ592" s="164"/>
      <c r="BA592" s="164"/>
      <c r="BB592" s="164"/>
      <c r="BC592" s="164"/>
      <c r="BD592" s="164"/>
    </row>
    <row r="593" spans="1:56" ht="14.25" customHeight="1">
      <c r="A593" s="19">
        <v>595</v>
      </c>
      <c r="B593" s="100" t="s">
        <v>1427</v>
      </c>
      <c r="C593" s="84" t="s">
        <v>1427</v>
      </c>
      <c r="D593" s="161" t="s">
        <v>1422</v>
      </c>
      <c r="E593" s="99">
        <v>2</v>
      </c>
      <c r="F593" s="99">
        <v>2</v>
      </c>
      <c r="G593" s="98"/>
      <c r="H593" s="132"/>
      <c r="I593" s="37">
        <f t="shared" si="38"/>
        <v>0</v>
      </c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>
        <f t="shared" si="36"/>
        <v>0</v>
      </c>
      <c r="W593" s="36"/>
      <c r="X593" s="38">
        <v>30000</v>
      </c>
      <c r="Y593" s="38" t="str">
        <f t="shared" si="37"/>
        <v>无需保养</v>
      </c>
      <c r="Z593" s="38"/>
      <c r="AA593" s="164"/>
      <c r="AB593" s="164"/>
      <c r="AC593" s="164"/>
      <c r="AD593" s="164"/>
      <c r="AE593" s="164"/>
      <c r="AF593" s="164"/>
      <c r="AG593" s="164"/>
      <c r="AH593" s="164"/>
      <c r="AI593" s="164"/>
      <c r="AJ593" s="164"/>
      <c r="AK593" s="164"/>
      <c r="AL593" s="164"/>
      <c r="AM593" s="164"/>
      <c r="AN593" s="164"/>
      <c r="AO593" s="164"/>
      <c r="AP593" s="164"/>
      <c r="AQ593" s="164"/>
      <c r="AR593" s="164"/>
      <c r="AS593" s="164"/>
      <c r="AT593" s="164"/>
      <c r="AU593" s="164"/>
      <c r="AV593" s="164"/>
      <c r="AW593" s="164"/>
      <c r="AX593" s="164"/>
      <c r="AY593" s="164"/>
      <c r="AZ593" s="164"/>
      <c r="BA593" s="164"/>
      <c r="BB593" s="164"/>
      <c r="BC593" s="164"/>
      <c r="BD593" s="164"/>
    </row>
    <row r="594" spans="1:56" ht="14.25" customHeight="1">
      <c r="A594" s="19">
        <v>596</v>
      </c>
      <c r="B594" s="100" t="s">
        <v>1428</v>
      </c>
      <c r="C594" s="84" t="s">
        <v>1429</v>
      </c>
      <c r="D594" s="161" t="s">
        <v>1422</v>
      </c>
      <c r="E594" s="99">
        <v>1</v>
      </c>
      <c r="F594" s="99">
        <v>1</v>
      </c>
      <c r="G594" s="98"/>
      <c r="H594" s="132"/>
      <c r="I594" s="37">
        <f t="shared" si="38"/>
        <v>0</v>
      </c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>
        <f t="shared" si="36"/>
        <v>0</v>
      </c>
      <c r="W594" s="36"/>
      <c r="X594" s="38">
        <v>30000</v>
      </c>
      <c r="Y594" s="38" t="str">
        <f t="shared" si="37"/>
        <v>无需保养</v>
      </c>
      <c r="Z594" s="38"/>
      <c r="AA594" s="164"/>
      <c r="AB594" s="164"/>
      <c r="AC594" s="164"/>
      <c r="AD594" s="164"/>
      <c r="AE594" s="164"/>
      <c r="AF594" s="164"/>
      <c r="AG594" s="164"/>
      <c r="AH594" s="164"/>
      <c r="AI594" s="164"/>
      <c r="AJ594" s="164"/>
      <c r="AK594" s="164"/>
      <c r="AL594" s="164"/>
      <c r="AM594" s="164"/>
      <c r="AN594" s="164"/>
      <c r="AO594" s="164"/>
      <c r="AP594" s="164"/>
      <c r="AQ594" s="164"/>
      <c r="AR594" s="164"/>
      <c r="AS594" s="164"/>
      <c r="AT594" s="164"/>
      <c r="AU594" s="164"/>
      <c r="AV594" s="164"/>
      <c r="AW594" s="164"/>
      <c r="AX594" s="164"/>
      <c r="AY594" s="164"/>
      <c r="AZ594" s="164"/>
      <c r="BA594" s="164"/>
      <c r="BB594" s="164"/>
      <c r="BC594" s="164"/>
      <c r="BD594" s="164"/>
    </row>
    <row r="595" spans="1:56" ht="14.25" customHeight="1">
      <c r="A595" s="19">
        <v>597</v>
      </c>
      <c r="B595" s="100" t="s">
        <v>1430</v>
      </c>
      <c r="C595" s="84" t="s">
        <v>1430</v>
      </c>
      <c r="D595" s="161" t="s">
        <v>1431</v>
      </c>
      <c r="E595" s="99">
        <v>2</v>
      </c>
      <c r="F595" s="99">
        <v>2</v>
      </c>
      <c r="G595" s="98"/>
      <c r="H595" s="132"/>
      <c r="I595" s="37">
        <f t="shared" si="38"/>
        <v>0</v>
      </c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>
        <f t="shared" si="36"/>
        <v>0</v>
      </c>
      <c r="W595" s="36"/>
      <c r="X595" s="38">
        <v>30000</v>
      </c>
      <c r="Y595" s="38" t="str">
        <f t="shared" si="37"/>
        <v>无需保养</v>
      </c>
      <c r="Z595" s="38"/>
      <c r="AA595" s="164"/>
      <c r="AB595" s="164"/>
      <c r="AC595" s="164"/>
      <c r="AD595" s="164"/>
      <c r="AE595" s="164"/>
      <c r="AF595" s="164"/>
      <c r="AG595" s="164"/>
      <c r="AH595" s="164"/>
      <c r="AI595" s="164"/>
      <c r="AJ595" s="164"/>
      <c r="AK595" s="164"/>
      <c r="AL595" s="164"/>
      <c r="AM595" s="164"/>
      <c r="AN595" s="164"/>
      <c r="AO595" s="164"/>
      <c r="AP595" s="164"/>
      <c r="AQ595" s="164"/>
      <c r="AR595" s="164"/>
      <c r="AS595" s="164"/>
      <c r="AT595" s="164"/>
      <c r="AU595" s="164"/>
      <c r="AV595" s="164"/>
      <c r="AW595" s="164"/>
      <c r="AX595" s="164"/>
      <c r="AY595" s="164"/>
      <c r="AZ595" s="164"/>
      <c r="BA595" s="164"/>
      <c r="BB595" s="164"/>
      <c r="BC595" s="164"/>
      <c r="BD595" s="164"/>
    </row>
    <row r="596" spans="1:56" ht="14.25" customHeight="1">
      <c r="A596" s="19">
        <v>598</v>
      </c>
      <c r="B596" s="100" t="s">
        <v>1432</v>
      </c>
      <c r="C596" s="84" t="s">
        <v>1433</v>
      </c>
      <c r="D596" s="161" t="s">
        <v>1422</v>
      </c>
      <c r="E596" s="101">
        <v>4</v>
      </c>
      <c r="F596" s="101">
        <v>4</v>
      </c>
      <c r="G596" s="98"/>
      <c r="H596" s="132"/>
      <c r="I596" s="37">
        <f t="shared" si="38"/>
        <v>0</v>
      </c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>
        <f t="shared" si="36"/>
        <v>0</v>
      </c>
      <c r="W596" s="36"/>
      <c r="X596" s="38">
        <v>30000</v>
      </c>
      <c r="Y596" s="38" t="str">
        <f t="shared" si="37"/>
        <v>无需保养</v>
      </c>
      <c r="Z596" s="38"/>
      <c r="AA596" s="164"/>
      <c r="AB596" s="164"/>
      <c r="AC596" s="164"/>
      <c r="AD596" s="164"/>
      <c r="AE596" s="164"/>
      <c r="AF596" s="164"/>
      <c r="AG596" s="164"/>
      <c r="AH596" s="164"/>
      <c r="AI596" s="164"/>
      <c r="AJ596" s="164"/>
      <c r="AK596" s="164"/>
      <c r="AL596" s="164"/>
      <c r="AM596" s="164"/>
      <c r="AN596" s="164"/>
      <c r="AO596" s="164"/>
      <c r="AP596" s="164"/>
      <c r="AQ596" s="164"/>
      <c r="AR596" s="164"/>
      <c r="AS596" s="164"/>
      <c r="AT596" s="164"/>
      <c r="AU596" s="164"/>
      <c r="AV596" s="164"/>
      <c r="AW596" s="164"/>
      <c r="AX596" s="164"/>
      <c r="AY596" s="164"/>
      <c r="AZ596" s="164"/>
      <c r="BA596" s="164"/>
      <c r="BB596" s="164"/>
      <c r="BC596" s="164"/>
      <c r="BD596" s="164"/>
    </row>
    <row r="597" spans="1:56" ht="14.25" customHeight="1">
      <c r="A597" s="19">
        <v>599</v>
      </c>
      <c r="B597" s="100" t="s">
        <v>1434</v>
      </c>
      <c r="C597" s="84" t="s">
        <v>1434</v>
      </c>
      <c r="D597" s="161" t="s">
        <v>1422</v>
      </c>
      <c r="E597" s="101">
        <v>2</v>
      </c>
      <c r="F597" s="101">
        <v>2</v>
      </c>
      <c r="G597" s="98"/>
      <c r="H597" s="132"/>
      <c r="I597" s="37">
        <f t="shared" si="38"/>
        <v>0</v>
      </c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>
        <f t="shared" si="36"/>
        <v>0</v>
      </c>
      <c r="W597" s="36"/>
      <c r="X597" s="38">
        <v>30000</v>
      </c>
      <c r="Y597" s="38" t="str">
        <f t="shared" si="37"/>
        <v>无需保养</v>
      </c>
      <c r="Z597" s="38"/>
      <c r="AA597" s="164"/>
      <c r="AB597" s="164"/>
      <c r="AC597" s="164"/>
      <c r="AD597" s="164"/>
      <c r="AE597" s="164"/>
      <c r="AF597" s="164"/>
      <c r="AG597" s="164"/>
      <c r="AH597" s="164"/>
      <c r="AI597" s="164"/>
      <c r="AJ597" s="164"/>
      <c r="AK597" s="164"/>
      <c r="AL597" s="164"/>
      <c r="AM597" s="164"/>
      <c r="AN597" s="164"/>
      <c r="AO597" s="164"/>
      <c r="AP597" s="164"/>
      <c r="AQ597" s="164"/>
      <c r="AR597" s="164"/>
      <c r="AS597" s="164"/>
      <c r="AT597" s="164"/>
      <c r="AU597" s="164"/>
      <c r="AV597" s="164"/>
      <c r="AW597" s="164"/>
      <c r="AX597" s="164"/>
      <c r="AY597" s="164"/>
      <c r="AZ597" s="164"/>
      <c r="BA597" s="164"/>
      <c r="BB597" s="164"/>
      <c r="BC597" s="164"/>
      <c r="BD597" s="164"/>
    </row>
    <row r="598" spans="1:56" ht="14.25" customHeight="1">
      <c r="A598" s="19">
        <v>600</v>
      </c>
      <c r="B598" s="100" t="s">
        <v>1435</v>
      </c>
      <c r="C598" s="84" t="s">
        <v>1435</v>
      </c>
      <c r="D598" s="161" t="s">
        <v>1436</v>
      </c>
      <c r="E598" s="101">
        <v>4</v>
      </c>
      <c r="F598" s="101">
        <v>4</v>
      </c>
      <c r="G598" s="98"/>
      <c r="H598" s="132"/>
      <c r="I598" s="37">
        <f t="shared" si="38"/>
        <v>0</v>
      </c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>
        <f t="shared" si="36"/>
        <v>0</v>
      </c>
      <c r="W598" s="36"/>
      <c r="X598" s="38">
        <v>30000</v>
      </c>
      <c r="Y598" s="38" t="str">
        <f t="shared" si="37"/>
        <v>无需保养</v>
      </c>
      <c r="Z598" s="38"/>
      <c r="AA598" s="164"/>
      <c r="AB598" s="164"/>
      <c r="AC598" s="164"/>
      <c r="AD598" s="164"/>
      <c r="AE598" s="164"/>
      <c r="AF598" s="164"/>
      <c r="AG598" s="164"/>
      <c r="AH598" s="164"/>
      <c r="AI598" s="164"/>
      <c r="AJ598" s="164"/>
      <c r="AK598" s="164"/>
      <c r="AL598" s="164"/>
      <c r="AM598" s="164"/>
      <c r="AN598" s="164"/>
      <c r="AO598" s="164"/>
      <c r="AP598" s="164"/>
      <c r="AQ598" s="164"/>
      <c r="AR598" s="164"/>
      <c r="AS598" s="164"/>
      <c r="AT598" s="164"/>
      <c r="AU598" s="164"/>
      <c r="AV598" s="164"/>
      <c r="AW598" s="164"/>
      <c r="AX598" s="164"/>
      <c r="AY598" s="164"/>
      <c r="AZ598" s="164"/>
      <c r="BA598" s="164"/>
      <c r="BB598" s="164"/>
      <c r="BC598" s="164"/>
      <c r="BD598" s="164"/>
    </row>
    <row r="599" spans="1:56" ht="14.25" customHeight="1">
      <c r="A599" s="19">
        <v>601</v>
      </c>
      <c r="B599" s="100" t="s">
        <v>1437</v>
      </c>
      <c r="C599" s="84" t="s">
        <v>1437</v>
      </c>
      <c r="D599" s="161" t="s">
        <v>1422</v>
      </c>
      <c r="E599" s="101">
        <v>4</v>
      </c>
      <c r="F599" s="101">
        <v>4</v>
      </c>
      <c r="G599" s="98"/>
      <c r="H599" s="132"/>
      <c r="I599" s="37">
        <f t="shared" si="38"/>
        <v>0</v>
      </c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>
        <f t="shared" si="36"/>
        <v>0</v>
      </c>
      <c r="W599" s="36"/>
      <c r="X599" s="38">
        <v>30000</v>
      </c>
      <c r="Y599" s="38" t="str">
        <f t="shared" si="37"/>
        <v>无需保养</v>
      </c>
      <c r="Z599" s="38"/>
      <c r="AA599" s="164"/>
      <c r="AB599" s="164"/>
      <c r="AC599" s="164"/>
      <c r="AD599" s="164"/>
      <c r="AE599" s="164"/>
      <c r="AF599" s="164"/>
      <c r="AG599" s="164"/>
      <c r="AH599" s="164"/>
      <c r="AI599" s="164"/>
      <c r="AJ599" s="164"/>
      <c r="AK599" s="164"/>
      <c r="AL599" s="164"/>
      <c r="AM599" s="164"/>
      <c r="AN599" s="164"/>
      <c r="AO599" s="164"/>
      <c r="AP599" s="164"/>
      <c r="AQ599" s="164"/>
      <c r="AR599" s="164"/>
      <c r="AS599" s="164"/>
      <c r="AT599" s="164"/>
      <c r="AU599" s="164"/>
      <c r="AV599" s="164"/>
      <c r="AW599" s="164"/>
      <c r="AX599" s="164"/>
      <c r="AY599" s="164"/>
      <c r="AZ599" s="164"/>
      <c r="BA599" s="164"/>
      <c r="BB599" s="164"/>
      <c r="BC599" s="164"/>
      <c r="BD599" s="164"/>
    </row>
    <row r="600" spans="1:56" ht="14.25" customHeight="1">
      <c r="A600" s="19">
        <v>602</v>
      </c>
      <c r="B600" s="100" t="s">
        <v>1438</v>
      </c>
      <c r="C600" s="84" t="s">
        <v>1438</v>
      </c>
      <c r="D600" s="161" t="s">
        <v>1439</v>
      </c>
      <c r="E600" s="101">
        <v>16</v>
      </c>
      <c r="F600" s="101">
        <v>16</v>
      </c>
      <c r="G600" s="98"/>
      <c r="H600" s="132"/>
      <c r="I600" s="37">
        <f t="shared" si="38"/>
        <v>0</v>
      </c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>
        <f t="shared" si="36"/>
        <v>0</v>
      </c>
      <c r="W600" s="36"/>
      <c r="X600" s="38">
        <v>30000</v>
      </c>
      <c r="Y600" s="38" t="str">
        <f t="shared" si="37"/>
        <v>无需保养</v>
      </c>
      <c r="Z600" s="38"/>
      <c r="AA600" s="164"/>
      <c r="AB600" s="164"/>
      <c r="AC600" s="164"/>
      <c r="AD600" s="164"/>
      <c r="AE600" s="164"/>
      <c r="AF600" s="164"/>
      <c r="AG600" s="164"/>
      <c r="AH600" s="164"/>
      <c r="AI600" s="164"/>
      <c r="AJ600" s="164"/>
      <c r="AK600" s="164"/>
      <c r="AL600" s="164"/>
      <c r="AM600" s="164"/>
      <c r="AN600" s="164"/>
      <c r="AO600" s="164"/>
      <c r="AP600" s="164"/>
      <c r="AQ600" s="164"/>
      <c r="AR600" s="164"/>
      <c r="AS600" s="164"/>
      <c r="AT600" s="164"/>
      <c r="AU600" s="164"/>
      <c r="AV600" s="164"/>
      <c r="AW600" s="164"/>
      <c r="AX600" s="164"/>
      <c r="AY600" s="164"/>
      <c r="AZ600" s="164"/>
      <c r="BA600" s="164"/>
      <c r="BB600" s="164"/>
      <c r="BC600" s="164"/>
      <c r="BD600" s="164"/>
    </row>
    <row r="601" spans="1:56" ht="14.25" customHeight="1">
      <c r="A601" s="19">
        <v>603</v>
      </c>
      <c r="B601" s="100" t="s">
        <v>1440</v>
      </c>
      <c r="C601" s="84" t="s">
        <v>1440</v>
      </c>
      <c r="D601" s="161" t="s">
        <v>1422</v>
      </c>
      <c r="E601" s="101">
        <v>4</v>
      </c>
      <c r="F601" s="101">
        <v>4</v>
      </c>
      <c r="G601" s="98"/>
      <c r="H601" s="132"/>
      <c r="I601" s="37">
        <f t="shared" si="38"/>
        <v>0</v>
      </c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>
        <f t="shared" si="36"/>
        <v>0</v>
      </c>
      <c r="W601" s="36"/>
      <c r="X601" s="38">
        <v>30000</v>
      </c>
      <c r="Y601" s="38" t="str">
        <f t="shared" si="37"/>
        <v>无需保养</v>
      </c>
      <c r="Z601" s="38"/>
      <c r="AA601" s="164"/>
      <c r="AB601" s="164"/>
      <c r="AC601" s="164"/>
      <c r="AD601" s="164"/>
      <c r="AE601" s="164"/>
      <c r="AF601" s="164"/>
      <c r="AG601" s="164"/>
      <c r="AH601" s="164"/>
      <c r="AI601" s="164"/>
      <c r="AJ601" s="164"/>
      <c r="AK601" s="164"/>
      <c r="AL601" s="164"/>
      <c r="AM601" s="164"/>
      <c r="AN601" s="164"/>
      <c r="AO601" s="164"/>
      <c r="AP601" s="164"/>
      <c r="AQ601" s="164"/>
      <c r="AR601" s="164"/>
      <c r="AS601" s="164"/>
      <c r="AT601" s="164"/>
      <c r="AU601" s="164"/>
      <c r="AV601" s="164"/>
      <c r="AW601" s="164"/>
      <c r="AX601" s="164"/>
      <c r="AY601" s="164"/>
      <c r="AZ601" s="164"/>
      <c r="BA601" s="164"/>
      <c r="BB601" s="164"/>
      <c r="BC601" s="164"/>
      <c r="BD601" s="164"/>
    </row>
    <row r="602" spans="1:56" ht="14.25" customHeight="1">
      <c r="A602" s="19">
        <v>604</v>
      </c>
      <c r="B602" s="100" t="s">
        <v>1441</v>
      </c>
      <c r="C602" s="84" t="s">
        <v>1441</v>
      </c>
      <c r="D602" s="161" t="s">
        <v>1442</v>
      </c>
      <c r="E602" s="101">
        <v>8</v>
      </c>
      <c r="F602" s="101">
        <v>8</v>
      </c>
      <c r="G602" s="98"/>
      <c r="H602" s="132"/>
      <c r="I602" s="37">
        <f t="shared" si="38"/>
        <v>0</v>
      </c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>
        <f t="shared" si="36"/>
        <v>0</v>
      </c>
      <c r="W602" s="36"/>
      <c r="X602" s="38">
        <v>30000</v>
      </c>
      <c r="Y602" s="38" t="str">
        <f t="shared" si="37"/>
        <v>无需保养</v>
      </c>
      <c r="Z602" s="38"/>
      <c r="AA602" s="164"/>
      <c r="AB602" s="164"/>
      <c r="AC602" s="164"/>
      <c r="AD602" s="164"/>
      <c r="AE602" s="164"/>
      <c r="AF602" s="164"/>
      <c r="AG602" s="164"/>
      <c r="AH602" s="164"/>
      <c r="AI602" s="164"/>
      <c r="AJ602" s="164"/>
      <c r="AK602" s="164"/>
      <c r="AL602" s="164"/>
      <c r="AM602" s="164"/>
      <c r="AN602" s="164"/>
      <c r="AO602" s="164"/>
      <c r="AP602" s="164"/>
      <c r="AQ602" s="164"/>
      <c r="AR602" s="164"/>
      <c r="AS602" s="164"/>
      <c r="AT602" s="164"/>
      <c r="AU602" s="164"/>
      <c r="AV602" s="164"/>
      <c r="AW602" s="164"/>
      <c r="AX602" s="164"/>
      <c r="AY602" s="164"/>
      <c r="AZ602" s="164"/>
      <c r="BA602" s="164"/>
      <c r="BB602" s="164"/>
      <c r="BC602" s="164"/>
      <c r="BD602" s="164"/>
    </row>
    <row r="603" spans="1:56" ht="14.25" customHeight="1">
      <c r="A603" s="19">
        <v>605</v>
      </c>
      <c r="B603" s="100" t="s">
        <v>1443</v>
      </c>
      <c r="C603" s="84" t="s">
        <v>1443</v>
      </c>
      <c r="D603" s="161" t="s">
        <v>1444</v>
      </c>
      <c r="E603" s="101">
        <v>8</v>
      </c>
      <c r="F603" s="101">
        <v>8</v>
      </c>
      <c r="G603" s="98"/>
      <c r="H603" s="132"/>
      <c r="I603" s="37">
        <f t="shared" si="38"/>
        <v>0</v>
      </c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>
        <f t="shared" si="36"/>
        <v>0</v>
      </c>
      <c r="W603" s="36"/>
      <c r="X603" s="38">
        <v>30000</v>
      </c>
      <c r="Y603" s="38" t="str">
        <f t="shared" si="37"/>
        <v>无需保养</v>
      </c>
      <c r="Z603" s="38"/>
      <c r="AA603" s="164"/>
      <c r="AB603" s="164"/>
      <c r="AC603" s="164"/>
      <c r="AD603" s="164"/>
      <c r="AE603" s="164"/>
      <c r="AF603" s="164"/>
      <c r="AG603" s="164"/>
      <c r="AH603" s="164"/>
      <c r="AI603" s="164"/>
      <c r="AJ603" s="164"/>
      <c r="AK603" s="164"/>
      <c r="AL603" s="164"/>
      <c r="AM603" s="164"/>
      <c r="AN603" s="164"/>
      <c r="AO603" s="164"/>
      <c r="AP603" s="164"/>
      <c r="AQ603" s="164"/>
      <c r="AR603" s="164"/>
      <c r="AS603" s="164"/>
      <c r="AT603" s="164"/>
      <c r="AU603" s="164"/>
      <c r="AV603" s="164"/>
      <c r="AW603" s="164"/>
      <c r="AX603" s="164"/>
      <c r="AY603" s="164"/>
      <c r="AZ603" s="164"/>
      <c r="BA603" s="164"/>
      <c r="BB603" s="164"/>
      <c r="BC603" s="164"/>
      <c r="BD603" s="164"/>
    </row>
    <row r="604" spans="1:56" ht="14.25" customHeight="1">
      <c r="A604" s="19">
        <v>606</v>
      </c>
      <c r="B604" s="100" t="s">
        <v>1445</v>
      </c>
      <c r="C604" s="84" t="s">
        <v>1445</v>
      </c>
      <c r="D604" s="160" t="s">
        <v>1446</v>
      </c>
      <c r="E604" s="101">
        <v>4</v>
      </c>
      <c r="F604" s="101">
        <v>4</v>
      </c>
      <c r="G604" s="98"/>
      <c r="H604" s="132"/>
      <c r="I604" s="37">
        <f t="shared" si="38"/>
        <v>0</v>
      </c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>
        <f t="shared" si="36"/>
        <v>0</v>
      </c>
      <c r="W604" s="36"/>
      <c r="X604" s="38">
        <v>30000</v>
      </c>
      <c r="Y604" s="38" t="str">
        <f t="shared" si="37"/>
        <v>无需保养</v>
      </c>
      <c r="Z604" s="38"/>
      <c r="AA604" s="164"/>
      <c r="AB604" s="164"/>
      <c r="AC604" s="164"/>
      <c r="AD604" s="164"/>
      <c r="AE604" s="164"/>
      <c r="AF604" s="164"/>
      <c r="AG604" s="164"/>
      <c r="AH604" s="164"/>
      <c r="AI604" s="164"/>
      <c r="AJ604" s="164"/>
      <c r="AK604" s="164"/>
      <c r="AL604" s="164"/>
      <c r="AM604" s="164"/>
      <c r="AN604" s="164"/>
      <c r="AO604" s="164"/>
      <c r="AP604" s="164"/>
      <c r="AQ604" s="164"/>
      <c r="AR604" s="164"/>
      <c r="AS604" s="164"/>
      <c r="AT604" s="164"/>
      <c r="AU604" s="164"/>
      <c r="AV604" s="164"/>
      <c r="AW604" s="164"/>
      <c r="AX604" s="164"/>
      <c r="AY604" s="164"/>
      <c r="AZ604" s="164"/>
      <c r="BA604" s="164"/>
      <c r="BB604" s="164"/>
      <c r="BC604" s="164"/>
      <c r="BD604" s="164"/>
    </row>
    <row r="605" spans="1:56" ht="14.25" customHeight="1">
      <c r="A605" s="19">
        <v>607</v>
      </c>
      <c r="B605" s="100" t="s">
        <v>1447</v>
      </c>
      <c r="C605" s="84" t="s">
        <v>1447</v>
      </c>
      <c r="D605" s="161" t="s">
        <v>1439</v>
      </c>
      <c r="E605" s="101">
        <v>4</v>
      </c>
      <c r="F605" s="101">
        <v>4</v>
      </c>
      <c r="G605" s="98"/>
      <c r="H605" s="132"/>
      <c r="I605" s="37">
        <f t="shared" si="38"/>
        <v>0</v>
      </c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>
        <f t="shared" si="36"/>
        <v>0</v>
      </c>
      <c r="W605" s="36"/>
      <c r="X605" s="38">
        <v>30000</v>
      </c>
      <c r="Y605" s="38" t="str">
        <f t="shared" si="37"/>
        <v>无需保养</v>
      </c>
      <c r="Z605" s="38"/>
      <c r="AA605" s="164"/>
      <c r="AB605" s="164"/>
      <c r="AC605" s="164"/>
      <c r="AD605" s="164"/>
      <c r="AE605" s="164"/>
      <c r="AF605" s="164"/>
      <c r="AG605" s="164"/>
      <c r="AH605" s="164"/>
      <c r="AI605" s="164"/>
      <c r="AJ605" s="164"/>
      <c r="AK605" s="164"/>
      <c r="AL605" s="164"/>
      <c r="AM605" s="164"/>
      <c r="AN605" s="164"/>
      <c r="AO605" s="164"/>
      <c r="AP605" s="164"/>
      <c r="AQ605" s="164"/>
      <c r="AR605" s="164"/>
      <c r="AS605" s="164"/>
      <c r="AT605" s="164"/>
      <c r="AU605" s="164"/>
      <c r="AV605" s="164"/>
      <c r="AW605" s="164"/>
      <c r="AX605" s="164"/>
      <c r="AY605" s="164"/>
      <c r="AZ605" s="164"/>
      <c r="BA605" s="164"/>
      <c r="BB605" s="164"/>
      <c r="BC605" s="164"/>
      <c r="BD605" s="164"/>
    </row>
    <row r="606" spans="1:56" ht="14.25" customHeight="1">
      <c r="A606" s="19">
        <v>608</v>
      </c>
      <c r="B606" s="100" t="s">
        <v>1448</v>
      </c>
      <c r="C606" s="84" t="s">
        <v>1448</v>
      </c>
      <c r="D606" s="160" t="s">
        <v>1439</v>
      </c>
      <c r="E606" s="101">
        <v>4</v>
      </c>
      <c r="F606" s="101">
        <v>4</v>
      </c>
      <c r="G606" s="98"/>
      <c r="H606" s="132"/>
      <c r="I606" s="37">
        <f t="shared" si="38"/>
        <v>0</v>
      </c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>
        <f t="shared" si="36"/>
        <v>0</v>
      </c>
      <c r="W606" s="36"/>
      <c r="X606" s="38">
        <v>30000</v>
      </c>
      <c r="Y606" s="38" t="str">
        <f t="shared" si="37"/>
        <v>无需保养</v>
      </c>
      <c r="Z606" s="38"/>
      <c r="AA606" s="164"/>
      <c r="AB606" s="164"/>
      <c r="AC606" s="164"/>
      <c r="AD606" s="164"/>
      <c r="AE606" s="164"/>
      <c r="AF606" s="164"/>
      <c r="AG606" s="164"/>
      <c r="AH606" s="164"/>
      <c r="AI606" s="164"/>
      <c r="AJ606" s="164"/>
      <c r="AK606" s="164"/>
      <c r="AL606" s="164"/>
      <c r="AM606" s="164"/>
      <c r="AN606" s="164"/>
      <c r="AO606" s="164"/>
      <c r="AP606" s="164"/>
      <c r="AQ606" s="164"/>
      <c r="AR606" s="164"/>
      <c r="AS606" s="164"/>
      <c r="AT606" s="164"/>
      <c r="AU606" s="164"/>
      <c r="AV606" s="164"/>
      <c r="AW606" s="164"/>
      <c r="AX606" s="164"/>
      <c r="AY606" s="164"/>
      <c r="AZ606" s="164"/>
      <c r="BA606" s="164"/>
      <c r="BB606" s="164"/>
      <c r="BC606" s="164"/>
      <c r="BD606" s="164"/>
    </row>
    <row r="607" spans="1:56" ht="14.25" customHeight="1">
      <c r="A607" s="19">
        <v>609</v>
      </c>
      <c r="B607" s="100" t="s">
        <v>1449</v>
      </c>
      <c r="C607" s="84" t="s">
        <v>1450</v>
      </c>
      <c r="D607" s="160" t="s">
        <v>1451</v>
      </c>
      <c r="E607" s="101">
        <v>4</v>
      </c>
      <c r="F607" s="101">
        <v>4</v>
      </c>
      <c r="G607" s="98"/>
      <c r="H607" s="132"/>
      <c r="I607" s="37">
        <f t="shared" si="38"/>
        <v>0</v>
      </c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>
        <f t="shared" si="36"/>
        <v>0</v>
      </c>
      <c r="W607" s="36"/>
      <c r="X607" s="38">
        <v>30000</v>
      </c>
      <c r="Y607" s="38" t="str">
        <f t="shared" si="37"/>
        <v>无需保养</v>
      </c>
      <c r="Z607" s="38"/>
      <c r="AA607" s="164"/>
      <c r="AB607" s="164"/>
      <c r="AC607" s="164"/>
      <c r="AD607" s="164"/>
      <c r="AE607" s="164"/>
      <c r="AF607" s="164"/>
      <c r="AG607" s="164"/>
      <c r="AH607" s="164"/>
      <c r="AI607" s="164"/>
      <c r="AJ607" s="164"/>
      <c r="AK607" s="164"/>
      <c r="AL607" s="164"/>
      <c r="AM607" s="164"/>
      <c r="AN607" s="164"/>
      <c r="AO607" s="164"/>
      <c r="AP607" s="164"/>
      <c r="AQ607" s="164"/>
      <c r="AR607" s="164"/>
      <c r="AS607" s="164"/>
      <c r="AT607" s="164"/>
      <c r="AU607" s="164"/>
      <c r="AV607" s="164"/>
      <c r="AW607" s="164"/>
      <c r="AX607" s="164"/>
      <c r="AY607" s="164"/>
      <c r="AZ607" s="164"/>
      <c r="BA607" s="164"/>
      <c r="BB607" s="164"/>
      <c r="BC607" s="164"/>
      <c r="BD607" s="164"/>
    </row>
    <row r="608" spans="1:56" ht="14.25" customHeight="1">
      <c r="A608" s="19">
        <v>610</v>
      </c>
      <c r="B608" s="100" t="s">
        <v>1452</v>
      </c>
      <c r="C608" s="84" t="s">
        <v>1453</v>
      </c>
      <c r="D608" s="160" t="s">
        <v>1454</v>
      </c>
      <c r="E608" s="101">
        <v>4</v>
      </c>
      <c r="F608" s="101">
        <v>4</v>
      </c>
      <c r="G608" s="83" t="s">
        <v>1240</v>
      </c>
      <c r="H608" s="128"/>
      <c r="I608" s="37">
        <f t="shared" si="38"/>
        <v>0</v>
      </c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>
        <f t="shared" si="36"/>
        <v>0</v>
      </c>
      <c r="W608" s="36"/>
      <c r="X608" s="38">
        <v>30000</v>
      </c>
      <c r="Y608" s="38" t="str">
        <f t="shared" si="37"/>
        <v>无需保养</v>
      </c>
      <c r="Z608" s="38"/>
      <c r="AA608" s="164"/>
      <c r="AB608" s="164"/>
      <c r="AC608" s="164"/>
      <c r="AD608" s="164"/>
      <c r="AE608" s="164"/>
      <c r="AF608" s="164"/>
      <c r="AG608" s="164"/>
      <c r="AH608" s="164"/>
      <c r="AI608" s="164"/>
      <c r="AJ608" s="164"/>
      <c r="AK608" s="164"/>
      <c r="AL608" s="164"/>
      <c r="AM608" s="164"/>
      <c r="AN608" s="164"/>
      <c r="AO608" s="164"/>
      <c r="AP608" s="164"/>
      <c r="AQ608" s="164"/>
      <c r="AR608" s="164"/>
      <c r="AS608" s="164"/>
      <c r="AT608" s="164"/>
      <c r="AU608" s="164"/>
      <c r="AV608" s="164"/>
      <c r="AW608" s="164"/>
      <c r="AX608" s="164"/>
      <c r="AY608" s="164"/>
      <c r="AZ608" s="164"/>
      <c r="BA608" s="164"/>
      <c r="BB608" s="164"/>
      <c r="BC608" s="164"/>
      <c r="BD608" s="164"/>
    </row>
    <row r="609" spans="1:56" ht="14.25" customHeight="1">
      <c r="A609" s="19">
        <v>611</v>
      </c>
      <c r="B609" s="100" t="s">
        <v>1455</v>
      </c>
      <c r="C609" s="84" t="s">
        <v>1455</v>
      </c>
      <c r="D609" s="160" t="s">
        <v>1456</v>
      </c>
      <c r="E609" s="101">
        <v>2</v>
      </c>
      <c r="F609" s="101">
        <v>2</v>
      </c>
      <c r="G609" s="98"/>
      <c r="H609" s="132"/>
      <c r="I609" s="37">
        <f t="shared" si="38"/>
        <v>0</v>
      </c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>
        <f t="shared" si="36"/>
        <v>0</v>
      </c>
      <c r="W609" s="36"/>
      <c r="X609" s="38">
        <v>30000</v>
      </c>
      <c r="Y609" s="38" t="str">
        <f t="shared" si="37"/>
        <v>无需保养</v>
      </c>
      <c r="Z609" s="38"/>
      <c r="AA609" s="164"/>
      <c r="AB609" s="164"/>
      <c r="AC609" s="164"/>
      <c r="AD609" s="164"/>
      <c r="AE609" s="164"/>
      <c r="AF609" s="164"/>
      <c r="AG609" s="164"/>
      <c r="AH609" s="164"/>
      <c r="AI609" s="164"/>
      <c r="AJ609" s="164"/>
      <c r="AK609" s="164"/>
      <c r="AL609" s="164"/>
      <c r="AM609" s="164"/>
      <c r="AN609" s="164"/>
      <c r="AO609" s="164"/>
      <c r="AP609" s="164"/>
      <c r="AQ609" s="164"/>
      <c r="AR609" s="164"/>
      <c r="AS609" s="164"/>
      <c r="AT609" s="164"/>
      <c r="AU609" s="164"/>
      <c r="AV609" s="164"/>
      <c r="AW609" s="164"/>
      <c r="AX609" s="164"/>
      <c r="AY609" s="164"/>
      <c r="AZ609" s="164"/>
      <c r="BA609" s="164"/>
      <c r="BB609" s="164"/>
      <c r="BC609" s="164"/>
      <c r="BD609" s="164"/>
    </row>
    <row r="610" spans="1:56" ht="14.25" customHeight="1">
      <c r="A610" s="19">
        <v>612</v>
      </c>
      <c r="B610" s="88" t="s">
        <v>1457</v>
      </c>
      <c r="C610" s="84" t="s">
        <v>1458</v>
      </c>
      <c r="D610" s="154" t="s">
        <v>1259</v>
      </c>
      <c r="E610" s="102">
        <v>8</v>
      </c>
      <c r="F610" s="102">
        <v>8</v>
      </c>
      <c r="G610" s="83" t="s">
        <v>1160</v>
      </c>
      <c r="H610" s="128"/>
      <c r="I610" s="37">
        <f t="shared" si="38"/>
        <v>0</v>
      </c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>
        <f t="shared" si="36"/>
        <v>0</v>
      </c>
      <c r="W610" s="36"/>
      <c r="X610" s="38">
        <v>30000</v>
      </c>
      <c r="Y610" s="38" t="str">
        <f t="shared" si="37"/>
        <v>无需保养</v>
      </c>
      <c r="Z610" s="38"/>
      <c r="AA610" s="164"/>
      <c r="AB610" s="164"/>
      <c r="AC610" s="164"/>
      <c r="AD610" s="164"/>
      <c r="AE610" s="164"/>
      <c r="AF610" s="164"/>
      <c r="AG610" s="164"/>
      <c r="AH610" s="164"/>
      <c r="AI610" s="164"/>
      <c r="AJ610" s="164"/>
      <c r="AK610" s="164"/>
      <c r="AL610" s="164"/>
      <c r="AM610" s="164"/>
      <c r="AN610" s="164"/>
      <c r="AO610" s="164"/>
      <c r="AP610" s="164"/>
      <c r="AQ610" s="164"/>
      <c r="AR610" s="164"/>
      <c r="AS610" s="164"/>
      <c r="AT610" s="164"/>
      <c r="AU610" s="164"/>
      <c r="AV610" s="164"/>
      <c r="AW610" s="164"/>
      <c r="AX610" s="164"/>
      <c r="AY610" s="164"/>
      <c r="AZ610" s="164"/>
      <c r="BA610" s="164"/>
      <c r="BB610" s="164"/>
      <c r="BC610" s="164"/>
      <c r="BD610" s="164"/>
    </row>
    <row r="611" spans="1:56" ht="14.25" customHeight="1">
      <c r="A611" s="16">
        <v>613</v>
      </c>
      <c r="B611" s="88" t="s">
        <v>1459</v>
      </c>
      <c r="C611" s="84" t="s">
        <v>1460</v>
      </c>
      <c r="D611" s="154" t="s">
        <v>1461</v>
      </c>
      <c r="E611" s="102">
        <v>16</v>
      </c>
      <c r="F611" s="102">
        <v>16</v>
      </c>
      <c r="G611" s="83" t="s">
        <v>1240</v>
      </c>
      <c r="H611" s="128"/>
      <c r="I611" s="37">
        <f t="shared" si="38"/>
        <v>0</v>
      </c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>
        <f t="shared" si="36"/>
        <v>0</v>
      </c>
      <c r="W611" s="36"/>
      <c r="X611" s="38">
        <v>30000</v>
      </c>
      <c r="Y611" s="38" t="str">
        <f t="shared" si="37"/>
        <v>无需保养</v>
      </c>
      <c r="Z611" s="38"/>
      <c r="AA611" s="164"/>
      <c r="AB611" s="164"/>
      <c r="AC611" s="164"/>
      <c r="AD611" s="164"/>
      <c r="AE611" s="164"/>
      <c r="AF611" s="164"/>
      <c r="AG611" s="164"/>
      <c r="AH611" s="164"/>
      <c r="AI611" s="164"/>
      <c r="AJ611" s="164"/>
      <c r="AK611" s="164"/>
      <c r="AL611" s="164"/>
      <c r="AM611" s="164"/>
      <c r="AN611" s="164"/>
      <c r="AO611" s="164"/>
      <c r="AP611" s="164"/>
      <c r="AQ611" s="164"/>
      <c r="AR611" s="164"/>
      <c r="AS611" s="164"/>
      <c r="AT611" s="164"/>
      <c r="AU611" s="164"/>
      <c r="AV611" s="164"/>
      <c r="AW611" s="164"/>
      <c r="AX611" s="164"/>
      <c r="AY611" s="164"/>
      <c r="AZ611" s="164"/>
      <c r="BA611" s="164"/>
      <c r="BB611" s="164"/>
      <c r="BC611" s="164"/>
      <c r="BD611" s="164"/>
    </row>
    <row r="612" spans="1:56" ht="14.25" customHeight="1">
      <c r="A612" s="16">
        <v>614</v>
      </c>
      <c r="B612" s="88" t="s">
        <v>1462</v>
      </c>
      <c r="C612" s="84" t="s">
        <v>1463</v>
      </c>
      <c r="D612" s="154" t="s">
        <v>1464</v>
      </c>
      <c r="E612" s="102">
        <v>8</v>
      </c>
      <c r="F612" s="102">
        <v>8</v>
      </c>
      <c r="G612" s="83" t="s">
        <v>1240</v>
      </c>
      <c r="H612" s="128"/>
      <c r="I612" s="37">
        <f t="shared" si="38"/>
        <v>0</v>
      </c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>
        <f t="shared" si="36"/>
        <v>0</v>
      </c>
      <c r="W612" s="36"/>
      <c r="X612" s="38">
        <v>30000</v>
      </c>
      <c r="Y612" s="38" t="str">
        <f t="shared" si="37"/>
        <v>无需保养</v>
      </c>
      <c r="Z612" s="38"/>
      <c r="AA612" s="164"/>
      <c r="AB612" s="164"/>
      <c r="AC612" s="164"/>
      <c r="AD612" s="164"/>
      <c r="AE612" s="164"/>
      <c r="AF612" s="164"/>
      <c r="AG612" s="164"/>
      <c r="AH612" s="164"/>
      <c r="AI612" s="164"/>
      <c r="AJ612" s="164"/>
      <c r="AK612" s="164"/>
      <c r="AL612" s="164"/>
      <c r="AM612" s="164"/>
      <c r="AN612" s="164"/>
      <c r="AO612" s="164"/>
      <c r="AP612" s="164"/>
      <c r="AQ612" s="164"/>
      <c r="AR612" s="164"/>
      <c r="AS612" s="164"/>
      <c r="AT612" s="164"/>
      <c r="AU612" s="164"/>
      <c r="AV612" s="164"/>
      <c r="AW612" s="164"/>
      <c r="AX612" s="164"/>
      <c r="AY612" s="164"/>
      <c r="AZ612" s="164"/>
      <c r="BA612" s="164"/>
      <c r="BB612" s="164"/>
      <c r="BC612" s="164"/>
      <c r="BD612" s="164"/>
    </row>
    <row r="613" spans="1:56" ht="14.25" customHeight="1">
      <c r="A613" s="16">
        <v>615</v>
      </c>
      <c r="B613" s="88" t="s">
        <v>1465</v>
      </c>
      <c r="C613" s="84" t="s">
        <v>1466</v>
      </c>
      <c r="D613" s="154" t="s">
        <v>1467</v>
      </c>
      <c r="E613" s="102">
        <v>16</v>
      </c>
      <c r="F613" s="102">
        <v>16</v>
      </c>
      <c r="G613" s="83" t="s">
        <v>1468</v>
      </c>
      <c r="H613" s="128"/>
      <c r="I613" s="37">
        <f t="shared" si="38"/>
        <v>0</v>
      </c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>
        <f t="shared" si="36"/>
        <v>0</v>
      </c>
      <c r="W613" s="36"/>
      <c r="X613" s="38">
        <v>30000</v>
      </c>
      <c r="Y613" s="38" t="str">
        <f t="shared" si="37"/>
        <v>无需保养</v>
      </c>
      <c r="Z613" s="38"/>
      <c r="AA613" s="164"/>
      <c r="AB613" s="164"/>
      <c r="AC613" s="164"/>
      <c r="AD613" s="164"/>
      <c r="AE613" s="164"/>
      <c r="AF613" s="164"/>
      <c r="AG613" s="164"/>
      <c r="AH613" s="164"/>
      <c r="AI613" s="164"/>
      <c r="AJ613" s="164"/>
      <c r="AK613" s="164"/>
      <c r="AL613" s="164"/>
      <c r="AM613" s="164"/>
      <c r="AN613" s="164"/>
      <c r="AO613" s="164"/>
      <c r="AP613" s="164"/>
      <c r="AQ613" s="164"/>
      <c r="AR613" s="164"/>
      <c r="AS613" s="164"/>
      <c r="AT613" s="164"/>
      <c r="AU613" s="164"/>
      <c r="AV613" s="164"/>
      <c r="AW613" s="164"/>
      <c r="AX613" s="164"/>
      <c r="AY613" s="164"/>
      <c r="AZ613" s="164"/>
      <c r="BA613" s="164"/>
      <c r="BB613" s="164"/>
      <c r="BC613" s="164"/>
      <c r="BD613" s="164"/>
    </row>
    <row r="614" spans="1:56" ht="14.25" customHeight="1">
      <c r="A614" s="16">
        <v>616</v>
      </c>
      <c r="B614" s="88" t="s">
        <v>1469</v>
      </c>
      <c r="C614" s="84" t="s">
        <v>1470</v>
      </c>
      <c r="D614" s="154" t="s">
        <v>1471</v>
      </c>
      <c r="E614" s="102">
        <v>4</v>
      </c>
      <c r="F614" s="102">
        <v>4</v>
      </c>
      <c r="G614" s="83" t="s">
        <v>1468</v>
      </c>
      <c r="H614" s="128"/>
      <c r="I614" s="37">
        <f t="shared" si="38"/>
        <v>0</v>
      </c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>
        <f t="shared" si="36"/>
        <v>0</v>
      </c>
      <c r="W614" s="36"/>
      <c r="X614" s="38">
        <v>30000</v>
      </c>
      <c r="Y614" s="38" t="str">
        <f t="shared" si="37"/>
        <v>无需保养</v>
      </c>
      <c r="Z614" s="38"/>
      <c r="AA614" s="164"/>
      <c r="AB614" s="164"/>
      <c r="AC614" s="164"/>
      <c r="AD614" s="164"/>
      <c r="AE614" s="164"/>
      <c r="AF614" s="164"/>
      <c r="AG614" s="164"/>
      <c r="AH614" s="164"/>
      <c r="AI614" s="164"/>
      <c r="AJ614" s="164"/>
      <c r="AK614" s="164"/>
      <c r="AL614" s="164"/>
      <c r="AM614" s="164"/>
      <c r="AN614" s="164"/>
      <c r="AO614" s="164"/>
      <c r="AP614" s="164"/>
      <c r="AQ614" s="164"/>
      <c r="AR614" s="164"/>
      <c r="AS614" s="164"/>
      <c r="AT614" s="164"/>
      <c r="AU614" s="164"/>
      <c r="AV614" s="164"/>
      <c r="AW614" s="164"/>
      <c r="AX614" s="164"/>
      <c r="AY614" s="164"/>
      <c r="AZ614" s="164"/>
      <c r="BA614" s="164"/>
      <c r="BB614" s="164"/>
      <c r="BC614" s="164"/>
      <c r="BD614" s="164"/>
    </row>
    <row r="615" spans="1:56" ht="14.25" customHeight="1">
      <c r="A615" s="16">
        <v>617</v>
      </c>
      <c r="B615" s="88" t="s">
        <v>1472</v>
      </c>
      <c r="C615" s="84" t="s">
        <v>1473</v>
      </c>
      <c r="D615" s="154" t="s">
        <v>1474</v>
      </c>
      <c r="E615" s="102">
        <v>8</v>
      </c>
      <c r="F615" s="102">
        <v>8</v>
      </c>
      <c r="G615" s="83" t="s">
        <v>1468</v>
      </c>
      <c r="H615" s="128"/>
      <c r="I615" s="37">
        <f t="shared" si="38"/>
        <v>0</v>
      </c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>
        <f t="shared" si="36"/>
        <v>0</v>
      </c>
      <c r="W615" s="36"/>
      <c r="X615" s="38">
        <v>30000</v>
      </c>
      <c r="Y615" s="38" t="str">
        <f t="shared" si="37"/>
        <v>无需保养</v>
      </c>
      <c r="Z615" s="38"/>
      <c r="AA615" s="164"/>
      <c r="AB615" s="164"/>
      <c r="AC615" s="164"/>
      <c r="AD615" s="164"/>
      <c r="AE615" s="164"/>
      <c r="AF615" s="164"/>
      <c r="AG615" s="164"/>
      <c r="AH615" s="164"/>
      <c r="AI615" s="164"/>
      <c r="AJ615" s="164"/>
      <c r="AK615" s="164"/>
      <c r="AL615" s="164"/>
      <c r="AM615" s="164"/>
      <c r="AN615" s="164"/>
      <c r="AO615" s="164"/>
      <c r="AP615" s="164"/>
      <c r="AQ615" s="164"/>
      <c r="AR615" s="164"/>
      <c r="AS615" s="164"/>
      <c r="AT615" s="164"/>
      <c r="AU615" s="164"/>
      <c r="AV615" s="164"/>
      <c r="AW615" s="164"/>
      <c r="AX615" s="164"/>
      <c r="AY615" s="164"/>
      <c r="AZ615" s="164"/>
      <c r="BA615" s="164"/>
      <c r="BB615" s="164"/>
      <c r="BC615" s="164"/>
      <c r="BD615" s="164"/>
    </row>
    <row r="616" spans="1:56" ht="14.25" customHeight="1">
      <c r="A616" s="16">
        <v>618</v>
      </c>
      <c r="B616" s="88" t="s">
        <v>1475</v>
      </c>
      <c r="C616" s="84" t="s">
        <v>1476</v>
      </c>
      <c r="D616" s="154" t="s">
        <v>1477</v>
      </c>
      <c r="E616" s="102">
        <v>4</v>
      </c>
      <c r="F616" s="102">
        <v>4</v>
      </c>
      <c r="G616" s="83" t="s">
        <v>1468</v>
      </c>
      <c r="H616" s="128"/>
      <c r="I616" s="37">
        <f t="shared" si="38"/>
        <v>0</v>
      </c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>
        <f t="shared" si="36"/>
        <v>0</v>
      </c>
      <c r="W616" s="36"/>
      <c r="X616" s="38">
        <v>30000</v>
      </c>
      <c r="Y616" s="38" t="str">
        <f t="shared" si="37"/>
        <v>无需保养</v>
      </c>
      <c r="Z616" s="38"/>
      <c r="AA616" s="164"/>
      <c r="AB616" s="164"/>
      <c r="AC616" s="164"/>
      <c r="AD616" s="164"/>
      <c r="AE616" s="164"/>
      <c r="AF616" s="164"/>
      <c r="AG616" s="164"/>
      <c r="AH616" s="164"/>
      <c r="AI616" s="164"/>
      <c r="AJ616" s="164"/>
      <c r="AK616" s="164"/>
      <c r="AL616" s="164"/>
      <c r="AM616" s="164"/>
      <c r="AN616" s="164"/>
      <c r="AO616" s="164"/>
      <c r="AP616" s="164"/>
      <c r="AQ616" s="164"/>
      <c r="AR616" s="164"/>
      <c r="AS616" s="164"/>
      <c r="AT616" s="164"/>
      <c r="AU616" s="164"/>
      <c r="AV616" s="164"/>
      <c r="AW616" s="164"/>
      <c r="AX616" s="164"/>
      <c r="AY616" s="164"/>
      <c r="AZ616" s="164"/>
      <c r="BA616" s="164"/>
      <c r="BB616" s="164"/>
      <c r="BC616" s="164"/>
      <c r="BD616" s="164"/>
    </row>
    <row r="617" spans="1:56" ht="14.25" customHeight="1">
      <c r="A617" s="16">
        <v>619</v>
      </c>
      <c r="B617" s="88" t="s">
        <v>1478</v>
      </c>
      <c r="C617" s="81" t="s">
        <v>1473</v>
      </c>
      <c r="D617" s="162" t="s">
        <v>1474</v>
      </c>
      <c r="E617" s="102">
        <v>8</v>
      </c>
      <c r="F617" s="102">
        <v>8</v>
      </c>
      <c r="G617" s="83" t="s">
        <v>1468</v>
      </c>
      <c r="H617" s="128"/>
      <c r="I617" s="37">
        <f t="shared" si="38"/>
        <v>0</v>
      </c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>
        <f t="shared" si="36"/>
        <v>0</v>
      </c>
      <c r="W617" s="36"/>
      <c r="X617" s="38">
        <v>30000</v>
      </c>
      <c r="Y617" s="38" t="str">
        <f t="shared" si="37"/>
        <v>无需保养</v>
      </c>
      <c r="Z617" s="38"/>
      <c r="AA617" s="164"/>
      <c r="AB617" s="164"/>
      <c r="AC617" s="164"/>
      <c r="AD617" s="164"/>
      <c r="AE617" s="164"/>
      <c r="AF617" s="164"/>
      <c r="AG617" s="164"/>
      <c r="AH617" s="164"/>
      <c r="AI617" s="164"/>
      <c r="AJ617" s="164"/>
      <c r="AK617" s="164"/>
      <c r="AL617" s="164"/>
      <c r="AM617" s="164"/>
      <c r="AN617" s="164"/>
      <c r="AO617" s="164"/>
      <c r="AP617" s="164"/>
      <c r="AQ617" s="164"/>
      <c r="AR617" s="164"/>
      <c r="AS617" s="164"/>
      <c r="AT617" s="164"/>
      <c r="AU617" s="164"/>
      <c r="AV617" s="164"/>
      <c r="AW617" s="164"/>
      <c r="AX617" s="164"/>
      <c r="AY617" s="164"/>
      <c r="AZ617" s="164"/>
      <c r="BA617" s="164"/>
      <c r="BB617" s="164"/>
      <c r="BC617" s="164"/>
      <c r="BD617" s="164"/>
    </row>
    <row r="618" spans="1:56" ht="14.25" customHeight="1">
      <c r="A618" s="16">
        <v>620</v>
      </c>
      <c r="B618" s="88" t="s">
        <v>1479</v>
      </c>
      <c r="C618" s="81" t="s">
        <v>1473</v>
      </c>
      <c r="D618" s="162" t="s">
        <v>1474</v>
      </c>
      <c r="E618" s="102">
        <v>8</v>
      </c>
      <c r="F618" s="102">
        <v>8</v>
      </c>
      <c r="G618" s="83" t="s">
        <v>1468</v>
      </c>
      <c r="H618" s="128"/>
      <c r="I618" s="37">
        <f t="shared" si="38"/>
        <v>0</v>
      </c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>
        <f t="shared" si="36"/>
        <v>0</v>
      </c>
      <c r="W618" s="36"/>
      <c r="X618" s="38">
        <v>30000</v>
      </c>
      <c r="Y618" s="38" t="str">
        <f t="shared" si="37"/>
        <v>无需保养</v>
      </c>
      <c r="Z618" s="38"/>
      <c r="AA618" s="164"/>
      <c r="AB618" s="164"/>
      <c r="AC618" s="164"/>
      <c r="AD618" s="164"/>
      <c r="AE618" s="164"/>
      <c r="AF618" s="164"/>
      <c r="AG618" s="164"/>
      <c r="AH618" s="164"/>
      <c r="AI618" s="164"/>
      <c r="AJ618" s="164"/>
      <c r="AK618" s="164"/>
      <c r="AL618" s="164"/>
      <c r="AM618" s="164"/>
      <c r="AN618" s="164"/>
      <c r="AO618" s="164"/>
      <c r="AP618" s="164"/>
      <c r="AQ618" s="164"/>
      <c r="AR618" s="164"/>
      <c r="AS618" s="164"/>
      <c r="AT618" s="164"/>
      <c r="AU618" s="164"/>
      <c r="AV618" s="164"/>
      <c r="AW618" s="164"/>
      <c r="AX618" s="164"/>
      <c r="AY618" s="164"/>
      <c r="AZ618" s="164"/>
      <c r="BA618" s="164"/>
      <c r="BB618" s="164"/>
      <c r="BC618" s="164"/>
      <c r="BD618" s="164"/>
    </row>
    <row r="619" spans="1:56" ht="14.25" customHeight="1">
      <c r="A619" s="16">
        <v>621</v>
      </c>
      <c r="B619" s="88" t="s">
        <v>1480</v>
      </c>
      <c r="C619" s="81" t="s">
        <v>1470</v>
      </c>
      <c r="D619" s="162" t="s">
        <v>1471</v>
      </c>
      <c r="E619" s="102">
        <v>4</v>
      </c>
      <c r="F619" s="102">
        <v>4</v>
      </c>
      <c r="G619" s="83" t="s">
        <v>1468</v>
      </c>
      <c r="H619" s="128"/>
      <c r="I619" s="37">
        <f t="shared" si="38"/>
        <v>0</v>
      </c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>
        <f t="shared" si="36"/>
        <v>0</v>
      </c>
      <c r="W619" s="36"/>
      <c r="X619" s="38">
        <v>30000</v>
      </c>
      <c r="Y619" s="38" t="str">
        <f t="shared" si="37"/>
        <v>无需保养</v>
      </c>
      <c r="Z619" s="38"/>
      <c r="AA619" s="164"/>
      <c r="AB619" s="164"/>
      <c r="AC619" s="164"/>
      <c r="AD619" s="164"/>
      <c r="AE619" s="164"/>
      <c r="AF619" s="164"/>
      <c r="AG619" s="164"/>
      <c r="AH619" s="164"/>
      <c r="AI619" s="164"/>
      <c r="AJ619" s="164"/>
      <c r="AK619" s="164"/>
      <c r="AL619" s="164"/>
      <c r="AM619" s="164"/>
      <c r="AN619" s="164"/>
      <c r="AO619" s="164"/>
      <c r="AP619" s="164"/>
      <c r="AQ619" s="164"/>
      <c r="AR619" s="164"/>
      <c r="AS619" s="164"/>
      <c r="AT619" s="164"/>
      <c r="AU619" s="164"/>
      <c r="AV619" s="164"/>
      <c r="AW619" s="164"/>
      <c r="AX619" s="164"/>
      <c r="AY619" s="164"/>
      <c r="AZ619" s="164"/>
      <c r="BA619" s="164"/>
      <c r="BB619" s="164"/>
      <c r="BC619" s="164"/>
      <c r="BD619" s="164"/>
    </row>
    <row r="620" spans="1:56" ht="14.25" customHeight="1">
      <c r="A620" s="16">
        <v>622</v>
      </c>
      <c r="B620" s="88" t="s">
        <v>1481</v>
      </c>
      <c r="C620" s="81" t="s">
        <v>1470</v>
      </c>
      <c r="D620" s="162" t="s">
        <v>1471</v>
      </c>
      <c r="E620" s="102">
        <v>4</v>
      </c>
      <c r="F620" s="102">
        <v>4</v>
      </c>
      <c r="G620" s="83" t="s">
        <v>1468</v>
      </c>
      <c r="H620" s="128"/>
      <c r="I620" s="37">
        <f t="shared" si="38"/>
        <v>0</v>
      </c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>
        <f t="shared" si="36"/>
        <v>0</v>
      </c>
      <c r="W620" s="36"/>
      <c r="X620" s="38">
        <v>30000</v>
      </c>
      <c r="Y620" s="38" t="str">
        <f t="shared" si="37"/>
        <v>无需保养</v>
      </c>
      <c r="Z620" s="38"/>
      <c r="AA620" s="164"/>
      <c r="AB620" s="164"/>
      <c r="AC620" s="164"/>
      <c r="AD620" s="164"/>
      <c r="AE620" s="164"/>
      <c r="AF620" s="164"/>
      <c r="AG620" s="164"/>
      <c r="AH620" s="164"/>
      <c r="AI620" s="164"/>
      <c r="AJ620" s="164"/>
      <c r="AK620" s="164"/>
      <c r="AL620" s="164"/>
      <c r="AM620" s="164"/>
      <c r="AN620" s="164"/>
      <c r="AO620" s="164"/>
      <c r="AP620" s="164"/>
      <c r="AQ620" s="164"/>
      <c r="AR620" s="164"/>
      <c r="AS620" s="164"/>
      <c r="AT620" s="164"/>
      <c r="AU620" s="164"/>
      <c r="AV620" s="164"/>
      <c r="AW620" s="164"/>
      <c r="AX620" s="164"/>
      <c r="AY620" s="164"/>
      <c r="AZ620" s="164"/>
      <c r="BA620" s="164"/>
      <c r="BB620" s="164"/>
      <c r="BC620" s="164"/>
      <c r="BD620" s="164"/>
    </row>
    <row r="621" spans="1:56" ht="14.25" customHeight="1">
      <c r="A621" s="16">
        <v>623</v>
      </c>
      <c r="B621" s="88" t="s">
        <v>1482</v>
      </c>
      <c r="C621" s="81" t="s">
        <v>1470</v>
      </c>
      <c r="D621" s="162" t="s">
        <v>1471</v>
      </c>
      <c r="E621" s="102">
        <v>4</v>
      </c>
      <c r="F621" s="102">
        <v>4</v>
      </c>
      <c r="G621" s="83" t="s">
        <v>1468</v>
      </c>
      <c r="H621" s="128"/>
      <c r="I621" s="37">
        <f t="shared" si="38"/>
        <v>0</v>
      </c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>
        <f t="shared" si="36"/>
        <v>0</v>
      </c>
      <c r="W621" s="36"/>
      <c r="X621" s="38">
        <v>30000</v>
      </c>
      <c r="Y621" s="38" t="str">
        <f t="shared" si="37"/>
        <v>无需保养</v>
      </c>
      <c r="Z621" s="38"/>
      <c r="AA621" s="164"/>
      <c r="AB621" s="164"/>
      <c r="AC621" s="164"/>
      <c r="AD621" s="164"/>
      <c r="AE621" s="164"/>
      <c r="AF621" s="164"/>
      <c r="AG621" s="164"/>
      <c r="AH621" s="164"/>
      <c r="AI621" s="164"/>
      <c r="AJ621" s="164"/>
      <c r="AK621" s="164"/>
      <c r="AL621" s="164"/>
      <c r="AM621" s="164"/>
      <c r="AN621" s="164"/>
      <c r="AO621" s="164"/>
      <c r="AP621" s="164"/>
      <c r="AQ621" s="164"/>
      <c r="AR621" s="164"/>
      <c r="AS621" s="164"/>
      <c r="AT621" s="164"/>
      <c r="AU621" s="164"/>
      <c r="AV621" s="164"/>
      <c r="AW621" s="164"/>
      <c r="AX621" s="164"/>
      <c r="AY621" s="164"/>
      <c r="AZ621" s="164"/>
      <c r="BA621" s="164"/>
      <c r="BB621" s="164"/>
      <c r="BC621" s="164"/>
      <c r="BD621" s="164"/>
    </row>
    <row r="622" spans="1:56" ht="14.25" customHeight="1">
      <c r="A622" s="16">
        <v>624</v>
      </c>
      <c r="B622" s="88" t="s">
        <v>1483</v>
      </c>
      <c r="C622" s="81" t="s">
        <v>1470</v>
      </c>
      <c r="D622" s="162" t="s">
        <v>1471</v>
      </c>
      <c r="E622" s="102">
        <v>4</v>
      </c>
      <c r="F622" s="102">
        <v>4</v>
      </c>
      <c r="G622" s="83" t="s">
        <v>1468</v>
      </c>
      <c r="H622" s="128"/>
      <c r="I622" s="37">
        <f t="shared" si="38"/>
        <v>0</v>
      </c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>
        <f t="shared" si="36"/>
        <v>0</v>
      </c>
      <c r="W622" s="36"/>
      <c r="X622" s="38">
        <v>30000</v>
      </c>
      <c r="Y622" s="38" t="str">
        <f t="shared" si="37"/>
        <v>无需保养</v>
      </c>
      <c r="Z622" s="38"/>
      <c r="AA622" s="164"/>
      <c r="AB622" s="164"/>
      <c r="AC622" s="164"/>
      <c r="AD622" s="164"/>
      <c r="AE622" s="164"/>
      <c r="AF622" s="164"/>
      <c r="AG622" s="164"/>
      <c r="AH622" s="164"/>
      <c r="AI622" s="164"/>
      <c r="AJ622" s="164"/>
      <c r="AK622" s="164"/>
      <c r="AL622" s="164"/>
      <c r="AM622" s="164"/>
      <c r="AN622" s="164"/>
      <c r="AO622" s="164"/>
      <c r="AP622" s="164"/>
      <c r="AQ622" s="164"/>
      <c r="AR622" s="164"/>
      <c r="AS622" s="164"/>
      <c r="AT622" s="164"/>
      <c r="AU622" s="164"/>
      <c r="AV622" s="164"/>
      <c r="AW622" s="164"/>
      <c r="AX622" s="164"/>
      <c r="AY622" s="164"/>
      <c r="AZ622" s="164"/>
      <c r="BA622" s="164"/>
      <c r="BB622" s="164"/>
      <c r="BC622" s="164"/>
      <c r="BD622" s="164"/>
    </row>
    <row r="623" spans="1:56" ht="14.25" customHeight="1">
      <c r="A623" s="16">
        <v>625</v>
      </c>
      <c r="B623" s="88" t="s">
        <v>1484</v>
      </c>
      <c r="C623" s="81" t="s">
        <v>1476</v>
      </c>
      <c r="D623" s="162" t="s">
        <v>1477</v>
      </c>
      <c r="E623" s="102">
        <v>4</v>
      </c>
      <c r="F623" s="102">
        <v>4</v>
      </c>
      <c r="G623" s="83" t="s">
        <v>1468</v>
      </c>
      <c r="H623" s="128"/>
      <c r="I623" s="37">
        <f t="shared" si="38"/>
        <v>0</v>
      </c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>
        <f t="shared" si="36"/>
        <v>0</v>
      </c>
      <c r="W623" s="36"/>
      <c r="X623" s="38">
        <v>30000</v>
      </c>
      <c r="Y623" s="38" t="str">
        <f t="shared" si="37"/>
        <v>无需保养</v>
      </c>
      <c r="Z623" s="38"/>
      <c r="AA623" s="164"/>
      <c r="AB623" s="164"/>
      <c r="AC623" s="164"/>
      <c r="AD623" s="164"/>
      <c r="AE623" s="164"/>
      <c r="AF623" s="164"/>
      <c r="AG623" s="164"/>
      <c r="AH623" s="164"/>
      <c r="AI623" s="164"/>
      <c r="AJ623" s="164"/>
      <c r="AK623" s="164"/>
      <c r="AL623" s="164"/>
      <c r="AM623" s="164"/>
      <c r="AN623" s="164"/>
      <c r="AO623" s="164"/>
      <c r="AP623" s="164"/>
      <c r="AQ623" s="164"/>
      <c r="AR623" s="164"/>
      <c r="AS623" s="164"/>
      <c r="AT623" s="164"/>
      <c r="AU623" s="164"/>
      <c r="AV623" s="164"/>
      <c r="AW623" s="164"/>
      <c r="AX623" s="164"/>
      <c r="AY623" s="164"/>
      <c r="AZ623" s="164"/>
      <c r="BA623" s="164"/>
      <c r="BB623" s="164"/>
      <c r="BC623" s="164"/>
      <c r="BD623" s="164"/>
    </row>
    <row r="624" spans="1:56" ht="14.25" customHeight="1">
      <c r="A624" s="16">
        <v>626</v>
      </c>
      <c r="B624" s="88" t="s">
        <v>1485</v>
      </c>
      <c r="C624" s="81" t="s">
        <v>1476</v>
      </c>
      <c r="D624" s="162" t="s">
        <v>1477</v>
      </c>
      <c r="E624" s="102">
        <v>4</v>
      </c>
      <c r="F624" s="102">
        <v>4</v>
      </c>
      <c r="G624" s="83" t="s">
        <v>1468</v>
      </c>
      <c r="H624" s="128"/>
      <c r="I624" s="37">
        <f t="shared" si="38"/>
        <v>0</v>
      </c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>
        <f t="shared" si="36"/>
        <v>0</v>
      </c>
      <c r="W624" s="36"/>
      <c r="X624" s="38">
        <v>30000</v>
      </c>
      <c r="Y624" s="38" t="str">
        <f t="shared" si="37"/>
        <v>无需保养</v>
      </c>
      <c r="Z624" s="38"/>
      <c r="AA624" s="164"/>
      <c r="AB624" s="164"/>
      <c r="AC624" s="164"/>
      <c r="AD624" s="164"/>
      <c r="AE624" s="164"/>
      <c r="AF624" s="164"/>
      <c r="AG624" s="164"/>
      <c r="AH624" s="164"/>
      <c r="AI624" s="164"/>
      <c r="AJ624" s="164"/>
      <c r="AK624" s="164"/>
      <c r="AL624" s="164"/>
      <c r="AM624" s="164"/>
      <c r="AN624" s="164"/>
      <c r="AO624" s="164"/>
      <c r="AP624" s="164"/>
      <c r="AQ624" s="164"/>
      <c r="AR624" s="164"/>
      <c r="AS624" s="164"/>
      <c r="AT624" s="164"/>
      <c r="AU624" s="164"/>
      <c r="AV624" s="164"/>
      <c r="AW624" s="164"/>
      <c r="AX624" s="164"/>
      <c r="AY624" s="164"/>
      <c r="AZ624" s="164"/>
      <c r="BA624" s="164"/>
      <c r="BB624" s="164"/>
      <c r="BC624" s="164"/>
      <c r="BD624" s="164"/>
    </row>
    <row r="625" spans="1:56" ht="14.25" customHeight="1">
      <c r="A625" s="16">
        <v>627</v>
      </c>
      <c r="B625" s="88" t="s">
        <v>1486</v>
      </c>
      <c r="C625" s="81" t="s">
        <v>1476</v>
      </c>
      <c r="D625" s="162" t="s">
        <v>1477</v>
      </c>
      <c r="E625" s="102">
        <v>4</v>
      </c>
      <c r="F625" s="102">
        <v>4</v>
      </c>
      <c r="G625" s="83" t="s">
        <v>1468</v>
      </c>
      <c r="H625" s="128"/>
      <c r="I625" s="37">
        <f t="shared" si="38"/>
        <v>0</v>
      </c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>
        <f t="shared" si="36"/>
        <v>0</v>
      </c>
      <c r="W625" s="36"/>
      <c r="X625" s="38">
        <v>30000</v>
      </c>
      <c r="Y625" s="38" t="str">
        <f t="shared" si="37"/>
        <v>无需保养</v>
      </c>
      <c r="Z625" s="38"/>
      <c r="AA625" s="164"/>
      <c r="AB625" s="164"/>
      <c r="AC625" s="164"/>
      <c r="AD625" s="164"/>
      <c r="AE625" s="164"/>
      <c r="AF625" s="164"/>
      <c r="AG625" s="164"/>
      <c r="AH625" s="164"/>
      <c r="AI625" s="164"/>
      <c r="AJ625" s="164"/>
      <c r="AK625" s="164"/>
      <c r="AL625" s="164"/>
      <c r="AM625" s="164"/>
      <c r="AN625" s="164"/>
      <c r="AO625" s="164"/>
      <c r="AP625" s="164"/>
      <c r="AQ625" s="164"/>
      <c r="AR625" s="164"/>
      <c r="AS625" s="164"/>
      <c r="AT625" s="164"/>
      <c r="AU625" s="164"/>
      <c r="AV625" s="164"/>
      <c r="AW625" s="164"/>
      <c r="AX625" s="164"/>
      <c r="AY625" s="164"/>
      <c r="AZ625" s="164"/>
      <c r="BA625" s="164"/>
      <c r="BB625" s="164"/>
      <c r="BC625" s="164"/>
      <c r="BD625" s="164"/>
    </row>
    <row r="626" spans="1:56" ht="14.25" customHeight="1">
      <c r="A626" s="16">
        <v>628</v>
      </c>
      <c r="B626" s="88" t="s">
        <v>1487</v>
      </c>
      <c r="C626" s="81" t="s">
        <v>1476</v>
      </c>
      <c r="D626" s="162" t="s">
        <v>1477</v>
      </c>
      <c r="E626" s="102">
        <v>4</v>
      </c>
      <c r="F626" s="102">
        <v>4</v>
      </c>
      <c r="G626" s="83" t="s">
        <v>1468</v>
      </c>
      <c r="H626" s="128"/>
      <c r="I626" s="37">
        <f t="shared" si="38"/>
        <v>0</v>
      </c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>
        <f t="shared" si="36"/>
        <v>0</v>
      </c>
      <c r="W626" s="36"/>
      <c r="X626" s="38">
        <v>30000</v>
      </c>
      <c r="Y626" s="38" t="str">
        <f t="shared" si="37"/>
        <v>无需保养</v>
      </c>
      <c r="Z626" s="38"/>
      <c r="AA626" s="164"/>
      <c r="AB626" s="164"/>
      <c r="AC626" s="164"/>
      <c r="AD626" s="164"/>
      <c r="AE626" s="164"/>
      <c r="AF626" s="164"/>
      <c r="AG626" s="164"/>
      <c r="AH626" s="164"/>
      <c r="AI626" s="164"/>
      <c r="AJ626" s="164"/>
      <c r="AK626" s="164"/>
      <c r="AL626" s="164"/>
      <c r="AM626" s="164"/>
      <c r="AN626" s="164"/>
      <c r="AO626" s="164"/>
      <c r="AP626" s="164"/>
      <c r="AQ626" s="164"/>
      <c r="AR626" s="164"/>
      <c r="AS626" s="164"/>
      <c r="AT626" s="164"/>
      <c r="AU626" s="164"/>
      <c r="AV626" s="164"/>
      <c r="AW626" s="164"/>
      <c r="AX626" s="164"/>
      <c r="AY626" s="164"/>
      <c r="AZ626" s="164"/>
      <c r="BA626" s="164"/>
      <c r="BB626" s="164"/>
      <c r="BC626" s="164"/>
      <c r="BD626" s="164"/>
    </row>
    <row r="627" spans="1:56" ht="15" customHeight="1">
      <c r="I627" s="37">
        <f t="shared" si="38"/>
        <v>0</v>
      </c>
    </row>
    <row r="628" spans="1:56" ht="15" customHeight="1">
      <c r="I628" s="37">
        <f t="shared" si="38"/>
        <v>0</v>
      </c>
    </row>
    <row r="629" spans="1:56" ht="15" customHeight="1">
      <c r="I629" s="37">
        <f t="shared" si="38"/>
        <v>0</v>
      </c>
    </row>
    <row r="630" spans="1:56" ht="15" customHeight="1">
      <c r="I630" s="37">
        <f t="shared" si="38"/>
        <v>0</v>
      </c>
    </row>
    <row r="631" spans="1:56" ht="15" customHeight="1">
      <c r="I631" s="37">
        <f t="shared" si="38"/>
        <v>0</v>
      </c>
    </row>
    <row r="632" spans="1:56" ht="15" customHeight="1">
      <c r="I632" s="37">
        <f t="shared" si="38"/>
        <v>0</v>
      </c>
    </row>
    <row r="633" spans="1:56" ht="15" customHeight="1">
      <c r="I633" s="37">
        <f t="shared" si="38"/>
        <v>0</v>
      </c>
    </row>
    <row r="634" spans="1:56" ht="15" customHeight="1">
      <c r="I634" s="37">
        <f t="shared" si="38"/>
        <v>0</v>
      </c>
    </row>
    <row r="635" spans="1:56" ht="15" customHeight="1">
      <c r="I635" s="37">
        <f t="shared" si="38"/>
        <v>0</v>
      </c>
    </row>
    <row r="636" spans="1:56" ht="15" customHeight="1">
      <c r="I636" s="37">
        <f t="shared" si="38"/>
        <v>0</v>
      </c>
    </row>
    <row r="637" spans="1:56" ht="15" customHeight="1">
      <c r="I637" s="37">
        <f t="shared" si="38"/>
        <v>0</v>
      </c>
    </row>
    <row r="638" spans="1:56" ht="15" customHeight="1">
      <c r="I638" s="37">
        <f t="shared" si="38"/>
        <v>0</v>
      </c>
    </row>
    <row r="639" spans="1:56" ht="15" customHeight="1">
      <c r="I639" s="37">
        <f t="shared" si="38"/>
        <v>0</v>
      </c>
    </row>
    <row r="640" spans="1:56" ht="15" customHeight="1">
      <c r="I640" s="37">
        <f t="shared" si="38"/>
        <v>0</v>
      </c>
    </row>
    <row r="641" spans="9:9" ht="15" customHeight="1">
      <c r="I641" s="37">
        <f t="shared" si="38"/>
        <v>0</v>
      </c>
    </row>
    <row r="642" spans="9:9" ht="15" customHeight="1">
      <c r="I642" s="37">
        <f t="shared" si="38"/>
        <v>0</v>
      </c>
    </row>
    <row r="643" spans="9:9" ht="15" customHeight="1">
      <c r="I643" s="37">
        <f t="shared" si="38"/>
        <v>0</v>
      </c>
    </row>
    <row r="644" spans="9:9" ht="15" customHeight="1">
      <c r="I644" s="37">
        <f t="shared" si="38"/>
        <v>0</v>
      </c>
    </row>
    <row r="645" spans="9:9" ht="15" customHeight="1">
      <c r="I645" s="37">
        <f t="shared" si="38"/>
        <v>0</v>
      </c>
    </row>
    <row r="646" spans="9:9" ht="15" customHeight="1">
      <c r="I646" s="37">
        <f t="shared" ref="I646:I709" si="39">J646+K646+L646+M646+N646+O646+P646+Q646+R646+S646+T646+U646</f>
        <v>0</v>
      </c>
    </row>
    <row r="647" spans="9:9" ht="15" customHeight="1">
      <c r="I647" s="37">
        <f t="shared" si="39"/>
        <v>0</v>
      </c>
    </row>
    <row r="648" spans="9:9" ht="15" customHeight="1">
      <c r="I648" s="37">
        <f t="shared" si="39"/>
        <v>0</v>
      </c>
    </row>
    <row r="649" spans="9:9" ht="15" customHeight="1">
      <c r="I649" s="37">
        <f t="shared" si="39"/>
        <v>0</v>
      </c>
    </row>
    <row r="650" spans="9:9" ht="15" customHeight="1">
      <c r="I650" s="37">
        <f t="shared" si="39"/>
        <v>0</v>
      </c>
    </row>
    <row r="651" spans="9:9" ht="15" customHeight="1">
      <c r="I651" s="37">
        <f t="shared" si="39"/>
        <v>0</v>
      </c>
    </row>
    <row r="652" spans="9:9" ht="15" customHeight="1">
      <c r="I652" s="37">
        <f t="shared" si="39"/>
        <v>0</v>
      </c>
    </row>
    <row r="653" spans="9:9" ht="15" customHeight="1">
      <c r="I653" s="37">
        <f t="shared" si="39"/>
        <v>0</v>
      </c>
    </row>
    <row r="654" spans="9:9" ht="15" customHeight="1">
      <c r="I654" s="37">
        <f t="shared" si="39"/>
        <v>0</v>
      </c>
    </row>
    <row r="655" spans="9:9" ht="15" customHeight="1">
      <c r="I655" s="37">
        <f t="shared" si="39"/>
        <v>0</v>
      </c>
    </row>
    <row r="656" spans="9:9" ht="15" customHeight="1">
      <c r="I656" s="37">
        <f t="shared" si="39"/>
        <v>0</v>
      </c>
    </row>
    <row r="657" spans="9:9" ht="15" customHeight="1">
      <c r="I657" s="37">
        <f t="shared" si="39"/>
        <v>0</v>
      </c>
    </row>
    <row r="658" spans="9:9" ht="15" customHeight="1">
      <c r="I658" s="37">
        <f t="shared" si="39"/>
        <v>0</v>
      </c>
    </row>
    <row r="659" spans="9:9" ht="15" customHeight="1">
      <c r="I659" s="37">
        <f t="shared" si="39"/>
        <v>0</v>
      </c>
    </row>
    <row r="660" spans="9:9" ht="15" customHeight="1">
      <c r="I660" s="37">
        <f t="shared" si="39"/>
        <v>0</v>
      </c>
    </row>
    <row r="661" spans="9:9" ht="15" customHeight="1">
      <c r="I661" s="37">
        <f t="shared" si="39"/>
        <v>0</v>
      </c>
    </row>
    <row r="662" spans="9:9" ht="15" customHeight="1">
      <c r="I662" s="37">
        <f t="shared" si="39"/>
        <v>0</v>
      </c>
    </row>
    <row r="663" spans="9:9" ht="15" customHeight="1">
      <c r="I663" s="37">
        <f t="shared" si="39"/>
        <v>0</v>
      </c>
    </row>
    <row r="664" spans="9:9" ht="15" customHeight="1">
      <c r="I664" s="37">
        <f t="shared" si="39"/>
        <v>0</v>
      </c>
    </row>
    <row r="665" spans="9:9" ht="15" customHeight="1">
      <c r="I665" s="37">
        <f t="shared" si="39"/>
        <v>0</v>
      </c>
    </row>
    <row r="666" spans="9:9" ht="15" customHeight="1">
      <c r="I666" s="37">
        <f t="shared" si="39"/>
        <v>0</v>
      </c>
    </row>
    <row r="667" spans="9:9" ht="15" customHeight="1">
      <c r="I667" s="37">
        <f t="shared" si="39"/>
        <v>0</v>
      </c>
    </row>
    <row r="668" spans="9:9" ht="15" customHeight="1">
      <c r="I668" s="37">
        <f t="shared" si="39"/>
        <v>0</v>
      </c>
    </row>
    <row r="669" spans="9:9" ht="15" customHeight="1">
      <c r="I669" s="37">
        <f t="shared" si="39"/>
        <v>0</v>
      </c>
    </row>
    <row r="670" spans="9:9" ht="15" customHeight="1">
      <c r="I670" s="37">
        <f t="shared" si="39"/>
        <v>0</v>
      </c>
    </row>
    <row r="671" spans="9:9" ht="15" customHeight="1">
      <c r="I671" s="37">
        <f t="shared" si="39"/>
        <v>0</v>
      </c>
    </row>
    <row r="672" spans="9:9" ht="15" customHeight="1">
      <c r="I672" s="37">
        <f t="shared" si="39"/>
        <v>0</v>
      </c>
    </row>
    <row r="673" spans="9:9" ht="15" customHeight="1">
      <c r="I673" s="37">
        <f t="shared" si="39"/>
        <v>0</v>
      </c>
    </row>
    <row r="674" spans="9:9" ht="15" customHeight="1">
      <c r="I674" s="37">
        <f t="shared" si="39"/>
        <v>0</v>
      </c>
    </row>
    <row r="675" spans="9:9" ht="15" customHeight="1">
      <c r="I675" s="37">
        <f t="shared" si="39"/>
        <v>0</v>
      </c>
    </row>
    <row r="676" spans="9:9" ht="15" customHeight="1">
      <c r="I676" s="37">
        <f t="shared" si="39"/>
        <v>0</v>
      </c>
    </row>
    <row r="677" spans="9:9" ht="15" customHeight="1">
      <c r="I677" s="37">
        <f t="shared" si="39"/>
        <v>0</v>
      </c>
    </row>
    <row r="678" spans="9:9" ht="15" customHeight="1">
      <c r="I678" s="37">
        <f t="shared" si="39"/>
        <v>0</v>
      </c>
    </row>
    <row r="679" spans="9:9" ht="15" customHeight="1">
      <c r="I679" s="37">
        <f t="shared" si="39"/>
        <v>0</v>
      </c>
    </row>
    <row r="680" spans="9:9" ht="15" customHeight="1">
      <c r="I680" s="37">
        <f t="shared" si="39"/>
        <v>0</v>
      </c>
    </row>
    <row r="681" spans="9:9" ht="15" customHeight="1">
      <c r="I681" s="37">
        <f t="shared" si="39"/>
        <v>0</v>
      </c>
    </row>
    <row r="682" spans="9:9" ht="15" customHeight="1">
      <c r="I682" s="37">
        <f t="shared" si="39"/>
        <v>0</v>
      </c>
    </row>
    <row r="683" spans="9:9" ht="15" customHeight="1">
      <c r="I683" s="37">
        <f t="shared" si="39"/>
        <v>0</v>
      </c>
    </row>
    <row r="684" spans="9:9" ht="15" customHeight="1">
      <c r="I684" s="37">
        <f t="shared" si="39"/>
        <v>0</v>
      </c>
    </row>
    <row r="685" spans="9:9" ht="15" customHeight="1">
      <c r="I685" s="37">
        <f t="shared" si="39"/>
        <v>0</v>
      </c>
    </row>
    <row r="686" spans="9:9" ht="15" customHeight="1">
      <c r="I686" s="37">
        <f t="shared" si="39"/>
        <v>0</v>
      </c>
    </row>
    <row r="687" spans="9:9" ht="15" customHeight="1">
      <c r="I687" s="37">
        <f t="shared" si="39"/>
        <v>0</v>
      </c>
    </row>
    <row r="688" spans="9:9" ht="15" customHeight="1">
      <c r="I688" s="37">
        <f t="shared" si="39"/>
        <v>0</v>
      </c>
    </row>
    <row r="689" spans="9:9" ht="15" customHeight="1">
      <c r="I689" s="37">
        <f t="shared" si="39"/>
        <v>0</v>
      </c>
    </row>
    <row r="690" spans="9:9" ht="15" customHeight="1">
      <c r="I690" s="37">
        <f t="shared" si="39"/>
        <v>0</v>
      </c>
    </row>
    <row r="691" spans="9:9" ht="15" customHeight="1">
      <c r="I691" s="37">
        <f t="shared" si="39"/>
        <v>0</v>
      </c>
    </row>
    <row r="692" spans="9:9" ht="15" customHeight="1">
      <c r="I692" s="37">
        <f t="shared" si="39"/>
        <v>0</v>
      </c>
    </row>
    <row r="693" spans="9:9" ht="15" customHeight="1">
      <c r="I693" s="37">
        <f t="shared" si="39"/>
        <v>0</v>
      </c>
    </row>
    <row r="694" spans="9:9" ht="15" customHeight="1">
      <c r="I694" s="37">
        <f t="shared" si="39"/>
        <v>0</v>
      </c>
    </row>
    <row r="695" spans="9:9" ht="15" customHeight="1">
      <c r="I695" s="37">
        <f t="shared" si="39"/>
        <v>0</v>
      </c>
    </row>
    <row r="696" spans="9:9" ht="15" customHeight="1">
      <c r="I696" s="37">
        <f t="shared" si="39"/>
        <v>0</v>
      </c>
    </row>
    <row r="697" spans="9:9" ht="15" customHeight="1">
      <c r="I697" s="37">
        <f t="shared" si="39"/>
        <v>0</v>
      </c>
    </row>
    <row r="698" spans="9:9" ht="15" customHeight="1">
      <c r="I698" s="37">
        <f t="shared" si="39"/>
        <v>0</v>
      </c>
    </row>
    <row r="699" spans="9:9" ht="15" customHeight="1">
      <c r="I699" s="37">
        <f t="shared" si="39"/>
        <v>0</v>
      </c>
    </row>
    <row r="700" spans="9:9" ht="15" customHeight="1">
      <c r="I700" s="37">
        <f t="shared" si="39"/>
        <v>0</v>
      </c>
    </row>
    <row r="701" spans="9:9" ht="15" customHeight="1">
      <c r="I701" s="37">
        <f t="shared" si="39"/>
        <v>0</v>
      </c>
    </row>
    <row r="702" spans="9:9" ht="15" customHeight="1">
      <c r="I702" s="37">
        <f t="shared" si="39"/>
        <v>0</v>
      </c>
    </row>
    <row r="703" spans="9:9" ht="15" customHeight="1">
      <c r="I703" s="37">
        <f t="shared" si="39"/>
        <v>0</v>
      </c>
    </row>
    <row r="704" spans="9:9" ht="15" customHeight="1">
      <c r="I704" s="37">
        <f t="shared" si="39"/>
        <v>0</v>
      </c>
    </row>
    <row r="705" spans="9:9" ht="15" customHeight="1">
      <c r="I705" s="37">
        <f t="shared" si="39"/>
        <v>0</v>
      </c>
    </row>
    <row r="706" spans="9:9" ht="15" customHeight="1">
      <c r="I706" s="37">
        <f t="shared" si="39"/>
        <v>0</v>
      </c>
    </row>
    <row r="707" spans="9:9" ht="15" customHeight="1">
      <c r="I707" s="37">
        <f t="shared" si="39"/>
        <v>0</v>
      </c>
    </row>
    <row r="708" spans="9:9" ht="15" customHeight="1">
      <c r="I708" s="37">
        <f t="shared" si="39"/>
        <v>0</v>
      </c>
    </row>
    <row r="709" spans="9:9" ht="15" customHeight="1">
      <c r="I709" s="37">
        <f t="shared" si="39"/>
        <v>0</v>
      </c>
    </row>
    <row r="710" spans="9:9" ht="15" customHeight="1">
      <c r="I710" s="37">
        <f t="shared" ref="I710:I773" si="40">J710+K710+L710+M710+N710+O710+P710+Q710+R710+S710+T710+U710</f>
        <v>0</v>
      </c>
    </row>
    <row r="711" spans="9:9" ht="15" customHeight="1">
      <c r="I711" s="37">
        <f t="shared" si="40"/>
        <v>0</v>
      </c>
    </row>
    <row r="712" spans="9:9" ht="15" customHeight="1">
      <c r="I712" s="37">
        <f t="shared" si="40"/>
        <v>0</v>
      </c>
    </row>
    <row r="713" spans="9:9" ht="15" customHeight="1">
      <c r="I713" s="37">
        <f t="shared" si="40"/>
        <v>0</v>
      </c>
    </row>
    <row r="714" spans="9:9" ht="15" customHeight="1">
      <c r="I714" s="37">
        <f t="shared" si="40"/>
        <v>0</v>
      </c>
    </row>
    <row r="715" spans="9:9" ht="15" customHeight="1">
      <c r="I715" s="37">
        <f t="shared" si="40"/>
        <v>0</v>
      </c>
    </row>
    <row r="716" spans="9:9" ht="15" customHeight="1">
      <c r="I716" s="37">
        <f t="shared" si="40"/>
        <v>0</v>
      </c>
    </row>
    <row r="717" spans="9:9" ht="15" customHeight="1">
      <c r="I717" s="37">
        <f t="shared" si="40"/>
        <v>0</v>
      </c>
    </row>
    <row r="718" spans="9:9" ht="15" customHeight="1">
      <c r="I718" s="37">
        <f t="shared" si="40"/>
        <v>0</v>
      </c>
    </row>
    <row r="719" spans="9:9" ht="15" customHeight="1">
      <c r="I719" s="37">
        <f t="shared" si="40"/>
        <v>0</v>
      </c>
    </row>
    <row r="720" spans="9:9" ht="15" customHeight="1">
      <c r="I720" s="37">
        <f t="shared" si="40"/>
        <v>0</v>
      </c>
    </row>
    <row r="721" spans="9:9" ht="15" customHeight="1">
      <c r="I721" s="37">
        <f t="shared" si="40"/>
        <v>0</v>
      </c>
    </row>
    <row r="722" spans="9:9" ht="15" customHeight="1">
      <c r="I722" s="37">
        <f t="shared" si="40"/>
        <v>0</v>
      </c>
    </row>
    <row r="723" spans="9:9" ht="15" customHeight="1">
      <c r="I723" s="37">
        <f t="shared" si="40"/>
        <v>0</v>
      </c>
    </row>
    <row r="724" spans="9:9" ht="15" customHeight="1">
      <c r="I724" s="37">
        <f t="shared" si="40"/>
        <v>0</v>
      </c>
    </row>
    <row r="725" spans="9:9" ht="15" customHeight="1">
      <c r="I725" s="37">
        <f t="shared" si="40"/>
        <v>0</v>
      </c>
    </row>
    <row r="726" spans="9:9" ht="15" customHeight="1">
      <c r="I726" s="37">
        <f t="shared" si="40"/>
        <v>0</v>
      </c>
    </row>
    <row r="727" spans="9:9" ht="15" customHeight="1">
      <c r="I727" s="37">
        <f t="shared" si="40"/>
        <v>0</v>
      </c>
    </row>
    <row r="728" spans="9:9" ht="15" customHeight="1">
      <c r="I728" s="37">
        <f t="shared" si="40"/>
        <v>0</v>
      </c>
    </row>
    <row r="729" spans="9:9" ht="15" customHeight="1">
      <c r="I729" s="37">
        <f t="shared" si="40"/>
        <v>0</v>
      </c>
    </row>
    <row r="730" spans="9:9" ht="15" customHeight="1">
      <c r="I730" s="37">
        <f t="shared" si="40"/>
        <v>0</v>
      </c>
    </row>
    <row r="731" spans="9:9" ht="15" customHeight="1">
      <c r="I731" s="37">
        <f t="shared" si="40"/>
        <v>0</v>
      </c>
    </row>
    <row r="732" spans="9:9" ht="15" customHeight="1">
      <c r="I732" s="37">
        <f t="shared" si="40"/>
        <v>0</v>
      </c>
    </row>
    <row r="733" spans="9:9" ht="15" customHeight="1">
      <c r="I733" s="37">
        <f t="shared" si="40"/>
        <v>0</v>
      </c>
    </row>
    <row r="734" spans="9:9" ht="15" customHeight="1">
      <c r="I734" s="37">
        <f t="shared" si="40"/>
        <v>0</v>
      </c>
    </row>
    <row r="735" spans="9:9" ht="15" customHeight="1">
      <c r="I735" s="37">
        <f t="shared" si="40"/>
        <v>0</v>
      </c>
    </row>
    <row r="736" spans="9:9" ht="15" customHeight="1">
      <c r="I736" s="37">
        <f t="shared" si="40"/>
        <v>0</v>
      </c>
    </row>
    <row r="737" spans="9:9" ht="15" customHeight="1">
      <c r="I737" s="37">
        <f t="shared" si="40"/>
        <v>0</v>
      </c>
    </row>
    <row r="738" spans="9:9" ht="15" customHeight="1">
      <c r="I738" s="37">
        <f t="shared" si="40"/>
        <v>0</v>
      </c>
    </row>
    <row r="739" spans="9:9" ht="15" customHeight="1">
      <c r="I739" s="37">
        <f t="shared" si="40"/>
        <v>0</v>
      </c>
    </row>
    <row r="740" spans="9:9" ht="15" customHeight="1">
      <c r="I740" s="37">
        <f t="shared" si="40"/>
        <v>0</v>
      </c>
    </row>
    <row r="741" spans="9:9" ht="15" customHeight="1">
      <c r="I741" s="37">
        <f t="shared" si="40"/>
        <v>0</v>
      </c>
    </row>
    <row r="742" spans="9:9" ht="15" customHeight="1">
      <c r="I742" s="37">
        <f t="shared" si="40"/>
        <v>0</v>
      </c>
    </row>
    <row r="743" spans="9:9" ht="15" customHeight="1">
      <c r="I743" s="37">
        <f t="shared" si="40"/>
        <v>0</v>
      </c>
    </row>
    <row r="744" spans="9:9" ht="15" customHeight="1">
      <c r="I744" s="37">
        <f t="shared" si="40"/>
        <v>0</v>
      </c>
    </row>
    <row r="745" spans="9:9" ht="15" customHeight="1">
      <c r="I745" s="37">
        <f t="shared" si="40"/>
        <v>0</v>
      </c>
    </row>
    <row r="746" spans="9:9" ht="15" customHeight="1">
      <c r="I746" s="37">
        <f t="shared" si="40"/>
        <v>0</v>
      </c>
    </row>
    <row r="747" spans="9:9" ht="15" customHeight="1">
      <c r="I747" s="37">
        <f t="shared" si="40"/>
        <v>0</v>
      </c>
    </row>
    <row r="748" spans="9:9" ht="15" customHeight="1">
      <c r="I748" s="37">
        <f t="shared" si="40"/>
        <v>0</v>
      </c>
    </row>
    <row r="749" spans="9:9" ht="15" customHeight="1">
      <c r="I749" s="37">
        <f t="shared" si="40"/>
        <v>0</v>
      </c>
    </row>
    <row r="750" spans="9:9" ht="15" customHeight="1">
      <c r="I750" s="37">
        <f t="shared" si="40"/>
        <v>0</v>
      </c>
    </row>
    <row r="751" spans="9:9" ht="15" customHeight="1">
      <c r="I751" s="37">
        <f t="shared" si="40"/>
        <v>0</v>
      </c>
    </row>
    <row r="752" spans="9:9" ht="15" customHeight="1">
      <c r="I752" s="37">
        <f t="shared" si="40"/>
        <v>0</v>
      </c>
    </row>
    <row r="753" spans="9:9" ht="15" customHeight="1">
      <c r="I753" s="37">
        <f t="shared" si="40"/>
        <v>0</v>
      </c>
    </row>
    <row r="754" spans="9:9" ht="15" customHeight="1">
      <c r="I754" s="37">
        <f t="shared" si="40"/>
        <v>0</v>
      </c>
    </row>
    <row r="755" spans="9:9" ht="15" customHeight="1">
      <c r="I755" s="37">
        <f t="shared" si="40"/>
        <v>0</v>
      </c>
    </row>
    <row r="756" spans="9:9" ht="15" customHeight="1">
      <c r="I756" s="37">
        <f t="shared" si="40"/>
        <v>0</v>
      </c>
    </row>
    <row r="757" spans="9:9" ht="15" customHeight="1">
      <c r="I757" s="37">
        <f t="shared" si="40"/>
        <v>0</v>
      </c>
    </row>
    <row r="758" spans="9:9" ht="15" customHeight="1">
      <c r="I758" s="37">
        <f t="shared" si="40"/>
        <v>0</v>
      </c>
    </row>
    <row r="759" spans="9:9" ht="15" customHeight="1">
      <c r="I759" s="37">
        <f t="shared" si="40"/>
        <v>0</v>
      </c>
    </row>
    <row r="760" spans="9:9" ht="15" customHeight="1">
      <c r="I760" s="37">
        <f t="shared" si="40"/>
        <v>0</v>
      </c>
    </row>
    <row r="761" spans="9:9" ht="15" customHeight="1">
      <c r="I761" s="37">
        <f t="shared" si="40"/>
        <v>0</v>
      </c>
    </row>
    <row r="762" spans="9:9" ht="15" customHeight="1">
      <c r="I762" s="37">
        <f t="shared" si="40"/>
        <v>0</v>
      </c>
    </row>
    <row r="763" spans="9:9" ht="15" customHeight="1">
      <c r="I763" s="37">
        <f t="shared" si="40"/>
        <v>0</v>
      </c>
    </row>
    <row r="764" spans="9:9" ht="15" customHeight="1">
      <c r="I764" s="37">
        <f t="shared" si="40"/>
        <v>0</v>
      </c>
    </row>
    <row r="765" spans="9:9" ht="15" customHeight="1">
      <c r="I765" s="37">
        <f t="shared" si="40"/>
        <v>0</v>
      </c>
    </row>
    <row r="766" spans="9:9" ht="15" customHeight="1">
      <c r="I766" s="37">
        <f t="shared" si="40"/>
        <v>0</v>
      </c>
    </row>
    <row r="767" spans="9:9" ht="15" customHeight="1">
      <c r="I767" s="37">
        <f t="shared" si="40"/>
        <v>0</v>
      </c>
    </row>
    <row r="768" spans="9:9" ht="15" customHeight="1">
      <c r="I768" s="37">
        <f t="shared" si="40"/>
        <v>0</v>
      </c>
    </row>
    <row r="769" spans="9:9" ht="15" customHeight="1">
      <c r="I769" s="37">
        <f t="shared" si="40"/>
        <v>0</v>
      </c>
    </row>
    <row r="770" spans="9:9" ht="15" customHeight="1">
      <c r="I770" s="37">
        <f t="shared" si="40"/>
        <v>0</v>
      </c>
    </row>
    <row r="771" spans="9:9" ht="15" customHeight="1">
      <c r="I771" s="37">
        <f t="shared" si="40"/>
        <v>0</v>
      </c>
    </row>
    <row r="772" spans="9:9" ht="15" customHeight="1">
      <c r="I772" s="37">
        <f t="shared" si="40"/>
        <v>0</v>
      </c>
    </row>
    <row r="773" spans="9:9" ht="15" customHeight="1">
      <c r="I773" s="37">
        <f t="shared" si="40"/>
        <v>0</v>
      </c>
    </row>
    <row r="774" spans="9:9" ht="15" customHeight="1">
      <c r="I774" s="37">
        <f t="shared" ref="I774:I837" si="41">J774+K774+L774+M774+N774+O774+P774+Q774+R774+S774+T774+U774</f>
        <v>0</v>
      </c>
    </row>
    <row r="775" spans="9:9" ht="15" customHeight="1">
      <c r="I775" s="37">
        <f t="shared" si="41"/>
        <v>0</v>
      </c>
    </row>
    <row r="776" spans="9:9" ht="15" customHeight="1">
      <c r="I776" s="37">
        <f t="shared" si="41"/>
        <v>0</v>
      </c>
    </row>
    <row r="777" spans="9:9" ht="15" customHeight="1">
      <c r="I777" s="37">
        <f t="shared" si="41"/>
        <v>0</v>
      </c>
    </row>
    <row r="778" spans="9:9" ht="15" customHeight="1">
      <c r="I778" s="37">
        <f t="shared" si="41"/>
        <v>0</v>
      </c>
    </row>
    <row r="779" spans="9:9" ht="15" customHeight="1">
      <c r="I779" s="37">
        <f t="shared" si="41"/>
        <v>0</v>
      </c>
    </row>
    <row r="780" spans="9:9" ht="15" customHeight="1">
      <c r="I780" s="37">
        <f t="shared" si="41"/>
        <v>0</v>
      </c>
    </row>
    <row r="781" spans="9:9" ht="15" customHeight="1">
      <c r="I781" s="37">
        <f t="shared" si="41"/>
        <v>0</v>
      </c>
    </row>
    <row r="782" spans="9:9" ht="15" customHeight="1">
      <c r="I782" s="37">
        <f t="shared" si="41"/>
        <v>0</v>
      </c>
    </row>
    <row r="783" spans="9:9" ht="15" customHeight="1">
      <c r="I783" s="37">
        <f t="shared" si="41"/>
        <v>0</v>
      </c>
    </row>
    <row r="784" spans="9:9" ht="15" customHeight="1">
      <c r="I784" s="37">
        <f t="shared" si="41"/>
        <v>0</v>
      </c>
    </row>
    <row r="785" spans="9:9" ht="15" customHeight="1">
      <c r="I785" s="37">
        <f t="shared" si="41"/>
        <v>0</v>
      </c>
    </row>
    <row r="786" spans="9:9" ht="15" customHeight="1">
      <c r="I786" s="37">
        <f t="shared" si="41"/>
        <v>0</v>
      </c>
    </row>
    <row r="787" spans="9:9" ht="15" customHeight="1">
      <c r="I787" s="37">
        <f t="shared" si="41"/>
        <v>0</v>
      </c>
    </row>
    <row r="788" spans="9:9" ht="15" customHeight="1">
      <c r="I788" s="37">
        <f t="shared" si="41"/>
        <v>0</v>
      </c>
    </row>
    <row r="789" spans="9:9" ht="15" customHeight="1">
      <c r="I789" s="37">
        <f t="shared" si="41"/>
        <v>0</v>
      </c>
    </row>
    <row r="790" spans="9:9" ht="15" customHeight="1">
      <c r="I790" s="37">
        <f t="shared" si="41"/>
        <v>0</v>
      </c>
    </row>
    <row r="791" spans="9:9" ht="15" customHeight="1">
      <c r="I791" s="37">
        <f t="shared" si="41"/>
        <v>0</v>
      </c>
    </row>
    <row r="792" spans="9:9" ht="15" customHeight="1">
      <c r="I792" s="37">
        <f t="shared" si="41"/>
        <v>0</v>
      </c>
    </row>
    <row r="793" spans="9:9" ht="15" customHeight="1">
      <c r="I793" s="37">
        <f t="shared" si="41"/>
        <v>0</v>
      </c>
    </row>
    <row r="794" spans="9:9" ht="15" customHeight="1">
      <c r="I794" s="37">
        <f t="shared" si="41"/>
        <v>0</v>
      </c>
    </row>
    <row r="795" spans="9:9" ht="15" customHeight="1">
      <c r="I795" s="37">
        <f t="shared" si="41"/>
        <v>0</v>
      </c>
    </row>
    <row r="796" spans="9:9" ht="15" customHeight="1">
      <c r="I796" s="37">
        <f t="shared" si="41"/>
        <v>0</v>
      </c>
    </row>
    <row r="797" spans="9:9" ht="15" customHeight="1">
      <c r="I797" s="37">
        <f t="shared" si="41"/>
        <v>0</v>
      </c>
    </row>
    <row r="798" spans="9:9" ht="15" customHeight="1">
      <c r="I798" s="37">
        <f t="shared" si="41"/>
        <v>0</v>
      </c>
    </row>
    <row r="799" spans="9:9" ht="15" customHeight="1">
      <c r="I799" s="37">
        <f t="shared" si="41"/>
        <v>0</v>
      </c>
    </row>
    <row r="800" spans="9:9" ht="15" customHeight="1">
      <c r="I800" s="37">
        <f t="shared" si="41"/>
        <v>0</v>
      </c>
    </row>
    <row r="801" spans="9:9" ht="15" customHeight="1">
      <c r="I801" s="37">
        <f t="shared" si="41"/>
        <v>0</v>
      </c>
    </row>
    <row r="802" spans="9:9" ht="15" customHeight="1">
      <c r="I802" s="37">
        <f t="shared" si="41"/>
        <v>0</v>
      </c>
    </row>
    <row r="803" spans="9:9" ht="15" customHeight="1">
      <c r="I803" s="37">
        <f t="shared" si="41"/>
        <v>0</v>
      </c>
    </row>
    <row r="804" spans="9:9" ht="15" customHeight="1">
      <c r="I804" s="37">
        <f t="shared" si="41"/>
        <v>0</v>
      </c>
    </row>
    <row r="805" spans="9:9" ht="15" customHeight="1">
      <c r="I805" s="37">
        <f t="shared" si="41"/>
        <v>0</v>
      </c>
    </row>
    <row r="806" spans="9:9" ht="15" customHeight="1">
      <c r="I806" s="37">
        <f t="shared" si="41"/>
        <v>0</v>
      </c>
    </row>
    <row r="807" spans="9:9" ht="15" customHeight="1">
      <c r="I807" s="37">
        <f t="shared" si="41"/>
        <v>0</v>
      </c>
    </row>
    <row r="808" spans="9:9" ht="15" customHeight="1">
      <c r="I808" s="37">
        <f t="shared" si="41"/>
        <v>0</v>
      </c>
    </row>
    <row r="809" spans="9:9" ht="15" customHeight="1">
      <c r="I809" s="37">
        <f t="shared" si="41"/>
        <v>0</v>
      </c>
    </row>
    <row r="810" spans="9:9" ht="15" customHeight="1">
      <c r="I810" s="37">
        <f t="shared" si="41"/>
        <v>0</v>
      </c>
    </row>
    <row r="811" spans="9:9" ht="15" customHeight="1">
      <c r="I811" s="37">
        <f t="shared" si="41"/>
        <v>0</v>
      </c>
    </row>
    <row r="812" spans="9:9" ht="15" customHeight="1">
      <c r="I812" s="37">
        <f t="shared" si="41"/>
        <v>0</v>
      </c>
    </row>
    <row r="813" spans="9:9" ht="15" customHeight="1">
      <c r="I813" s="37">
        <f t="shared" si="41"/>
        <v>0</v>
      </c>
    </row>
    <row r="814" spans="9:9" ht="15" customHeight="1">
      <c r="I814" s="37">
        <f t="shared" si="41"/>
        <v>0</v>
      </c>
    </row>
    <row r="815" spans="9:9" ht="15" customHeight="1">
      <c r="I815" s="37">
        <f t="shared" si="41"/>
        <v>0</v>
      </c>
    </row>
    <row r="816" spans="9:9" ht="15" customHeight="1">
      <c r="I816" s="37">
        <f t="shared" si="41"/>
        <v>0</v>
      </c>
    </row>
    <row r="817" spans="9:9" ht="15" customHeight="1">
      <c r="I817" s="37">
        <f t="shared" si="41"/>
        <v>0</v>
      </c>
    </row>
    <row r="818" spans="9:9" ht="15" customHeight="1">
      <c r="I818" s="37">
        <f t="shared" si="41"/>
        <v>0</v>
      </c>
    </row>
    <row r="819" spans="9:9" ht="15" customHeight="1">
      <c r="I819" s="37">
        <f t="shared" si="41"/>
        <v>0</v>
      </c>
    </row>
    <row r="820" spans="9:9" ht="15" customHeight="1">
      <c r="I820" s="37">
        <f t="shared" si="41"/>
        <v>0</v>
      </c>
    </row>
    <row r="821" spans="9:9" ht="15" customHeight="1">
      <c r="I821" s="37">
        <f t="shared" si="41"/>
        <v>0</v>
      </c>
    </row>
    <row r="822" spans="9:9" ht="15" customHeight="1">
      <c r="I822" s="37">
        <f t="shared" si="41"/>
        <v>0</v>
      </c>
    </row>
    <row r="823" spans="9:9" ht="15" customHeight="1">
      <c r="I823" s="37">
        <f t="shared" si="41"/>
        <v>0</v>
      </c>
    </row>
    <row r="824" spans="9:9" ht="15" customHeight="1">
      <c r="I824" s="37">
        <f t="shared" si="41"/>
        <v>0</v>
      </c>
    </row>
    <row r="825" spans="9:9" ht="15" customHeight="1">
      <c r="I825" s="37">
        <f t="shared" si="41"/>
        <v>0</v>
      </c>
    </row>
    <row r="826" spans="9:9" ht="15" customHeight="1">
      <c r="I826" s="37">
        <f t="shared" si="41"/>
        <v>0</v>
      </c>
    </row>
    <row r="827" spans="9:9" ht="15" customHeight="1">
      <c r="I827" s="37">
        <f t="shared" si="41"/>
        <v>0</v>
      </c>
    </row>
    <row r="828" spans="9:9" ht="15" customHeight="1">
      <c r="I828" s="37">
        <f t="shared" si="41"/>
        <v>0</v>
      </c>
    </row>
    <row r="829" spans="9:9" ht="15" customHeight="1">
      <c r="I829" s="37">
        <f t="shared" si="41"/>
        <v>0</v>
      </c>
    </row>
    <row r="830" spans="9:9" ht="15" customHeight="1">
      <c r="I830" s="37">
        <f t="shared" si="41"/>
        <v>0</v>
      </c>
    </row>
    <row r="831" spans="9:9" ht="15" customHeight="1">
      <c r="I831" s="37">
        <f t="shared" si="41"/>
        <v>0</v>
      </c>
    </row>
    <row r="832" spans="9:9" ht="15" customHeight="1">
      <c r="I832" s="37">
        <f t="shared" si="41"/>
        <v>0</v>
      </c>
    </row>
    <row r="833" spans="9:9" ht="15" customHeight="1">
      <c r="I833" s="37">
        <f t="shared" si="41"/>
        <v>0</v>
      </c>
    </row>
    <row r="834" spans="9:9" ht="15" customHeight="1">
      <c r="I834" s="37">
        <f t="shared" si="41"/>
        <v>0</v>
      </c>
    </row>
    <row r="835" spans="9:9" ht="15" customHeight="1">
      <c r="I835" s="37">
        <f t="shared" si="41"/>
        <v>0</v>
      </c>
    </row>
    <row r="836" spans="9:9" ht="15" customHeight="1">
      <c r="I836" s="37">
        <f t="shared" si="41"/>
        <v>0</v>
      </c>
    </row>
    <row r="837" spans="9:9" ht="15" customHeight="1">
      <c r="I837" s="37">
        <f t="shared" si="41"/>
        <v>0</v>
      </c>
    </row>
    <row r="838" spans="9:9" ht="15" customHeight="1">
      <c r="I838" s="37">
        <f t="shared" ref="I838:I901" si="42">J838+K838+L838+M838+N838+O838+P838+Q838+R838+S838+T838+U838</f>
        <v>0</v>
      </c>
    </row>
    <row r="839" spans="9:9" ht="15" customHeight="1">
      <c r="I839" s="37">
        <f t="shared" si="42"/>
        <v>0</v>
      </c>
    </row>
    <row r="840" spans="9:9" ht="15" customHeight="1">
      <c r="I840" s="37">
        <f t="shared" si="42"/>
        <v>0</v>
      </c>
    </row>
    <row r="841" spans="9:9" ht="15" customHeight="1">
      <c r="I841" s="37">
        <f t="shared" si="42"/>
        <v>0</v>
      </c>
    </row>
    <row r="842" spans="9:9" ht="15" customHeight="1">
      <c r="I842" s="37">
        <f t="shared" si="42"/>
        <v>0</v>
      </c>
    </row>
    <row r="843" spans="9:9" ht="15" customHeight="1">
      <c r="I843" s="37">
        <f t="shared" si="42"/>
        <v>0</v>
      </c>
    </row>
    <row r="844" spans="9:9" ht="15" customHeight="1">
      <c r="I844" s="37">
        <f t="shared" si="42"/>
        <v>0</v>
      </c>
    </row>
    <row r="845" spans="9:9" ht="15" customHeight="1">
      <c r="I845" s="37">
        <f t="shared" si="42"/>
        <v>0</v>
      </c>
    </row>
    <row r="846" spans="9:9" ht="15" customHeight="1">
      <c r="I846" s="37">
        <f t="shared" si="42"/>
        <v>0</v>
      </c>
    </row>
    <row r="847" spans="9:9" ht="15" customHeight="1">
      <c r="I847" s="37">
        <f t="shared" si="42"/>
        <v>0</v>
      </c>
    </row>
    <row r="848" spans="9:9" ht="15" customHeight="1">
      <c r="I848" s="37">
        <f t="shared" si="42"/>
        <v>0</v>
      </c>
    </row>
    <row r="849" spans="9:9" ht="15" customHeight="1">
      <c r="I849" s="37">
        <f t="shared" si="42"/>
        <v>0</v>
      </c>
    </row>
    <row r="850" spans="9:9" ht="15" customHeight="1">
      <c r="I850" s="37">
        <f t="shared" si="42"/>
        <v>0</v>
      </c>
    </row>
    <row r="851" spans="9:9" ht="15" customHeight="1">
      <c r="I851" s="37">
        <f t="shared" si="42"/>
        <v>0</v>
      </c>
    </row>
    <row r="852" spans="9:9" ht="15" customHeight="1">
      <c r="I852" s="37">
        <f t="shared" si="42"/>
        <v>0</v>
      </c>
    </row>
    <row r="853" spans="9:9" ht="15" customHeight="1">
      <c r="I853" s="37">
        <f t="shared" si="42"/>
        <v>0</v>
      </c>
    </row>
    <row r="854" spans="9:9" ht="15" customHeight="1">
      <c r="I854" s="37">
        <f t="shared" si="42"/>
        <v>0</v>
      </c>
    </row>
    <row r="855" spans="9:9" ht="15" customHeight="1">
      <c r="I855" s="37">
        <f t="shared" si="42"/>
        <v>0</v>
      </c>
    </row>
    <row r="856" spans="9:9" ht="15" customHeight="1">
      <c r="I856" s="37">
        <f t="shared" si="42"/>
        <v>0</v>
      </c>
    </row>
    <row r="857" spans="9:9" ht="15" customHeight="1">
      <c r="I857" s="37">
        <f t="shared" si="42"/>
        <v>0</v>
      </c>
    </row>
    <row r="858" spans="9:9" ht="15" customHeight="1">
      <c r="I858" s="37">
        <f t="shared" si="42"/>
        <v>0</v>
      </c>
    </row>
    <row r="859" spans="9:9" ht="15" customHeight="1">
      <c r="I859" s="37">
        <f t="shared" si="42"/>
        <v>0</v>
      </c>
    </row>
    <row r="860" spans="9:9" ht="15" customHeight="1">
      <c r="I860" s="37">
        <f t="shared" si="42"/>
        <v>0</v>
      </c>
    </row>
    <row r="861" spans="9:9" ht="15" customHeight="1">
      <c r="I861" s="37">
        <f t="shared" si="42"/>
        <v>0</v>
      </c>
    </row>
    <row r="862" spans="9:9" ht="15" customHeight="1">
      <c r="I862" s="37">
        <f t="shared" si="42"/>
        <v>0</v>
      </c>
    </row>
    <row r="863" spans="9:9" ht="15" customHeight="1">
      <c r="I863" s="37">
        <f t="shared" si="42"/>
        <v>0</v>
      </c>
    </row>
    <row r="864" spans="9:9" ht="15" customHeight="1">
      <c r="I864" s="37">
        <f t="shared" si="42"/>
        <v>0</v>
      </c>
    </row>
    <row r="865" spans="9:9" ht="15" customHeight="1">
      <c r="I865" s="37">
        <f t="shared" si="42"/>
        <v>0</v>
      </c>
    </row>
    <row r="866" spans="9:9" ht="15" customHeight="1">
      <c r="I866" s="37">
        <f t="shared" si="42"/>
        <v>0</v>
      </c>
    </row>
    <row r="867" spans="9:9" ht="15" customHeight="1">
      <c r="I867" s="37">
        <f t="shared" si="42"/>
        <v>0</v>
      </c>
    </row>
    <row r="868" spans="9:9" ht="15" customHeight="1">
      <c r="I868" s="37">
        <f t="shared" si="42"/>
        <v>0</v>
      </c>
    </row>
    <row r="869" spans="9:9" ht="15" customHeight="1">
      <c r="I869" s="37">
        <f t="shared" si="42"/>
        <v>0</v>
      </c>
    </row>
    <row r="870" spans="9:9" ht="15" customHeight="1">
      <c r="I870" s="37">
        <f t="shared" si="42"/>
        <v>0</v>
      </c>
    </row>
    <row r="871" spans="9:9" ht="15" customHeight="1">
      <c r="I871" s="37">
        <f t="shared" si="42"/>
        <v>0</v>
      </c>
    </row>
    <row r="872" spans="9:9" ht="15" customHeight="1">
      <c r="I872" s="37">
        <f t="shared" si="42"/>
        <v>0</v>
      </c>
    </row>
    <row r="873" spans="9:9" ht="15" customHeight="1">
      <c r="I873" s="37">
        <f t="shared" si="42"/>
        <v>0</v>
      </c>
    </row>
    <row r="874" spans="9:9" ht="15" customHeight="1">
      <c r="I874" s="37">
        <f t="shared" si="42"/>
        <v>0</v>
      </c>
    </row>
    <row r="875" spans="9:9" ht="15" customHeight="1">
      <c r="I875" s="37">
        <f t="shared" si="42"/>
        <v>0</v>
      </c>
    </row>
    <row r="876" spans="9:9" ht="15" customHeight="1">
      <c r="I876" s="37">
        <f t="shared" si="42"/>
        <v>0</v>
      </c>
    </row>
    <row r="877" spans="9:9" ht="15" customHeight="1">
      <c r="I877" s="37">
        <f t="shared" si="42"/>
        <v>0</v>
      </c>
    </row>
    <row r="878" spans="9:9" ht="15" customHeight="1">
      <c r="I878" s="37">
        <f t="shared" si="42"/>
        <v>0</v>
      </c>
    </row>
    <row r="879" spans="9:9" ht="15" customHeight="1">
      <c r="I879" s="37">
        <f t="shared" si="42"/>
        <v>0</v>
      </c>
    </row>
    <row r="880" spans="9:9" ht="15" customHeight="1">
      <c r="I880" s="37">
        <f t="shared" si="42"/>
        <v>0</v>
      </c>
    </row>
    <row r="881" spans="9:9" ht="15" customHeight="1">
      <c r="I881" s="37">
        <f t="shared" si="42"/>
        <v>0</v>
      </c>
    </row>
    <row r="882" spans="9:9" ht="15" customHeight="1">
      <c r="I882" s="37">
        <f t="shared" si="42"/>
        <v>0</v>
      </c>
    </row>
    <row r="883" spans="9:9" ht="15" customHeight="1">
      <c r="I883" s="37">
        <f t="shared" si="42"/>
        <v>0</v>
      </c>
    </row>
    <row r="884" spans="9:9" ht="15" customHeight="1">
      <c r="I884" s="37">
        <f t="shared" si="42"/>
        <v>0</v>
      </c>
    </row>
    <row r="885" spans="9:9" ht="15" customHeight="1">
      <c r="I885" s="37">
        <f t="shared" si="42"/>
        <v>0</v>
      </c>
    </row>
    <row r="886" spans="9:9" ht="15" customHeight="1">
      <c r="I886" s="37">
        <f t="shared" si="42"/>
        <v>0</v>
      </c>
    </row>
    <row r="887" spans="9:9" ht="15" customHeight="1">
      <c r="I887" s="37">
        <f t="shared" si="42"/>
        <v>0</v>
      </c>
    </row>
    <row r="888" spans="9:9" ht="15" customHeight="1">
      <c r="I888" s="37">
        <f t="shared" si="42"/>
        <v>0</v>
      </c>
    </row>
    <row r="889" spans="9:9" ht="15" customHeight="1">
      <c r="I889" s="37">
        <f t="shared" si="42"/>
        <v>0</v>
      </c>
    </row>
    <row r="890" spans="9:9" ht="15" customHeight="1">
      <c r="I890" s="37">
        <f t="shared" si="42"/>
        <v>0</v>
      </c>
    </row>
    <row r="891" spans="9:9" ht="15" customHeight="1">
      <c r="I891" s="37">
        <f t="shared" si="42"/>
        <v>0</v>
      </c>
    </row>
    <row r="892" spans="9:9" ht="15" customHeight="1">
      <c r="I892" s="37">
        <f t="shared" si="42"/>
        <v>0</v>
      </c>
    </row>
    <row r="893" spans="9:9" ht="15" customHeight="1">
      <c r="I893" s="37">
        <f t="shared" si="42"/>
        <v>0</v>
      </c>
    </row>
    <row r="894" spans="9:9" ht="15" customHeight="1">
      <c r="I894" s="37">
        <f t="shared" si="42"/>
        <v>0</v>
      </c>
    </row>
    <row r="895" spans="9:9" ht="15" customHeight="1">
      <c r="I895" s="37">
        <f t="shared" si="42"/>
        <v>0</v>
      </c>
    </row>
    <row r="896" spans="9:9" ht="15" customHeight="1">
      <c r="I896" s="37">
        <f t="shared" si="42"/>
        <v>0</v>
      </c>
    </row>
    <row r="897" spans="9:9" ht="15" customHeight="1">
      <c r="I897" s="37">
        <f t="shared" si="42"/>
        <v>0</v>
      </c>
    </row>
    <row r="898" spans="9:9" ht="15" customHeight="1">
      <c r="I898" s="37">
        <f t="shared" si="42"/>
        <v>0</v>
      </c>
    </row>
    <row r="899" spans="9:9" ht="15" customHeight="1">
      <c r="I899" s="37">
        <f t="shared" si="42"/>
        <v>0</v>
      </c>
    </row>
    <row r="900" spans="9:9" ht="15" customHeight="1">
      <c r="I900" s="37">
        <f t="shared" si="42"/>
        <v>0</v>
      </c>
    </row>
    <row r="901" spans="9:9" ht="15" customHeight="1">
      <c r="I901" s="37">
        <f t="shared" si="42"/>
        <v>0</v>
      </c>
    </row>
    <row r="902" spans="9:9" ht="15" customHeight="1">
      <c r="I902" s="37">
        <f t="shared" ref="I902:I938" si="43">J902+K902+L902+M902+N902+O902+P902+Q902+R902+S902+T902+U902</f>
        <v>0</v>
      </c>
    </row>
    <row r="903" spans="9:9" ht="15" customHeight="1">
      <c r="I903" s="37">
        <f t="shared" si="43"/>
        <v>0</v>
      </c>
    </row>
    <row r="904" spans="9:9" ht="15" customHeight="1">
      <c r="I904" s="37">
        <f t="shared" si="43"/>
        <v>0</v>
      </c>
    </row>
    <row r="905" spans="9:9" ht="15" customHeight="1">
      <c r="I905" s="37">
        <f t="shared" si="43"/>
        <v>0</v>
      </c>
    </row>
    <row r="906" spans="9:9" ht="15" customHeight="1">
      <c r="I906" s="37">
        <f t="shared" si="43"/>
        <v>0</v>
      </c>
    </row>
    <row r="907" spans="9:9" ht="15" customHeight="1">
      <c r="I907" s="37">
        <f t="shared" si="43"/>
        <v>0</v>
      </c>
    </row>
    <row r="908" spans="9:9" ht="15" customHeight="1">
      <c r="I908" s="37">
        <f t="shared" si="43"/>
        <v>0</v>
      </c>
    </row>
    <row r="909" spans="9:9" ht="15" customHeight="1">
      <c r="I909" s="37">
        <f t="shared" si="43"/>
        <v>0</v>
      </c>
    </row>
    <row r="910" spans="9:9" ht="15" customHeight="1">
      <c r="I910" s="37">
        <f t="shared" si="43"/>
        <v>0</v>
      </c>
    </row>
    <row r="911" spans="9:9" ht="15" customHeight="1">
      <c r="I911" s="37">
        <f t="shared" si="43"/>
        <v>0</v>
      </c>
    </row>
    <row r="912" spans="9:9" ht="15" customHeight="1">
      <c r="I912" s="37">
        <f t="shared" si="43"/>
        <v>0</v>
      </c>
    </row>
    <row r="913" spans="9:9" ht="15" customHeight="1">
      <c r="I913" s="37">
        <f t="shared" si="43"/>
        <v>0</v>
      </c>
    </row>
    <row r="914" spans="9:9" ht="15" customHeight="1">
      <c r="I914" s="37">
        <f t="shared" si="43"/>
        <v>0</v>
      </c>
    </row>
    <row r="915" spans="9:9" ht="15" customHeight="1">
      <c r="I915" s="37">
        <f t="shared" si="43"/>
        <v>0</v>
      </c>
    </row>
    <row r="916" spans="9:9" ht="15" customHeight="1">
      <c r="I916" s="37">
        <f t="shared" si="43"/>
        <v>0</v>
      </c>
    </row>
    <row r="917" spans="9:9" ht="15" customHeight="1">
      <c r="I917" s="37">
        <f t="shared" si="43"/>
        <v>0</v>
      </c>
    </row>
    <row r="918" spans="9:9" ht="15" customHeight="1">
      <c r="I918" s="37">
        <f t="shared" si="43"/>
        <v>0</v>
      </c>
    </row>
    <row r="919" spans="9:9" ht="15" customHeight="1">
      <c r="I919" s="37">
        <f t="shared" si="43"/>
        <v>0</v>
      </c>
    </row>
    <row r="920" spans="9:9" ht="15" customHeight="1">
      <c r="I920" s="37">
        <f t="shared" si="43"/>
        <v>0</v>
      </c>
    </row>
    <row r="921" spans="9:9" ht="15" customHeight="1">
      <c r="I921" s="37">
        <f t="shared" si="43"/>
        <v>0</v>
      </c>
    </row>
    <row r="922" spans="9:9" ht="15" customHeight="1">
      <c r="I922" s="37">
        <f t="shared" si="43"/>
        <v>0</v>
      </c>
    </row>
    <row r="923" spans="9:9" ht="15" customHeight="1">
      <c r="I923" s="37">
        <f t="shared" si="43"/>
        <v>0</v>
      </c>
    </row>
    <row r="924" spans="9:9" ht="15" customHeight="1">
      <c r="I924" s="37">
        <f t="shared" si="43"/>
        <v>0</v>
      </c>
    </row>
    <row r="925" spans="9:9" ht="15" customHeight="1">
      <c r="I925" s="37">
        <f t="shared" si="43"/>
        <v>0</v>
      </c>
    </row>
    <row r="926" spans="9:9" ht="15" customHeight="1">
      <c r="I926" s="37">
        <f t="shared" si="43"/>
        <v>0</v>
      </c>
    </row>
    <row r="927" spans="9:9" ht="15" customHeight="1">
      <c r="I927" s="37">
        <f t="shared" si="43"/>
        <v>0</v>
      </c>
    </row>
    <row r="928" spans="9:9" ht="15" customHeight="1">
      <c r="I928" s="37">
        <f t="shared" si="43"/>
        <v>0</v>
      </c>
    </row>
    <row r="929" spans="9:9" ht="15" customHeight="1">
      <c r="I929" s="37">
        <f t="shared" si="43"/>
        <v>0</v>
      </c>
    </row>
    <row r="930" spans="9:9" ht="15" customHeight="1">
      <c r="I930" s="37">
        <f t="shared" si="43"/>
        <v>0</v>
      </c>
    </row>
    <row r="931" spans="9:9" ht="15" customHeight="1">
      <c r="I931" s="37">
        <f t="shared" si="43"/>
        <v>0</v>
      </c>
    </row>
    <row r="932" spans="9:9" ht="15" customHeight="1">
      <c r="I932" s="37">
        <f t="shared" si="43"/>
        <v>0</v>
      </c>
    </row>
    <row r="933" spans="9:9" ht="15" customHeight="1">
      <c r="I933" s="37">
        <f t="shared" si="43"/>
        <v>0</v>
      </c>
    </row>
    <row r="934" spans="9:9" ht="15" customHeight="1">
      <c r="I934" s="37">
        <f t="shared" si="43"/>
        <v>0</v>
      </c>
    </row>
    <row r="935" spans="9:9" ht="15" customHeight="1">
      <c r="I935" s="37">
        <f t="shared" si="43"/>
        <v>0</v>
      </c>
    </row>
    <row r="936" spans="9:9" ht="15" customHeight="1">
      <c r="I936" s="37">
        <f t="shared" si="43"/>
        <v>0</v>
      </c>
    </row>
    <row r="937" spans="9:9" ht="15" customHeight="1">
      <c r="I937" s="37">
        <f t="shared" si="43"/>
        <v>0</v>
      </c>
    </row>
    <row r="938" spans="9:9" ht="15" customHeight="1">
      <c r="I938" s="37">
        <f t="shared" si="43"/>
        <v>0</v>
      </c>
    </row>
    <row r="42504" spans="23:23" ht="15" customHeight="1">
      <c r="W42504" s="4">
        <v>2</v>
      </c>
    </row>
  </sheetData>
  <sheetProtection selectLockedCells="1"/>
  <protectedRanges>
    <protectedRange password="82DF" sqref="C533:C542" name="区域1"/>
    <protectedRange password="82DF" sqref="B533:B542" name="区域1_1"/>
    <protectedRange password="82DF" sqref="E533:F542" name="区域2"/>
    <protectedRange password="82DF" sqref="G533:H542" name="区域2_1"/>
    <protectedRange password="82DF" sqref="B557:B574 B547:B555 B580:B581 B576:B578 B544 B583:B587 B590:B616" name="区域1_2"/>
    <protectedRange password="82DF" sqref="B588:B589" name="区域1_1_1"/>
    <protectedRange password="82DF" sqref="B546" name="区域1_4"/>
    <protectedRange password="82DF" sqref="B543" name="区域1_5"/>
    <protectedRange password="82DF" sqref="B545" name="区域1_6"/>
    <protectedRange password="82DF" sqref="B617:B626" name="区域1_4_1"/>
    <protectedRange password="82DF" sqref="B556" name="区域1_8"/>
    <protectedRange password="82DF" sqref="B579" name="区域1_9"/>
    <protectedRange password="82DF" sqref="B582" name="区域1_10"/>
    <protectedRange password="82DF" sqref="C557:C578 C580:C581 C544 C547:C555 C583:C587 C590:C616" name="区域1_3"/>
    <protectedRange password="82DF" sqref="C588:C589" name="区域1_1_2"/>
    <protectedRange password="82DF" sqref="C546" name="区域1_4_2"/>
    <protectedRange password="82DF" sqref="C543" name="区域1_5_1"/>
    <protectedRange password="82DF" sqref="C545" name="区域1_6_1"/>
    <protectedRange password="82DF" sqref="C617:C626" name="区域1_5_1_1"/>
    <protectedRange password="82DF" sqref="C556" name="区域1_8_1"/>
    <protectedRange password="82DF" sqref="C579" name="区域1_9_1"/>
    <protectedRange password="82DF" sqref="C582" name="区域1_10_1"/>
    <protectedRange sqref="D557:D572" name="区域3"/>
    <protectedRange password="82DF" sqref="E557:F578 E580:F581 E544:F544 E547:F555 E583:F587 E590:F616" name="区域2_2"/>
    <protectedRange password="82DF" sqref="E588:F589" name="区域2_5"/>
    <protectedRange password="82DF" sqref="E617:F626" name="区域2_20"/>
    <protectedRange password="82DF" sqref="G580:H581 G544:H544 G547:H555 G583:H616 G557:H578" name="区域2_3"/>
    <protectedRange password="82DF" sqref="A544 A547:A555 A557:A587 A590:A616" name="区域1_7"/>
    <protectedRange password="82DF" sqref="A588:A589" name="区域1_1_3"/>
    <protectedRange password="82DF" sqref="A546" name="区域1_4_3"/>
    <protectedRange password="82DF" sqref="A543" name="区域1_5_2"/>
    <protectedRange password="82DF" sqref="A545" name="区域1_6_2"/>
    <protectedRange password="82DF" sqref="A617:A626" name="区域1_7_1"/>
    <protectedRange password="82DF" sqref="A556" name="区域1_8_2"/>
  </protectedRanges>
  <autoFilter ref="A4:Z626">
    <filterColumn colId="4"/>
    <filterColumn colId="7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mergeCells count="1">
    <mergeCell ref="X1:Y1"/>
  </mergeCells>
  <phoneticPr fontId="21" type="noConversion"/>
  <conditionalFormatting sqref="B251:B254 B247 B219:B222 B228:B233 B212:B215 B175:B188 B120:B130 B97 B101 B64 B99">
    <cfRule type="cellIs" priority="4" stopIfTrue="1" operator="notBetween">
      <formula>#REF!</formula>
      <formula>#REF!</formula>
    </cfRule>
  </conditionalFormatting>
  <conditionalFormatting sqref="Y5:Y626">
    <cfRule type="cellIs" dxfId="0" priority="3" operator="equal">
      <formula>"保养"</formula>
    </cfRule>
  </conditionalFormatting>
  <conditionalFormatting sqref="B551 B548">
    <cfRule type="cellIs" priority="1" stopIfTrue="1" operator="notBetween">
      <formula>#REF!</formula>
      <formula>#REF!</formula>
    </cfRule>
  </conditionalFormatting>
  <dataValidations count="1">
    <dataValidation type="list" allowBlank="1" showInputMessage="1" showErrorMessage="1" sqref="F2">
      <formula1>$BF$16:$BF$27</formula1>
    </dataValidation>
  </dataValidations>
  <pageMargins left="0.19652777777777777" right="0.19652777777777777" top="0.31458333333333333" bottom="0.19652777777777777" header="0.31458333333333333" footer="0.31458333333333333"/>
  <pageSetup paperSize="9" scale="90" firstPageNumber="4294963191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4"/>
  <sheetViews>
    <sheetView workbookViewId="0">
      <selection activeCell="O4" sqref="O4"/>
    </sheetView>
  </sheetViews>
  <sheetFormatPr defaultRowHeight="15"/>
  <cols>
    <col min="1" max="1" width="5.85546875" style="22" customWidth="1"/>
    <col min="2" max="3" width="9.140625" style="22"/>
    <col min="4" max="4" width="14.42578125" style="22" customWidth="1"/>
    <col min="5" max="5" width="29.140625" style="22" customWidth="1"/>
    <col min="6" max="6" width="16.140625" style="22" customWidth="1"/>
    <col min="7" max="10" width="9.140625" style="22"/>
    <col min="11" max="11" width="11.85546875" style="22" customWidth="1"/>
    <col min="12" max="12" width="7.140625" style="22" customWidth="1"/>
    <col min="13" max="16384" width="9.140625" style="22"/>
  </cols>
  <sheetData>
    <row r="1" spans="1:12" ht="45" customHeight="1">
      <c r="A1" s="175" t="s">
        <v>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</row>
    <row r="2" spans="1:12" s="33" customFormat="1" ht="38.25" customHeight="1">
      <c r="A2" s="176" t="s">
        <v>0</v>
      </c>
      <c r="B2" s="177"/>
      <c r="C2" s="178"/>
      <c r="D2" s="178"/>
      <c r="E2" s="34" t="s">
        <v>10</v>
      </c>
      <c r="F2" s="178" t="s">
        <v>11</v>
      </c>
      <c r="G2" s="178"/>
      <c r="H2" s="178"/>
      <c r="I2" s="176" t="s">
        <v>12</v>
      </c>
      <c r="J2" s="177"/>
      <c r="K2" s="177"/>
      <c r="L2" s="179"/>
    </row>
    <row r="3" spans="1:12" ht="25.5" customHeight="1">
      <c r="A3" s="23" t="s">
        <v>13</v>
      </c>
      <c r="B3" s="169" t="s">
        <v>14</v>
      </c>
      <c r="C3" s="170"/>
      <c r="D3" s="170"/>
      <c r="E3" s="171"/>
      <c r="F3" s="24" t="s">
        <v>15</v>
      </c>
      <c r="G3" s="24" t="s">
        <v>16</v>
      </c>
      <c r="H3" s="24" t="s">
        <v>17</v>
      </c>
      <c r="I3" s="172" t="s">
        <v>18</v>
      </c>
      <c r="J3" s="173"/>
      <c r="K3" s="173"/>
      <c r="L3" s="174"/>
    </row>
    <row r="4" spans="1:12" ht="38.25" customHeight="1">
      <c r="A4" s="23">
        <v>1</v>
      </c>
      <c r="B4" s="180" t="s">
        <v>19</v>
      </c>
      <c r="C4" s="181"/>
      <c r="D4" s="181"/>
      <c r="E4" s="182"/>
      <c r="F4" s="183" t="s">
        <v>20</v>
      </c>
      <c r="G4" s="25"/>
      <c r="H4" s="25"/>
      <c r="I4" s="169"/>
      <c r="J4" s="170"/>
      <c r="K4" s="170"/>
      <c r="L4" s="171"/>
    </row>
    <row r="5" spans="1:12" ht="38.25" customHeight="1">
      <c r="A5" s="23">
        <v>2</v>
      </c>
      <c r="B5" s="180" t="s">
        <v>21</v>
      </c>
      <c r="C5" s="181"/>
      <c r="D5" s="181" t="s">
        <v>22</v>
      </c>
      <c r="E5" s="182"/>
      <c r="F5" s="184"/>
      <c r="G5" s="25"/>
      <c r="H5" s="25"/>
      <c r="I5" s="169"/>
      <c r="J5" s="170"/>
      <c r="K5" s="170"/>
      <c r="L5" s="171"/>
    </row>
    <row r="6" spans="1:12" ht="38.25" customHeight="1">
      <c r="A6" s="23">
        <v>3</v>
      </c>
      <c r="B6" s="180" t="s">
        <v>23</v>
      </c>
      <c r="C6" s="181"/>
      <c r="D6" s="181" t="s">
        <v>24</v>
      </c>
      <c r="E6" s="182"/>
      <c r="F6" s="184"/>
      <c r="G6" s="25"/>
      <c r="H6" s="25"/>
      <c r="I6" s="169"/>
      <c r="J6" s="170"/>
      <c r="K6" s="170"/>
      <c r="L6" s="171"/>
    </row>
    <row r="7" spans="1:12" ht="38.25" customHeight="1">
      <c r="A7" s="23">
        <v>4</v>
      </c>
      <c r="B7" s="180" t="s">
        <v>25</v>
      </c>
      <c r="C7" s="181"/>
      <c r="D7" s="181" t="s">
        <v>26</v>
      </c>
      <c r="E7" s="182"/>
      <c r="F7" s="184"/>
      <c r="G7" s="25"/>
      <c r="H7" s="25"/>
      <c r="I7" s="169"/>
      <c r="J7" s="170"/>
      <c r="K7" s="170"/>
      <c r="L7" s="171"/>
    </row>
    <row r="8" spans="1:12" ht="38.25" customHeight="1">
      <c r="A8" s="23">
        <v>5</v>
      </c>
      <c r="B8" s="180" t="s">
        <v>27</v>
      </c>
      <c r="C8" s="181"/>
      <c r="D8" s="181" t="s">
        <v>28</v>
      </c>
      <c r="E8" s="182"/>
      <c r="F8" s="184"/>
      <c r="G8" s="25"/>
      <c r="H8" s="25"/>
      <c r="I8" s="169"/>
      <c r="J8" s="170"/>
      <c r="K8" s="170"/>
      <c r="L8" s="171"/>
    </row>
    <row r="9" spans="1:12" ht="38.25" customHeight="1">
      <c r="A9" s="23">
        <v>6</v>
      </c>
      <c r="B9" s="180" t="s">
        <v>29</v>
      </c>
      <c r="C9" s="181"/>
      <c r="D9" s="181"/>
      <c r="E9" s="182"/>
      <c r="F9" s="185"/>
      <c r="G9" s="25"/>
      <c r="H9" s="25"/>
      <c r="I9" s="169"/>
      <c r="J9" s="170"/>
      <c r="K9" s="170"/>
      <c r="L9" s="171"/>
    </row>
    <row r="10" spans="1:12" ht="38.25" customHeight="1">
      <c r="A10" s="23">
        <v>7</v>
      </c>
      <c r="B10" s="180" t="s">
        <v>30</v>
      </c>
      <c r="C10" s="181"/>
      <c r="D10" s="181"/>
      <c r="E10" s="182"/>
      <c r="F10" s="26" t="s">
        <v>31</v>
      </c>
      <c r="G10" s="25"/>
      <c r="H10" s="25"/>
      <c r="I10" s="169"/>
      <c r="J10" s="170"/>
      <c r="K10" s="170"/>
      <c r="L10" s="171"/>
    </row>
    <row r="11" spans="1:12" ht="38.25" customHeight="1">
      <c r="A11" s="23">
        <v>8</v>
      </c>
      <c r="B11" s="180" t="s">
        <v>32</v>
      </c>
      <c r="C11" s="181"/>
      <c r="D11" s="181" t="s">
        <v>33</v>
      </c>
      <c r="E11" s="182"/>
      <c r="F11" s="23" t="s">
        <v>34</v>
      </c>
      <c r="G11" s="25"/>
      <c r="H11" s="25"/>
      <c r="I11" s="169"/>
      <c r="J11" s="170"/>
      <c r="K11" s="170"/>
      <c r="L11" s="171"/>
    </row>
    <row r="12" spans="1:12" ht="38.25" customHeight="1">
      <c r="A12" s="23">
        <v>9</v>
      </c>
      <c r="B12" s="180" t="s">
        <v>35</v>
      </c>
      <c r="C12" s="181"/>
      <c r="D12" s="181" t="s">
        <v>36</v>
      </c>
      <c r="E12" s="182"/>
      <c r="F12" s="23" t="s">
        <v>37</v>
      </c>
      <c r="G12" s="25"/>
      <c r="H12" s="25"/>
      <c r="I12" s="169"/>
      <c r="J12" s="170"/>
      <c r="K12" s="170"/>
      <c r="L12" s="171"/>
    </row>
    <row r="13" spans="1:12" ht="33.75" customHeight="1">
      <c r="A13" s="27" t="s">
        <v>38</v>
      </c>
      <c r="B13" s="28"/>
      <c r="C13" s="28"/>
      <c r="D13" s="28"/>
      <c r="E13" s="29" t="s">
        <v>39</v>
      </c>
      <c r="F13" s="28"/>
      <c r="G13" s="27" t="s">
        <v>40</v>
      </c>
      <c r="H13" s="30"/>
      <c r="I13" s="28"/>
      <c r="J13" s="28"/>
      <c r="K13" s="30"/>
      <c r="L13" s="31"/>
    </row>
    <row r="14" spans="1:12">
      <c r="A14" s="32" t="s">
        <v>41</v>
      </c>
      <c r="J14" s="33" t="s">
        <v>42</v>
      </c>
    </row>
  </sheetData>
  <mergeCells count="26">
    <mergeCell ref="B12:E12"/>
    <mergeCell ref="I12:L12"/>
    <mergeCell ref="I8:L8"/>
    <mergeCell ref="B9:E9"/>
    <mergeCell ref="I9:L9"/>
    <mergeCell ref="B10:E10"/>
    <mergeCell ref="I10:L10"/>
    <mergeCell ref="B11:E11"/>
    <mergeCell ref="I11:L11"/>
    <mergeCell ref="B4:E4"/>
    <mergeCell ref="F4:F9"/>
    <mergeCell ref="I4:L4"/>
    <mergeCell ref="B5:E5"/>
    <mergeCell ref="I5:L5"/>
    <mergeCell ref="B6:E6"/>
    <mergeCell ref="I6:L6"/>
    <mergeCell ref="B7:E7"/>
    <mergeCell ref="I7:L7"/>
    <mergeCell ref="B8:E8"/>
    <mergeCell ref="B3:E3"/>
    <mergeCell ref="I3:L3"/>
    <mergeCell ref="A1:L1"/>
    <mergeCell ref="A2:B2"/>
    <mergeCell ref="C2:D2"/>
    <mergeCell ref="F2:H2"/>
    <mergeCell ref="I2:L2"/>
  </mergeCells>
  <phoneticPr fontId="21" type="noConversion"/>
  <pageMargins left="0.70866141732283472" right="0.70866141732283472" top="0.74803149606299213" bottom="0.74803149606299213" header="0.31496062992125984" footer="0.31496062992125984"/>
  <pageSetup paperSize="9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2016年SEMC模具保养计划表</vt:lpstr>
      <vt:lpstr>模具 保养记录表</vt:lpstr>
      <vt:lpstr>'2016年SEMC模具保养计划表'!Print_Area</vt:lpstr>
      <vt:lpstr>'2016年SEMC模具保养计划表'!Print_Titles</vt:lpstr>
    </vt:vector>
  </TitlesOfParts>
  <Company>schneider</Company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871057</dc:creator>
  <cp:lastModifiedBy>SESA384748</cp:lastModifiedBy>
  <cp:revision/>
  <cp:lastPrinted>2016-01-18T07:07:54Z</cp:lastPrinted>
  <dcterms:created xsi:type="dcterms:W3CDTF">2009-03-25T04:45:57Z</dcterms:created>
  <dcterms:modified xsi:type="dcterms:W3CDTF">2016-05-14T02:32:31Z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2052-8.1.0.3526</vt:lpwstr>
  </property>
</Properties>
</file>