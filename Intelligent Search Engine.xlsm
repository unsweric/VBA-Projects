
<file path=[Content_Types].xml><?xml version="1.0" encoding="utf-8"?>
<Types xmlns="http://schemas.openxmlformats.org/package/2006/content-types">
  <Override PartName="/xl/externalLinks/externalLink127.xml" ContentType="application/vnd.openxmlformats-officedocument.spreadsheetml.externalLink+xml"/>
  <Override PartName="/xl/externalLinks/externalLink174.xml" ContentType="application/vnd.openxmlformats-officedocument.spreadsheetml.externalLink+xml"/>
  <Override PartName="/xl/worksheets/sheet13.xml" ContentType="application/vnd.openxmlformats-officedocument.spreadsheetml.worksheet+xml"/>
  <Override PartName="/xl/externalLinks/externalLink3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63.xml" ContentType="application/vnd.openxmlformats-officedocument.spreadsheetml.externalLink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xternalLinks/externalLink27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52.xml" ContentType="application/vnd.openxmlformats-officedocument.spreadsheetml.externalLink+xml"/>
  <Default Extension="xml" ContentType="application/xml"/>
  <Override PartName="/xl/externalLinks/externalLink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130.xml" ContentType="application/vnd.openxmlformats-officedocument.spreadsheetml.externalLink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externalLinks/externalLink41.xml" ContentType="application/vnd.openxmlformats-officedocument.spreadsheetml.externalLink+xml"/>
  <Override PartName="/xl/externalLinks/externalLink52.xml" ContentType="application/vnd.openxmlformats-officedocument.spreadsheetml.externalLink+xml"/>
  <Override PartName="/xl/charts/chart27.xml" ContentType="application/vnd.openxmlformats-officedocument.drawingml.chart+xml"/>
  <Override PartName="/xl/externalLinks/externalLink30.xml" ContentType="application/vnd.openxmlformats-officedocument.spreadsheetml.externalLink+xml"/>
  <Override PartName="/xl/charts/chart16.xml" ContentType="application/vnd.openxmlformats-officedocument.drawingml.chart+xml"/>
  <Override PartName="/xl/externalLinks/externalLink168.xml" ContentType="application/vnd.openxmlformats-officedocument.spreadsheetml.externalLink+xml"/>
  <Override PartName="/xl/externalLinks/externalLink157.xml" ContentType="application/vnd.openxmlformats-officedocument.spreadsheetml.externalLink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externalLinks/externalLink6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75.xml" ContentType="application/vnd.openxmlformats-officedocument.spreadsheetml.externalLink+xml"/>
  <Default Extension="bin" ContentType="application/vnd.openxmlformats-officedocument.spreadsheetml.printerSettings"/>
  <Override PartName="/xl/externalLinks/externalLink39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71.xml" ContentType="application/vnd.openxmlformats-officedocument.spreadsheetml.externalLink+xml"/>
  <Override PartName="/xl/charts/chart5.xml" ContentType="application/vnd.openxmlformats-officedocument.drawingml.chart+xml"/>
  <Override PartName="/xl/worksheets/sheet8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60.xml" ContentType="application/vnd.openxmlformats-officedocument.spreadsheetml.externalLink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2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60.xml" ContentType="application/vnd.openxmlformats-officedocument.spreadsheetml.externalLink+xml"/>
  <Override PartName="/xl/charts/chart28.xml" ContentType="application/vnd.openxmlformats-officedocument.drawingml.chart+xml"/>
  <Override PartName="/xl/externalLinks/externalLink20.xml" ContentType="application/vnd.openxmlformats-officedocument.spreadsheetml.externalLink+xml"/>
  <Override PartName="/xl/externalLinks/externalLink31.xml" ContentType="application/vnd.openxmlformats-officedocument.spreadsheetml.externalLink+xml"/>
  <Default Extension="vml" ContentType="application/vnd.openxmlformats-officedocument.vmlDrawing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externalLinks/externalLink169.xml" ContentType="application/vnd.openxmlformats-officedocument.spreadsheetml.externalLink+xml"/>
  <Override PartName="/xl/charts/chart13.xml" ContentType="application/vnd.openxmlformats-officedocument.drawingml.chart+xml"/>
  <Override PartName="/xl/charts/chart24.xml" ContentType="application/vnd.openxmlformats-officedocument.drawingml.chart+xml"/>
  <Override PartName="/xl/externalLinks/externalLink129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76.xml" ContentType="application/vnd.openxmlformats-officedocument.spreadsheetml.externalLink+xml"/>
  <Override PartName="/xl/charts/chart31.xml" ContentType="application/vnd.openxmlformats-officedocument.drawingml.chart+xml"/>
  <Override PartName="/docProps/core.xml" ContentType="application/vnd.openxmlformats-package.core-properties+xml"/>
  <Override PartName="/xl/externalLinks/externalLink69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65.xml" ContentType="application/vnd.openxmlformats-officedocument.spreadsheetml.externalLink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externalLinks/externalLink29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72.xml" ContentType="application/vnd.openxmlformats-officedocument.spreadsheetml.externalLink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externalLinks/externalLink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charts/chart2.xml" ContentType="application/vnd.openxmlformats-officedocument.drawingml.chart+xml"/>
  <Override PartName="/xl/drawings/drawing4.xml" ContentType="application/vnd.openxmlformats-officedocument.drawingml.chartshapes+xml"/>
  <Default Extension="rels" ContentType="application/vnd.openxmlformats-package.relationships+xml"/>
  <Override PartName="/xl/worksheets/sheet5.xml" ContentType="application/vnd.openxmlformats-officedocument.spreadsheetml.worksheet+xml"/>
  <Override PartName="/xl/externalLinks/externalLink25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charts/chart29.xml" ContentType="application/vnd.openxmlformats-officedocument.drawingml.chart+xml"/>
  <Override PartName="/xl/externalLinks/externalLink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110.xml" ContentType="application/vnd.openxmlformats-officedocument.spreadsheetml.externalLink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21.xml" ContentType="application/vnd.openxmlformats-officedocument.spreadsheetml.externalLink+xml"/>
  <Override PartName="/xl/externalLinks/externalLink50.xml" ContentType="application/vnd.openxmlformats-officedocument.spreadsheetml.externalLink+xml"/>
  <Override PartName="/xl/charts/chart25.xml" ContentType="application/vnd.openxmlformats-officedocument.drawingml.chart+xml"/>
  <Override PartName="/xl/externalLinks/externalLink10.xml" ContentType="application/vnd.openxmlformats-officedocument.spreadsheetml.externalLink+xml"/>
  <Override PartName="/xl/externalLinks/externalLink159.xml" ContentType="application/vnd.openxmlformats-officedocument.spreadsheetml.externalLink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externalLinks/externalLink99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charts/chart21.xml" ContentType="application/vnd.openxmlformats-officedocument.drawingml.chart+xml"/>
  <Override PartName="/xl/externalLinks/externalLink59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73.xml" ContentType="application/vnd.openxmlformats-officedocument.spreadsheetml.externalLink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externalLinks/externalLink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62.xml" ContentType="application/vnd.openxmlformats-officedocument.spreadsheetml.externalLink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37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51.xml" ContentType="application/vnd.openxmlformats-officedocument.spreadsheetml.externalLink+xml"/>
  <Override PartName="/xl/charts/chart3.xml" ContentType="application/vnd.openxmlformats-officedocument.drawingml.chart+xml"/>
  <Override PartName="/xl/externalLinks/externalLink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40.xml" ContentType="application/vnd.openxmlformats-officedocument.spreadsheetml.externalLink+xml"/>
  <Override PartName="/xl/worksheets/sheet2.xml" ContentType="application/vnd.openxmlformats-officedocument.spreadsheetml.worksheet+xml"/>
  <Override PartName="/xl/externalLinks/externalLink2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100.xml" ContentType="application/vnd.openxmlformats-officedocument.spreadsheetml.externalLink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externalLinks/externalLink11.xml" ContentType="application/vnd.openxmlformats-officedocument.spreadsheetml.externalLink+xml"/>
  <Override PartName="/xl/externalLinks/externalLink40.xml" ContentType="application/vnd.openxmlformats-officedocument.spreadsheetml.externalLink+xml"/>
  <Override PartName="/xl/charts/chart26.xml" ContentType="application/vnd.openxmlformats-officedocument.drawingml.chart+xml"/>
  <Override PartName="/xl/externalLinks/externalLink149.xml" ContentType="application/vnd.openxmlformats-officedocument.spreadsheetml.externalLink+xml"/>
  <Override PartName="/xl/externalLinks/externalLink178.xml" ContentType="application/vnd.openxmlformats-officedocument.spreadsheetml.externalLink+xml"/>
  <Override PartName="/xl/charts/chart15.xml" ContentType="application/vnd.openxmlformats-officedocument.drawingml.chart+xml"/>
  <Override PartName="/xl/externalLinks/externalLink89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67.xml" ContentType="application/vnd.openxmlformats-officedocument.spreadsheetml.externalLink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externalLinks/externalLink7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134.xml" ContentType="application/vnd.openxmlformats-officedocument.spreadsheetml.externalLink+xml"/>
  <Override PartName="/xl/worksheets/sheet7.xml" ContentType="application/vnd.openxmlformats-officedocument.spreadsheetml.worksheet+xml"/>
  <Override PartName="/xl/externalLinks/externalLink4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70.xml" ContentType="application/vnd.openxmlformats-officedocument.spreadsheetml.externalLink+xml"/>
  <Override PartName="/xl/vbaProject.bin" ContentType="application/vnd.ms-office.vbaProject"/>
  <Override PartName="/xl/externalLinks/externalLink34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12.xml" ContentType="application/vnd.openxmlformats-officedocument.spreadsheetml.externalLink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externalLinks/externalLink139.xml" ContentType="application/vnd.openxmlformats-officedocument.spreadsheetml.externalLink+xml"/>
  <Override PartName="/xl/charts/chart12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0545" windowHeight="6885" tabRatio="783" firstSheet="10" activeTab="10"/>
  </bookViews>
  <sheets>
    <sheet name="Main" sheetId="1" state="hidden" r:id="rId1"/>
    <sheet name="Data Base" sheetId="2" r:id="rId2"/>
    <sheet name="Temp-date" sheetId="4" state="hidden" r:id="rId3"/>
    <sheet name="Temp-产品系列" sheetId="5" state="hidden" r:id="rId4"/>
    <sheet name="Temp-工序" sheetId="6" state="hidden" r:id="rId5"/>
    <sheet name="Temp-班次" sheetId="7" state="hidden" r:id="rId6"/>
    <sheet name="Result" sheetId="8" state="hidden" r:id="rId7"/>
    <sheet name="Charts" sheetId="10" state="hidden" r:id="rId8"/>
    <sheet name="Result-查询" sheetId="13" state="hidden" r:id="rId9"/>
    <sheet name="Charts-查询" sheetId="14" state="hidden" r:id="rId10"/>
    <sheet name="Result-月份对比" sheetId="15" r:id="rId11"/>
    <sheet name="Charts-月份对比" sheetId="12" r:id="rId12"/>
    <sheet name="ACTION" sheetId="1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</externalReferences>
  <definedNames>
    <definedName name="\" hidden="1">{"'Sheet1'!$A$1:$Z$85","'Sheet1'!$AB$3"}</definedName>
    <definedName name="\a">#REF!</definedName>
    <definedName name="\b">'[1]96PROP'!$AP$17:$AP$18</definedName>
    <definedName name="\c">#REF!</definedName>
    <definedName name="\d">#REF!</definedName>
    <definedName name="\e">#REF!</definedName>
    <definedName name="\f">#REF!</definedName>
    <definedName name="\N">#REF!</definedName>
    <definedName name="\p">#REF!</definedName>
    <definedName name="\R">#REF!</definedName>
    <definedName name="\v">#REF!</definedName>
    <definedName name="_8Estimate">[2]RevisionRound1!$A$1:$Z$42</definedName>
    <definedName name="_9Plan">[2]RevisionRound1!$A$1:$AX$41</definedName>
    <definedName name="_am67000">#REF!</definedName>
    <definedName name="_am68000">#REF!</definedName>
    <definedName name="_am70000">#REF!</definedName>
    <definedName name="_ass1">#REF!</definedName>
    <definedName name="_ass2">#REF!</definedName>
    <definedName name="_ass3">#REF!</definedName>
    <definedName name="_ass4">#REF!</definedName>
    <definedName name="_att1">#REF!</definedName>
    <definedName name="_att2">#REF!</definedName>
    <definedName name="_att21">#REF!</definedName>
    <definedName name="_att22">#REF!</definedName>
    <definedName name="_att3">#REF!</definedName>
    <definedName name="_att4">#REF!</definedName>
    <definedName name="_ATV58">'[3]Données pour graphique'!$B$9:$B$19</definedName>
    <definedName name="_B90776">#REF!</definedName>
    <definedName name="_BEC1">#REF!</definedName>
    <definedName name="_BEC2">#REF!</definedName>
    <definedName name="_BEC3">#REF!</definedName>
    <definedName name="_BEL1">'[4]work center summary'!$M$16</definedName>
    <definedName name="_BEL2">'[4]work center summary'!$N$16</definedName>
    <definedName name="_BEQ1">'[4]work center summary'!$M$17</definedName>
    <definedName name="_BEQ2">'[4]work center summary'!$N$17</definedName>
    <definedName name="_bom1">[5]bom!$B$13:$FK$65536</definedName>
    <definedName name="_DADA">#N/A</definedName>
    <definedName name="_DAS2">#REF!</definedName>
    <definedName name="_DAT1">[6]XBTGK5330!#REF!</definedName>
    <definedName name="_DAT10">'[7]Tesys order list'!#REF!</definedName>
    <definedName name="_DAT11">'[7]Tesys order list'!#REF!</definedName>
    <definedName name="_DAT12">'[7]Tesys order list'!#REF!</definedName>
    <definedName name="_DAT13">'[7]Tesys order list'!#REF!</definedName>
    <definedName name="_DAT14">'[7]Tesys order list'!#REF!</definedName>
    <definedName name="_DAT15">#REF!</definedName>
    <definedName name="_DAT16">#REF!</definedName>
    <definedName name="_DAT17">#REF!</definedName>
    <definedName name="_DAT18">'[7]Tesys order list'!#REF!</definedName>
    <definedName name="_DAT19">'[7]Tesys order list'!#REF!</definedName>
    <definedName name="_DAT2">[6]XBTGK5330!#REF!</definedName>
    <definedName name="_DAT20">#REF!</definedName>
    <definedName name="_DAT21">#REF!</definedName>
    <definedName name="_DAT22">#REF!</definedName>
    <definedName name="_DAT23">#REF!</definedName>
    <definedName name="_DAT24">#REF!</definedName>
    <definedName name="_DAT25">#REF!</definedName>
    <definedName name="_DAT26">#REF!</definedName>
    <definedName name="_DAT27">#REF!</definedName>
    <definedName name="_DAT28">#REF!</definedName>
    <definedName name="_DAT29">#REF!</definedName>
    <definedName name="_DAT3">'[7]Tesys order list'!#REF!</definedName>
    <definedName name="_DAT30">#REF!</definedName>
    <definedName name="_DAT31">#REF!</definedName>
    <definedName name="_DAT32">#REF!</definedName>
    <definedName name="_DAT33">#REF!</definedName>
    <definedName name="_DAT34">#REF!</definedName>
    <definedName name="_DAT35">#REF!</definedName>
    <definedName name="_DAT36">#REF!</definedName>
    <definedName name="_DAT37">#REF!</definedName>
    <definedName name="_DAT38">#REF!</definedName>
    <definedName name="_DAT39">#REF!</definedName>
    <definedName name="_DAT4">'[7]Tesys order list'!#REF!</definedName>
    <definedName name="_DAT40">#REF!</definedName>
    <definedName name="_DAT41">#REF!</definedName>
    <definedName name="_DAT42">#REF!</definedName>
    <definedName name="_DAT43">#REF!</definedName>
    <definedName name="_DAT44">#REF!</definedName>
    <definedName name="_DAT45">#REF!</definedName>
    <definedName name="_DAT46">#REF!</definedName>
    <definedName name="_DAT47">#REF!</definedName>
    <definedName name="_DAT48">#REF!</definedName>
    <definedName name="_DAT49">#REF!</definedName>
    <definedName name="_DAT5">[6]XBTGK5330!#REF!</definedName>
    <definedName name="_DAT50">#REF!</definedName>
    <definedName name="_DAT51">#REF!</definedName>
    <definedName name="_DAT52">#REF!</definedName>
    <definedName name="_DAT53">#REF!</definedName>
    <definedName name="_DAT54">#REF!</definedName>
    <definedName name="_DAT55">#REF!</definedName>
    <definedName name="_DAT56">#REF!</definedName>
    <definedName name="_DAT57">#REF!</definedName>
    <definedName name="_DAT58">#REF!</definedName>
    <definedName name="_DAT59">#REF!</definedName>
    <definedName name="_DAT6">'[7]Tesys order list'!#REF!</definedName>
    <definedName name="_DAT60">#REF!</definedName>
    <definedName name="_DAT61">#REF!</definedName>
    <definedName name="_DAT62">#REF!</definedName>
    <definedName name="_DAT63">#REF!</definedName>
    <definedName name="_DAT64">#REF!</definedName>
    <definedName name="_DAT7">'[7]Tesys order list'!#REF!</definedName>
    <definedName name="_DAT8">'[7]Tesys order list'!#REF!</definedName>
    <definedName name="_DAT9">'[7]Tesys order list'!#REF!</definedName>
    <definedName name="_Dist_Bin" hidden="1">#REF!</definedName>
    <definedName name="_Dist_Values" hidden="1">#REF!</definedName>
    <definedName name="_DOC10">[8]DOC34!#REF!</definedName>
    <definedName name="_Fill" hidden="1">#REF!</definedName>
    <definedName name="_Fill." hidden="1">#REF!</definedName>
    <definedName name="_xlnm._FilterDatabase" localSheetId="7" hidden="1">Charts!$A$1:$D$1</definedName>
    <definedName name="_xlnm._FilterDatabase" localSheetId="9" hidden="1">'Charts-查询'!$A$1:$D$1</definedName>
    <definedName name="_xlnm._FilterDatabase" localSheetId="11" hidden="1">'Charts-月份对比'!$A$1:$D$1</definedName>
    <definedName name="_xlnm._FilterDatabase" localSheetId="0" hidden="1">Main!#REF!</definedName>
    <definedName name="_xlnm._FilterDatabase" localSheetId="6" hidden="1">Result!#REF!</definedName>
    <definedName name="_xlnm._FilterDatabase" localSheetId="8" hidden="1">'Result-查询'!#REF!</definedName>
    <definedName name="_xlnm._FilterDatabase" localSheetId="10" hidden="1">'Result-月份对比'!$A$6:$DB$6</definedName>
    <definedName name="_xlnm._FilterDatabase" localSheetId="2" hidden="1">'Temp-date'!#REF!</definedName>
    <definedName name="_xlnm._FilterDatabase" localSheetId="5" hidden="1">'Temp-班次'!#REF!</definedName>
    <definedName name="_xlnm._FilterDatabase" localSheetId="3" hidden="1">'Temp-产品系列'!#REF!</definedName>
    <definedName name="_xlnm._FilterDatabase" localSheetId="4" hidden="1">'Temp-工序'!#REF!</definedName>
    <definedName name="_hdc1">#REF!</definedName>
    <definedName name="_hdc2">#REF!</definedName>
    <definedName name="_hdc3">#REF!</definedName>
    <definedName name="_Key1" hidden="1">#REF!</definedName>
    <definedName name="_Key1." hidden="1">#REF!</definedName>
    <definedName name="_Key2" hidden="1">#REF!</definedName>
    <definedName name="_Key2." hidden="1">#REF!</definedName>
    <definedName name="_lot1">[9]Legend!$B$13</definedName>
    <definedName name="_lot2">[9]Legend!$C$13</definedName>
    <definedName name="_mer1">#REF!</definedName>
    <definedName name="_mer2">#REF!</definedName>
    <definedName name="_mk1">#REF!</definedName>
    <definedName name="_mm">[10]設備投資20万円以上!#REF!</definedName>
    <definedName name="_Order1" hidden="1">255</definedName>
    <definedName name="_Order2" hidden="1">255</definedName>
    <definedName name="_OUT1">[11]Comentarios!$A$2:$G$26</definedName>
    <definedName name="_out2">#REF!</definedName>
    <definedName name="_PG1">#REF!</definedName>
    <definedName name="_PG2">#REF!</definedName>
    <definedName name="_pg3">#REF!</definedName>
    <definedName name="_pg4">#REF!</definedName>
    <definedName name="_pg5">#REF!</definedName>
    <definedName name="_pg6">#REF!</definedName>
    <definedName name="_prc1">#REF!</definedName>
    <definedName name="_prc2">#REF!</definedName>
    <definedName name="_prc3">#REF!</definedName>
    <definedName name="_qt1">#REF!</definedName>
    <definedName name="_QUO1">#REF!</definedName>
    <definedName name="_quo2">#REF!</definedName>
    <definedName name="_ref1">[12]Ref!$A$2:$IV$6</definedName>
    <definedName name="_ref2">[12]Ref!$A$10:$IV$17</definedName>
    <definedName name="_ref3">[12]Ref!$A$22:$IV$29</definedName>
    <definedName name="_rm1">[13]Material!$C$2</definedName>
    <definedName name="_RM10">[14]Material!#REF!</definedName>
    <definedName name="_RM11">[14]Material!#REF!</definedName>
    <definedName name="_RM12">[14]Material!#REF!</definedName>
    <definedName name="_rm2">[13]Material!$D$2</definedName>
    <definedName name="_rm3">[13]Material!$E$2</definedName>
    <definedName name="_rm4">[14]Material!#REF!</definedName>
    <definedName name="_rm5">[14]Material!#REF!</definedName>
    <definedName name="_RM6">[14]Material!#REF!</definedName>
    <definedName name="_RM7">[14]Material!#REF!</definedName>
    <definedName name="_RM8">[14]Material!#REF!</definedName>
    <definedName name="_RM9">[14]Material!#REF!</definedName>
    <definedName name="_RMB2004">#REF!</definedName>
    <definedName name="_RMB2005">#REF!</definedName>
    <definedName name="_SF05">[14]Forecast!$B$1</definedName>
    <definedName name="_SF06">[14]Forecast!$C$1</definedName>
    <definedName name="_SF07">[14]Forecast!$D$1</definedName>
    <definedName name="_SF08">[14]Forecast!$E$1</definedName>
    <definedName name="_SF09">[14]Forecast!$F$1</definedName>
    <definedName name="_SGD2004">#REF!</definedName>
    <definedName name="_SGD2005">#REF!</definedName>
    <definedName name="_Sort" hidden="1">#REF!</definedName>
    <definedName name="_STAGE">#N/A</definedName>
    <definedName name="_Sub1">#REF!</definedName>
    <definedName name="_Sub2">#REF!</definedName>
    <definedName name="_sum07">'[15]Sum-07'!$A$5:$AO$526</definedName>
    <definedName name="_sum1">[16]Summ!$A$5:$AH$304</definedName>
    <definedName name="_tab1">#REF!</definedName>
    <definedName name="_TAB2">[17]EDC97!#REF!</definedName>
    <definedName name="_tax1">#REF!</definedName>
    <definedName name="_tax2">#REF!</definedName>
    <definedName name="_TB4">'[18]INDIC-04'!#REF!</definedName>
    <definedName name="_tc01">#REF!</definedName>
    <definedName name="_tc011">#REF!</definedName>
    <definedName name="_tc012">#REF!</definedName>
    <definedName name="_tc013">#REF!</definedName>
    <definedName name="_tc014">#REF!</definedName>
    <definedName name="_tc015">#REF!</definedName>
    <definedName name="_tc016">#REF!</definedName>
    <definedName name="_tc017">#REF!</definedName>
    <definedName name="_tc1">#REF!</definedName>
    <definedName name="_tc2">#REF!</definedName>
    <definedName name="_tc3">#REF!</definedName>
    <definedName name="_tc4">#REF!</definedName>
    <definedName name="_tc5">#REF!</definedName>
    <definedName name="_tc6">#REF!</definedName>
    <definedName name="_TMAutoChart11Names" hidden="1">{"Curves","Chart 4","Curves Graphique 4"}</definedName>
    <definedName name="_TMAutoChart11Refs" hidden="1">{"","","'Curves'!$V$3","'Curves'!$W$3","","","","","",""}</definedName>
    <definedName name="_TMAutoChart12Names" hidden="1">{"Curves","Chart 3","Curves Graphique 3"}</definedName>
    <definedName name="_TMAutoChart12Refs" hidden="1">{"","","'Curves'!$C$55","'Curves'!$D$55","","","","","",""}</definedName>
    <definedName name="_TMAutoChart13Names" hidden="1">{"Curves","Chart 2","Curves Graphique 2"}</definedName>
    <definedName name="_TMAutoChart13Refs" hidden="1">{"","","'Curves'!$V$3","'Curves'!$W$3","","","","","",""}</definedName>
    <definedName name="_TMAutoChart14Names" hidden="1">{"Curves","Chart 1","Curves Graphique 1"}</definedName>
    <definedName name="_TMAutoChart14Refs" hidden="1">{"","","'Curves'!$C$55","'Curves'!$D$55","","","","","",""}</definedName>
    <definedName name="_TMAutoChart15Names" hidden="1">{"Curves","Chart 4","Curves Graphique 4"}</definedName>
    <definedName name="_TMAutoChart15Refs" hidden="1">{"","","'Curves'!$V$3","'Curves'!$W$3","","","","","",""}</definedName>
    <definedName name="_TMAutoChart16Names" hidden="1">{"Curves","Chart 3","Curves Graphique 3"}</definedName>
    <definedName name="_TMAutoChart16Refs" hidden="1">{"","","'Curves'!$V$4","'Curves'!$W$4","","","","","",""}</definedName>
    <definedName name="_TMAutoChart17Names" hidden="1">{"Curves","Chart 2","Curves Graphique 2"}</definedName>
    <definedName name="_TMAutoChart17Refs" hidden="1">{"","","'Curves'!$V$3","'Curves'!$W$3","","","","","",""}</definedName>
    <definedName name="_TMAutoChart18Names" hidden="1">{"Curves","Chart 1","Curves Graphique 1"}</definedName>
    <definedName name="_TMAutoChart18Refs" hidden="1">{"","","'Curves'!$V$4","'Curves'!$W$4","","","","","",""}</definedName>
    <definedName name="_TMAutoChart19Names" hidden="1">{"Curves","Chart 3","Curves Graphique 3"}</definedName>
    <definedName name="_TMAutoChart19Refs" hidden="1">{"","","'Curves'!$W$8","'Curves'!$X$8","","","","","",""}</definedName>
    <definedName name="_TMAutoChart20Names" hidden="1">{"Curves","Chart 4","Curves Graphique 4"}</definedName>
    <definedName name="_TMAutoChart20Refs" hidden="1">{"","","'Curves'!$W$11","'Curves'!$X$11","","","","","",""}</definedName>
    <definedName name="_TMAutoChart21Names" hidden="1">{"Curves","Chart 2","Curves Graphique 2"}</definedName>
    <definedName name="_TMAutoChart21Refs" hidden="1">{"","","'Curves'!$W$10","'Curves'!$X$10","","","","","",""}</definedName>
    <definedName name="_TMAutoChart22Names" hidden="1">{"Curves","Chart 1","Curves Graphique 1"}</definedName>
    <definedName name="_TMAutoChart22Refs" hidden="1">{"","","'Curves'!$W$7","'Curves'!$X$7","","","","","",""}</definedName>
    <definedName name="_TMAutoChart23Names" hidden="1">{"Curves","Chart 3","Curves Graphique 3"}</definedName>
    <definedName name="_TMAutoChart23Refs" hidden="1">{"","","'Curves'!$W$8","'Curves'!$X$8","","","","","",""}</definedName>
    <definedName name="_TMAutoChart24Names" hidden="1">{"Curves","Chart 4","Curves Graphique 4"}</definedName>
    <definedName name="_TMAutoChart24Refs" hidden="1">{"","","'Curves'!$W$12","'Curves'!$X$12","","","","","",""}</definedName>
    <definedName name="_TMAutoChart25Names" hidden="1">{"Curves","Chart 2","Curves Graphique 2"}</definedName>
    <definedName name="_TMAutoChart25Refs" hidden="1">{"","","'Curves'!$W$11","'Curves'!$X$11","","","","","",""}</definedName>
    <definedName name="_TMAutoChart26Names" hidden="1">{"Curves","Chart 1","Curves Graphique 1"}</definedName>
    <definedName name="_TMAutoChart26Refs" hidden="1">{"","","'Curves'!$W$7","'Curves'!$X$7","","","","","",""}</definedName>
    <definedName name="_TMAutoChart7Names" hidden="1">{"Curves","Chart 4","Curves Graphique 4"}</definedName>
    <definedName name="_TMAutoChart7Refs" hidden="1">{"","","'Curves'!$E$55","'Curves'!$F$55","","","","","",""}</definedName>
    <definedName name="_TMAutoChart8Names" hidden="1">{"Curves","Chart 2","Curves Graphique 2"}</definedName>
    <definedName name="_TMAutoChart8Refs" hidden="1">{"","","'Curves'!$E$55","'Curves'!$F$55","","","","","",""}</definedName>
    <definedName name="_TMAutoChartCount" hidden="1">26</definedName>
    <definedName name="_TOP1">#REF!</definedName>
    <definedName name="_TxC95">#REF!</definedName>
    <definedName name="_USD2004">#REF!</definedName>
    <definedName name="_USD2005">#REF!</definedName>
    <definedName name="_VAN1">[19]current!$W$82:$AI$82</definedName>
    <definedName name="_wk1">#REF!</definedName>
    <definedName name="_wk2">#REF!</definedName>
    <definedName name="_wk3">#REF!</definedName>
    <definedName name="_wk4">#REF!</definedName>
    <definedName name="A">'[20]2001_Dec'!#REF!</definedName>
    <definedName name="A1Tétra">#REF!</definedName>
    <definedName name="A1Tétra_C1">[21]Synthèse!#REF!</definedName>
    <definedName name="A1Tétra_C2">[21]Synthèse!#REF!</definedName>
    <definedName name="A1Tri">#REF!</definedName>
    <definedName name="A1Tri_C1">[21]Synthèse!#REF!</definedName>
    <definedName name="A1Tri_C2">[21]Synthèse!#REF!</definedName>
    <definedName name="A1VigiTétra">#REF!</definedName>
    <definedName name="A1VigiTétra_C1">[21]Synthèse!#REF!</definedName>
    <definedName name="A1VigiTétra_C2">[21]Synthèse!#REF!</definedName>
    <definedName name="A1VigiTri">#REF!</definedName>
    <definedName name="A1VigiTri_C1">[21]Synthèse!#REF!</definedName>
    <definedName name="A1VigiTri_C2">[21]Synthèse!#REF!</definedName>
    <definedName name="A2Adv">#REF!</definedName>
    <definedName name="A2Adv_C1">[21]Synthèse!#REF!</definedName>
    <definedName name="A2HP">#REF!</definedName>
    <definedName name="A2HP_C1">[21]Synthèse!#REF!</definedName>
    <definedName name="A2HP_C2">[21]Synthèse!#REF!</definedName>
    <definedName name="A2I">#REF!</definedName>
    <definedName name="A2LC">#REF!</definedName>
    <definedName name="A2LC_C1">[21]Synthèse!#REF!</definedName>
    <definedName name="A3Tétra">#REF!</definedName>
    <definedName name="A3Tétra_C1">[21]Synthèse!#REF!</definedName>
    <definedName name="A3Tétra_C2">[21]Synthèse!#REF!</definedName>
    <definedName name="A3Tri">#REF!</definedName>
    <definedName name="A3Tri_C1">[21]Synthèse!#REF!</definedName>
    <definedName name="A3Tri_C2">[21]Synthèse!#REF!</definedName>
    <definedName name="A3VigiTétra">#REF!</definedName>
    <definedName name="A3VigiTétra_C1">[21]Synthèse!#REF!</definedName>
    <definedName name="A3VigiTétra_C2">[21]Synthèse!#REF!</definedName>
    <definedName name="A3VigiTri">#REF!</definedName>
    <definedName name="A3VigiTri_C1">[21]Synthèse!#REF!</definedName>
    <definedName name="A3VigiTri_C2">[21]Synthèse!#REF!</definedName>
    <definedName name="A44H">#REF!</definedName>
    <definedName name="AA">#REF!</definedName>
    <definedName name="aaa">[22]Synthèse!#REF!</definedName>
    <definedName name="aaaaa">1-'[23]Mth-Vana'!$I$24</definedName>
    <definedName name="ABC" hidden="1">{"Curves","Chart 3","Curves Graphique 3"}</definedName>
    <definedName name="Access_Target_Productivity">'[24]OLD - Projects data'!#REF!</definedName>
    <definedName name="Accessoires">#REF!</definedName>
    <definedName name="Accessoires_Total">#REF!</definedName>
    <definedName name="AccountMan">[25]INPUTS!$C$12</definedName>
    <definedName name="acier">[26]synthèse!$B$19</definedName>
    <definedName name="ACP_qual_1_high">#REF!</definedName>
    <definedName name="ACP_qual_1_low">'[27]datasheet to l_q'!$C$43</definedName>
    <definedName name="ACP_qual_2_high">#REF!</definedName>
    <definedName name="ACP_qual_2_low">'[27]datasheet to l_q'!$C$44</definedName>
    <definedName name="Activity">[28]Link!$J$3:$J$49</definedName>
    <definedName name="ACTJ">#REF!</definedName>
    <definedName name="ACTJ.">#REF!</definedName>
    <definedName name="ACTUAL">#REF!</definedName>
    <definedName name="ActualRange">#REF!</definedName>
    <definedName name="ADJ">[29]ATT5!#REF!</definedName>
    <definedName name="agdump">#REF!</definedName>
    <definedName name="agdump.">#REF!</definedName>
    <definedName name="agedump">#REF!</definedName>
    <definedName name="agencydump">#REF!</definedName>
    <definedName name="agencydump.">#REF!</definedName>
    <definedName name="AGENCYLY">#REF!</definedName>
    <definedName name="AGENCYLY.">#REF!</definedName>
    <definedName name="AGENCYPLAN">#REF!</definedName>
    <definedName name="AGENCYPLAN.">#REF!</definedName>
    <definedName name="Agreements">[28]Link!$R$3:$R$17</definedName>
    <definedName name="AIMaxSpeed">[30]Tables!$A$65</definedName>
    <definedName name="AIN_127_1">#REF!</definedName>
    <definedName name="AIN_130_2">#REF!</definedName>
    <definedName name="AM">#REF!</definedName>
    <definedName name="AMELIOMU">#REF!</definedName>
    <definedName name="AMELIOPY">#REF!</definedName>
    <definedName name="AMELIORJ">#REF!</definedName>
    <definedName name="AMELIOSX">#REF!</definedName>
    <definedName name="Annee">[31]Paramétrage!$C$10</definedName>
    <definedName name="Année_anterieure">#REF!</definedName>
    <definedName name="Année_étudiée">#REF!</definedName>
    <definedName name="Annee_prec">[31]Paramétrage!$C$13</definedName>
    <definedName name="Annee_suiv">#REF!</definedName>
    <definedName name="Annee_suiv2">#REF!</definedName>
    <definedName name="annu35h">[32]Relais!$J$5</definedName>
    <definedName name="AOC" hidden="1">{"","","'Curves'!$E$55","'Curves'!$F$55","","","","","",""}</definedName>
    <definedName name="AOUT">'[33]01 T'!$Z$2</definedName>
    <definedName name="AP1_103_1W">[34]PR孔!#REF!</definedName>
    <definedName name="AP1_66_3">[34]PR孔!#REF!</definedName>
    <definedName name="APOD1">'[35]Q2 YTD OG Sales Analysis'!#REF!</definedName>
    <definedName name="APOD2">#REF!</definedName>
    <definedName name="APP_1">#REF!</definedName>
    <definedName name="applicable">#REF!</definedName>
    <definedName name="APR">'[36]EX RATE'!$E$2:$E$10</definedName>
    <definedName name="AQ">#N/A</definedName>
    <definedName name="aramance">#REF!</definedName>
    <definedName name="armance">#REF!</definedName>
    <definedName name="ARO_41_3">#REF!</definedName>
    <definedName name="ARO_41_4">#REF!</definedName>
    <definedName name="as">'[37]C1 BOM'!#REF!</definedName>
    <definedName name="AS2DocOpenMode" hidden="1">"AS2DocumentEdit"</definedName>
    <definedName name="asa">[22]Synthèse!#REF!</definedName>
    <definedName name="asda">[22]Synthèse!#REF!</definedName>
    <definedName name="asdafe" hidden="1">{0,0,0,0}</definedName>
    <definedName name="Asia___Pacific_Operating_Division">'[38]DSO APOD 0307'!$A$1:$IV$65536</definedName>
    <definedName name="ASSEMBLY">#REF!</definedName>
    <definedName name="Assembly.">#REF!</definedName>
    <definedName name="ASSEMBLY..">#REF!</definedName>
    <definedName name="ASSEMBLY_DETAIL">#REF!</definedName>
    <definedName name="Assembly10LVM1">'[39]ME Quote'!#REF!</definedName>
    <definedName name="Assembly10LVM2">'[39]ME Quote'!#REF!</definedName>
    <definedName name="Assembly10LVM3">'[39]ME Quote'!#REF!</definedName>
    <definedName name="Assembly10LVM4">'[39]ME Quote'!#REF!</definedName>
    <definedName name="Assembly10LVM5">'[39]ME Quote'!#REF!</definedName>
    <definedName name="Assembly10LVM6">'[39]ME Quote'!#REF!</definedName>
    <definedName name="Assembly10NetBPHWithDT">'[39]ME Quote'!#REF!</definedName>
    <definedName name="Assembly10NetPPHWithDT">'[39]ME Quote'!#REF!</definedName>
    <definedName name="Assembly11">'[39]ME Quote'!#REF!</definedName>
    <definedName name="Assembly11LVM1">'[39]ME Quote'!#REF!</definedName>
    <definedName name="Assembly11LVM2">'[39]ME Quote'!#REF!</definedName>
    <definedName name="Assembly11LVM3">'[39]ME Quote'!#REF!</definedName>
    <definedName name="Assembly11LVM4">'[39]ME Quote'!#REF!</definedName>
    <definedName name="Assembly11LVM5">'[39]ME Quote'!#REF!</definedName>
    <definedName name="Assembly11LVM6">'[39]ME Quote'!#REF!</definedName>
    <definedName name="Assembly11NetBPHWithDT">'[39]ME Quote'!#REF!</definedName>
    <definedName name="Assembly11NetPPHWithDT">'[39]ME Quote'!#REF!</definedName>
    <definedName name="Assembly11RawRunRate">'[39]ME Quote'!#REF!</definedName>
    <definedName name="Assembly12LVM1">'[39]ME Quote'!#REF!</definedName>
    <definedName name="Assembly12LVM2">'[39]ME Quote'!#REF!</definedName>
    <definedName name="Assembly12LVM3">'[39]ME Quote'!#REF!</definedName>
    <definedName name="Assembly12LVM4">'[39]ME Quote'!#REF!</definedName>
    <definedName name="Assembly12LVM5">'[39]ME Quote'!#REF!</definedName>
    <definedName name="Assembly12LVM6">'[39]ME Quote'!#REF!</definedName>
    <definedName name="Assembly14">'[39]ME Quote'!#REF!</definedName>
    <definedName name="Assembly14NetBPHWithDT">'[39]ME Quote'!#REF!</definedName>
    <definedName name="Assembly14NetPPHWithDT">'[39]ME Quote'!#REF!</definedName>
    <definedName name="Assembly14RawRunRate">'[39]ME Quote'!#REF!</definedName>
    <definedName name="Assembly15">'[39]ME Quote'!#REF!</definedName>
    <definedName name="Assembly15RawRunRate">'[39]ME Quote'!#REF!</definedName>
    <definedName name="Assembly16">#REF!</definedName>
    <definedName name="Assembly16LVM1">#REF!</definedName>
    <definedName name="Assembly16LVM2">#REF!</definedName>
    <definedName name="Assembly16LVM3">#REF!</definedName>
    <definedName name="Assembly16LVM4">#REF!</definedName>
    <definedName name="Assembly16LVM5">#REF!</definedName>
    <definedName name="Assembly16LVM6">#REF!</definedName>
    <definedName name="Assembly16RawRunRate">#REF!</definedName>
    <definedName name="Assembly17">#REF!</definedName>
    <definedName name="Assembly17LVM1">#REF!</definedName>
    <definedName name="Assembly17LVM2">#REF!</definedName>
    <definedName name="Assembly17LVM3">#REF!</definedName>
    <definedName name="Assembly17LVM4">#REF!</definedName>
    <definedName name="Assembly17LVM5">#REF!</definedName>
    <definedName name="Assembly17LVM6">#REF!</definedName>
    <definedName name="Assembly17RawRunRate">#REF!</definedName>
    <definedName name="Assembly18">#REF!</definedName>
    <definedName name="Assembly18LVM1">#REF!</definedName>
    <definedName name="Assembly18LVM2">#REF!</definedName>
    <definedName name="Assembly18LVM3">#REF!</definedName>
    <definedName name="Assembly18LVM4">#REF!</definedName>
    <definedName name="Assembly18LVM5">#REF!</definedName>
    <definedName name="Assembly18LVM6">#REF!</definedName>
    <definedName name="Assembly18RawRunRate">#REF!</definedName>
    <definedName name="Assembly19">#REF!</definedName>
    <definedName name="Assembly19LVM1">#REF!</definedName>
    <definedName name="Assembly19LVM2">#REF!</definedName>
    <definedName name="Assembly19LVM3">#REF!</definedName>
    <definedName name="Assembly19LVM4">#REF!</definedName>
    <definedName name="Assembly19LVM5">#REF!</definedName>
    <definedName name="Assembly19LVM6">#REF!</definedName>
    <definedName name="Assembly19RawRunRate">#REF!</definedName>
    <definedName name="Assembly1NetBPHWithDT">[40]Quote!#REF!</definedName>
    <definedName name="Assembly1NetPPHWithDT">[40]Quote!#REF!</definedName>
    <definedName name="Assembly1PerHourWithDowntimeRange">#REF!</definedName>
    <definedName name="Assembly1RawRunRate">[41]Quote!$I$7</definedName>
    <definedName name="Assembly20">#REF!</definedName>
    <definedName name="Assembly20LVM1">#REF!</definedName>
    <definedName name="Assembly20LVM2">#REF!</definedName>
    <definedName name="Assembly20LVM3">#REF!</definedName>
    <definedName name="Assembly20LVM4">#REF!</definedName>
    <definedName name="Assembly20LVM5">#REF!</definedName>
    <definedName name="Assembly20LVM6">#REF!</definedName>
    <definedName name="Assembly20RawRunRate">#REF!</definedName>
    <definedName name="Assembly21">#REF!</definedName>
    <definedName name="Assembly21LVM1">#REF!</definedName>
    <definedName name="Assembly21LVM2">#REF!</definedName>
    <definedName name="Assembly21LVM3">#REF!</definedName>
    <definedName name="Assembly21LVM4">#REF!</definedName>
    <definedName name="Assembly21LVM5">#REF!</definedName>
    <definedName name="Assembly21LVM6">#REF!</definedName>
    <definedName name="Assembly21RawRunRate">#REF!</definedName>
    <definedName name="Assembly22">#REF!</definedName>
    <definedName name="Assembly22LVM1">#REF!</definedName>
    <definedName name="Assembly22LVM2">#REF!</definedName>
    <definedName name="Assembly22LVM3">#REF!</definedName>
    <definedName name="Assembly22LVM4">#REF!</definedName>
    <definedName name="Assembly22LVM5">#REF!</definedName>
    <definedName name="Assembly22LVM6">#REF!</definedName>
    <definedName name="Assembly22NetPPHWithDT">[42]Quote!#REF!</definedName>
    <definedName name="Assembly22RawRunRate">#REF!</definedName>
    <definedName name="Assembly23">#REF!</definedName>
    <definedName name="Assembly23LVM1">#REF!</definedName>
    <definedName name="Assembly23LVM2">#REF!</definedName>
    <definedName name="Assembly23LVM3">#REF!</definedName>
    <definedName name="Assembly23LVM4">#REF!</definedName>
    <definedName name="Assembly23LVM5">#REF!</definedName>
    <definedName name="Assembly23LVM6">#REF!</definedName>
    <definedName name="Assembly23RawRunRate">#REF!</definedName>
    <definedName name="Assembly24">#REF!</definedName>
    <definedName name="Assembly24LVM1">#REF!</definedName>
    <definedName name="Assembly24LVM2">#REF!</definedName>
    <definedName name="Assembly24LVM3">#REF!</definedName>
    <definedName name="Assembly24LVM4">#REF!</definedName>
    <definedName name="Assembly24LVM5">#REF!</definedName>
    <definedName name="Assembly24LVM6">#REF!</definedName>
    <definedName name="Assembly24RawRunRate">#REF!</definedName>
    <definedName name="Assembly25">#REF!</definedName>
    <definedName name="Assembly25LVM1">#REF!</definedName>
    <definedName name="Assembly25LVM2">#REF!</definedName>
    <definedName name="Assembly25LVM3">#REF!</definedName>
    <definedName name="Assembly25LVM4">#REF!</definedName>
    <definedName name="Assembly25LVM5">#REF!</definedName>
    <definedName name="Assembly25LVM6">#REF!</definedName>
    <definedName name="Assembly25RawRunRate">#REF!</definedName>
    <definedName name="Assembly26">#REF!</definedName>
    <definedName name="Assembly26LVM1">#REF!</definedName>
    <definedName name="Assembly26LVM2">#REF!</definedName>
    <definedName name="Assembly26LVM3">#REF!</definedName>
    <definedName name="Assembly26LVM4">#REF!</definedName>
    <definedName name="Assembly26LVM5">#REF!</definedName>
    <definedName name="Assembly26LVM6">#REF!</definedName>
    <definedName name="Assembly26RawRunRate">#REF!</definedName>
    <definedName name="Assembly27">#REF!</definedName>
    <definedName name="Assembly27LVM1">#REF!</definedName>
    <definedName name="Assembly27LVM2">#REF!</definedName>
    <definedName name="Assembly27LVM3">#REF!</definedName>
    <definedName name="Assembly27LVM4">#REF!</definedName>
    <definedName name="Assembly27LVM5">#REF!</definedName>
    <definedName name="Assembly27LVM6">#REF!</definedName>
    <definedName name="Assembly27RawRunRate">#REF!</definedName>
    <definedName name="Assembly28">#REF!</definedName>
    <definedName name="Assembly28LVM1">#REF!</definedName>
    <definedName name="Assembly28LVM2">#REF!</definedName>
    <definedName name="Assembly28LVM3">#REF!</definedName>
    <definedName name="Assembly28LVM4">#REF!</definedName>
    <definedName name="Assembly28LVM5">#REF!</definedName>
    <definedName name="Assembly28LVM6">#REF!</definedName>
    <definedName name="Assembly28RawRunRate">#REF!</definedName>
    <definedName name="Assembly29">#REF!</definedName>
    <definedName name="Assembly29LVM1">#REF!</definedName>
    <definedName name="Assembly29LVM2">#REF!</definedName>
    <definedName name="Assembly29LVM3">#REF!</definedName>
    <definedName name="Assembly29LVM4">#REF!</definedName>
    <definedName name="Assembly29LVM5">#REF!</definedName>
    <definedName name="Assembly29LVM6">#REF!</definedName>
    <definedName name="Assembly29RawRunRate">#REF!</definedName>
    <definedName name="Assembly2NetBPHWithDT">[40]Quote!#REF!</definedName>
    <definedName name="Assembly2NetPPHWithDT">[40]Quote!#REF!</definedName>
    <definedName name="Assembly30">#REF!</definedName>
    <definedName name="Assembly30LVM1">#REF!</definedName>
    <definedName name="Assembly30LVM2">#REF!</definedName>
    <definedName name="Assembly30LVM3">#REF!</definedName>
    <definedName name="Assembly30LVM4">#REF!</definedName>
    <definedName name="Assembly30LVM5">#REF!</definedName>
    <definedName name="Assembly30LVM6">#REF!</definedName>
    <definedName name="Assembly30RawRunRate">#REF!</definedName>
    <definedName name="Assembly31">#REF!</definedName>
    <definedName name="Assembly31LVM1">#REF!</definedName>
    <definedName name="Assembly31LVM2">#REF!</definedName>
    <definedName name="Assembly31LVM3">#REF!</definedName>
    <definedName name="Assembly31LVM4">#REF!</definedName>
    <definedName name="Assembly31LVM5">#REF!</definedName>
    <definedName name="Assembly31LVM6">#REF!</definedName>
    <definedName name="Assembly31RawRunRate">#REF!</definedName>
    <definedName name="Assembly32">#REF!</definedName>
    <definedName name="Assembly32LVM1">#REF!</definedName>
    <definedName name="Assembly32LVM2">#REF!</definedName>
    <definedName name="Assembly32LVM3">#REF!</definedName>
    <definedName name="Assembly32LVM4">#REF!</definedName>
    <definedName name="Assembly32LVM5">#REF!</definedName>
    <definedName name="Assembly32LVM6">#REF!</definedName>
    <definedName name="Assembly32RawRunRate">#REF!</definedName>
    <definedName name="Assembly33">#REF!</definedName>
    <definedName name="Assembly33LVM1">#REF!</definedName>
    <definedName name="Assembly33LVM2">#REF!</definedName>
    <definedName name="Assembly33LVM3">#REF!</definedName>
    <definedName name="Assembly33LVM4">#REF!</definedName>
    <definedName name="Assembly33LVM5">#REF!</definedName>
    <definedName name="Assembly33LVM6">#REF!</definedName>
    <definedName name="Assembly33RawRunRate">#REF!</definedName>
    <definedName name="Assembly34">#REF!</definedName>
    <definedName name="Assembly34LVM1">#REF!</definedName>
    <definedName name="Assembly34LVM2">#REF!</definedName>
    <definedName name="Assembly34LVM3">#REF!</definedName>
    <definedName name="Assembly34LVM4">#REF!</definedName>
    <definedName name="Assembly34LVM5">#REF!</definedName>
    <definedName name="Assembly34LVM6">#REF!</definedName>
    <definedName name="Assembly34RawRunRate">#REF!</definedName>
    <definedName name="Assembly35">#REF!</definedName>
    <definedName name="Assembly35LVM1">#REF!</definedName>
    <definedName name="Assembly35LVM2">#REF!</definedName>
    <definedName name="Assembly35LVM3">#REF!</definedName>
    <definedName name="Assembly35LVM4">#REF!</definedName>
    <definedName name="Assembly35LVM5">#REF!</definedName>
    <definedName name="Assembly35LVM6">#REF!</definedName>
    <definedName name="Assembly35RawRunRate">#REF!</definedName>
    <definedName name="Assembly36">#REF!</definedName>
    <definedName name="Assembly36LVM1">#REF!</definedName>
    <definedName name="Assembly36LVM2">#REF!</definedName>
    <definedName name="Assembly36LVM3">#REF!</definedName>
    <definedName name="Assembly36LVM4">#REF!</definedName>
    <definedName name="Assembly36LVM5">#REF!</definedName>
    <definedName name="Assembly36LVM6">#REF!</definedName>
    <definedName name="Assembly36RawRunRate">#REF!</definedName>
    <definedName name="Assembly37">#REF!</definedName>
    <definedName name="Assembly37LVM1">#REF!</definedName>
    <definedName name="Assembly37LVM2">#REF!</definedName>
    <definedName name="Assembly37LVM3">#REF!</definedName>
    <definedName name="Assembly37LVM4">#REF!</definedName>
    <definedName name="Assembly37LVM5">#REF!</definedName>
    <definedName name="Assembly37LVM6">#REF!</definedName>
    <definedName name="Assembly37RawRunRate">#REF!</definedName>
    <definedName name="Assembly38">#REF!</definedName>
    <definedName name="Assembly38LVM1">#REF!</definedName>
    <definedName name="Assembly38LVM2">#REF!</definedName>
    <definedName name="Assembly38LVM3">#REF!</definedName>
    <definedName name="Assembly38LVM4">#REF!</definedName>
    <definedName name="Assembly38LVM5">#REF!</definedName>
    <definedName name="Assembly38LVM6">#REF!</definedName>
    <definedName name="Assembly38RawRunRate">#REF!</definedName>
    <definedName name="Assembly39">#REF!</definedName>
    <definedName name="Assembly39LVM1">#REF!</definedName>
    <definedName name="Assembly39LVM2">#REF!</definedName>
    <definedName name="Assembly39LVM3">#REF!</definedName>
    <definedName name="Assembly39LVM4">#REF!</definedName>
    <definedName name="Assembly39LVM5">#REF!</definedName>
    <definedName name="Assembly39LVM6">#REF!</definedName>
    <definedName name="Assembly39RawRunRate">#REF!</definedName>
    <definedName name="Assembly3NetBPHWithDT">[40]Quote!#REF!</definedName>
    <definedName name="Assembly3NetPPHWithDT">[40]Quote!#REF!</definedName>
    <definedName name="Assembly40">#REF!</definedName>
    <definedName name="Assembly40LVM1">#REF!</definedName>
    <definedName name="Assembly40LVM2">#REF!</definedName>
    <definedName name="Assembly40LVM3">#REF!</definedName>
    <definedName name="Assembly40LVM4">#REF!</definedName>
    <definedName name="Assembly40LVM5">#REF!</definedName>
    <definedName name="Assembly40LVM6">#REF!</definedName>
    <definedName name="Assembly40RawRunRate">#REF!</definedName>
    <definedName name="Assembly41">#REF!</definedName>
    <definedName name="Assembly41LVM1">#REF!</definedName>
    <definedName name="Assembly41LVM2">#REF!</definedName>
    <definedName name="Assembly41LVM3">#REF!</definedName>
    <definedName name="Assembly41LVM4">#REF!</definedName>
    <definedName name="Assembly41LVM5">#REF!</definedName>
    <definedName name="Assembly41LVM6">#REF!</definedName>
    <definedName name="Assembly41RawRunRate">#REF!</definedName>
    <definedName name="Assembly42">#REF!</definedName>
    <definedName name="Assembly42LVM1">#REF!</definedName>
    <definedName name="Assembly42LVM2">#REF!</definedName>
    <definedName name="Assembly42LVM3">#REF!</definedName>
    <definedName name="Assembly42LVM4">#REF!</definedName>
    <definedName name="Assembly42LVM5">#REF!</definedName>
    <definedName name="Assembly42LVM6">#REF!</definedName>
    <definedName name="Assembly42RawRunRate">#REF!</definedName>
    <definedName name="Assembly43">#REF!</definedName>
    <definedName name="Assembly43LVM1">#REF!</definedName>
    <definedName name="Assembly43LVM2">#REF!</definedName>
    <definedName name="Assembly43LVM3">#REF!</definedName>
    <definedName name="Assembly43LVM4">#REF!</definedName>
    <definedName name="Assembly43LVM5">#REF!</definedName>
    <definedName name="Assembly43LVM6">#REF!</definedName>
    <definedName name="Assembly43RawRunRate">#REF!</definedName>
    <definedName name="Assembly44">#REF!</definedName>
    <definedName name="Assembly44LVM1">#REF!</definedName>
    <definedName name="Assembly44LVM2">#REF!</definedName>
    <definedName name="Assembly44LVM3">#REF!</definedName>
    <definedName name="Assembly44LVM4">#REF!</definedName>
    <definedName name="Assembly44LVM5">#REF!</definedName>
    <definedName name="Assembly44LVM6">#REF!</definedName>
    <definedName name="Assembly44RawRunRate">#REF!</definedName>
    <definedName name="Assembly45">#REF!</definedName>
    <definedName name="Assembly45LVM1">#REF!</definedName>
    <definedName name="Assembly45LVM2">#REF!</definedName>
    <definedName name="Assembly45LVM3">#REF!</definedName>
    <definedName name="Assembly45LVM4">#REF!</definedName>
    <definedName name="Assembly45LVM5">#REF!</definedName>
    <definedName name="Assembly45LVM6">#REF!</definedName>
    <definedName name="Assembly45RawRunRate">#REF!</definedName>
    <definedName name="Assembly46">#REF!</definedName>
    <definedName name="Assembly46LVM1">#REF!</definedName>
    <definedName name="Assembly46LVM2">#REF!</definedName>
    <definedName name="Assembly46LVM3">#REF!</definedName>
    <definedName name="Assembly46LVM4">#REF!</definedName>
    <definedName name="Assembly46LVM5">#REF!</definedName>
    <definedName name="Assembly46LVM6">#REF!</definedName>
    <definedName name="Assembly46RawRunRate">#REF!</definedName>
    <definedName name="Assembly47">#REF!</definedName>
    <definedName name="Assembly47LVM1">#REF!</definedName>
    <definedName name="Assembly47LVM2">#REF!</definedName>
    <definedName name="Assembly47LVM3">#REF!</definedName>
    <definedName name="Assembly47LVM4">#REF!</definedName>
    <definedName name="Assembly47LVM5">#REF!</definedName>
    <definedName name="Assembly47LVM6">#REF!</definedName>
    <definedName name="Assembly47RawRunRate">#REF!</definedName>
    <definedName name="Assembly48">#REF!</definedName>
    <definedName name="Assembly48LVM1">#REF!</definedName>
    <definedName name="Assembly48LVM2">#REF!</definedName>
    <definedName name="Assembly48LVM3">#REF!</definedName>
    <definedName name="Assembly48LVM4">#REF!</definedName>
    <definedName name="Assembly48LVM5">#REF!</definedName>
    <definedName name="Assembly48LVM6">#REF!</definedName>
    <definedName name="Assembly48RawRunRate">#REF!</definedName>
    <definedName name="Assembly49">#REF!</definedName>
    <definedName name="Assembly49LVM1">#REF!</definedName>
    <definedName name="Assembly49LVM2">#REF!</definedName>
    <definedName name="Assembly49LVM3">#REF!</definedName>
    <definedName name="Assembly49LVM4">#REF!</definedName>
    <definedName name="Assembly49LVM5">#REF!</definedName>
    <definedName name="Assembly49LVM6">#REF!</definedName>
    <definedName name="Assembly49RawRunRate">#REF!</definedName>
    <definedName name="Assembly4LVM1">'[39]ME Quote'!#REF!</definedName>
    <definedName name="Assembly4LVM2">'[39]ME Quote'!#REF!</definedName>
    <definedName name="Assembly4LVM3">'[39]ME Quote'!#REF!</definedName>
    <definedName name="Assembly4LVM4">'[39]ME Quote'!#REF!</definedName>
    <definedName name="Assembly4LVM5">'[39]ME Quote'!#REF!</definedName>
    <definedName name="Assembly4LVM6">'[39]ME Quote'!#REF!</definedName>
    <definedName name="Assembly50">#REF!</definedName>
    <definedName name="Assembly50LVM1">#REF!</definedName>
    <definedName name="Assembly50LVM2">#REF!</definedName>
    <definedName name="Assembly50LVM3">#REF!</definedName>
    <definedName name="Assembly50LVM4">#REF!</definedName>
    <definedName name="Assembly50LVM5">#REF!</definedName>
    <definedName name="Assembly50LVM6">#REF!</definedName>
    <definedName name="Assembly50RawRunRate">#REF!</definedName>
    <definedName name="Assembly5LVM1">'[39]ME Quote'!#REF!</definedName>
    <definedName name="Assembly5LVM2">'[39]ME Quote'!#REF!</definedName>
    <definedName name="Assembly5LVM3">'[39]ME Quote'!#REF!</definedName>
    <definedName name="Assembly5LVM4">'[39]ME Quote'!#REF!</definedName>
    <definedName name="Assembly5LVM5">'[39]ME Quote'!#REF!</definedName>
    <definedName name="Assembly5LVM6">'[39]ME Quote'!#REF!</definedName>
    <definedName name="Assembly5NetBPHWithDT">[42]Quote!#REF!</definedName>
    <definedName name="Assembly5NetPPHWithDT">[42]Quote!#REF!</definedName>
    <definedName name="Assembly6LVM1">'[39]ME Quote'!#REF!</definedName>
    <definedName name="Assembly6LVM2">'[39]ME Quote'!#REF!</definedName>
    <definedName name="Assembly6LVM3">'[39]ME Quote'!#REF!</definedName>
    <definedName name="Assembly6LVM4">'[39]ME Quote'!#REF!</definedName>
    <definedName name="Assembly6LVM5">'[39]ME Quote'!#REF!</definedName>
    <definedName name="Assembly6LVM6">'[39]ME Quote'!#REF!</definedName>
    <definedName name="Assembly6NetBPHWithDT">[42]Quote!#REF!</definedName>
    <definedName name="Assembly6NetPPHWithDT">'[39]ME Quote'!#REF!</definedName>
    <definedName name="Assembly7">'[39]ME Quote'!#REF!</definedName>
    <definedName name="Assembly7LVM1">'[39]ME Quote'!#REF!</definedName>
    <definedName name="Assembly7LVM2">'[39]ME Quote'!#REF!</definedName>
    <definedName name="Assembly7LVM3">'[39]ME Quote'!#REF!</definedName>
    <definedName name="Assembly7LVM4">'[39]ME Quote'!#REF!</definedName>
    <definedName name="Assembly7LVM5">'[39]ME Quote'!#REF!</definedName>
    <definedName name="Assembly7LVM6">'[39]ME Quote'!#REF!</definedName>
    <definedName name="Assembly7NetBPHWithDT">'[39]ME Quote'!#REF!</definedName>
    <definedName name="Assembly7NetPPHWithDT">'[39]ME Quote'!#REF!</definedName>
    <definedName name="Assembly7RawRunRate">'[39]ME Quote'!#REF!</definedName>
    <definedName name="Assembly8LVM1">'[39]ME Quote'!#REF!</definedName>
    <definedName name="Assembly8LVM2">'[39]ME Quote'!#REF!</definedName>
    <definedName name="Assembly8LVM3">'[39]ME Quote'!#REF!</definedName>
    <definedName name="Assembly8LVM4">'[39]ME Quote'!#REF!</definedName>
    <definedName name="Assembly8LVM5">'[39]ME Quote'!#REF!</definedName>
    <definedName name="Assembly8LVM6">'[39]ME Quote'!#REF!</definedName>
    <definedName name="Assembly8NetBPHWithDT">'[39]ME Quote'!#REF!</definedName>
    <definedName name="Assembly8NetPPHWithDT">'[39]ME Quote'!#REF!</definedName>
    <definedName name="Assembly9">[42]Quote!#REF!</definedName>
    <definedName name="Assembly9LVM1">'[39]ME Quote'!#REF!</definedName>
    <definedName name="Assembly9LVM2">'[39]ME Quote'!#REF!</definedName>
    <definedName name="Assembly9LVM3">'[39]ME Quote'!#REF!</definedName>
    <definedName name="Assembly9LVM4">'[39]ME Quote'!#REF!</definedName>
    <definedName name="Assembly9LVM5">'[39]ME Quote'!#REF!</definedName>
    <definedName name="Assembly9LVM6">'[39]ME Quote'!#REF!</definedName>
    <definedName name="Assembly9RawRunRate">[42]Quote!#REF!</definedName>
    <definedName name="AssetHeader">[30]Tables!$B$214:$AD$214</definedName>
    <definedName name="AssetTable">[43]Tables!$B$222:$AF$286</definedName>
    <definedName name="assmbly4">#REF!</definedName>
    <definedName name="Assy1RawRunRate">#REF!</definedName>
    <definedName name="Assy2RawRunRate">#REF!</definedName>
    <definedName name="Assy3RawRunRate">#REF!</definedName>
    <definedName name="Assy4RawRunRate">#REF!</definedName>
    <definedName name="Assy5RawRunRate">#REF!</definedName>
    <definedName name="ASSYRATE">#REF!</definedName>
    <definedName name="AST_69">#REF!</definedName>
    <definedName name="atest">[44]Paramètres!$E$43</definedName>
    <definedName name="ATProductFactor">[43]Tables!$A$225</definedName>
    <definedName name="ATS">#REF!</definedName>
    <definedName name="AttritionRate">[43]Tables!$A$121</definedName>
    <definedName name="ATV58FSvsBgt">[3]Options!$E$14</definedName>
    <definedName name="AUD">[45]Currency!$B$4</definedName>
    <definedName name="AUG">'[36]EX RATE'!$I$2:$I$10</definedName>
    <definedName name="AuRate">[46]Legend!$B$14</definedName>
    <definedName name="aus">#REF!</definedName>
    <definedName name="AutoFormatting">TRUE</definedName>
    <definedName name="AutoVins">[30]Tables!$A$72</definedName>
    <definedName name="Avancement">'[47]REC-EDIT'!$A$4</definedName>
    <definedName name="AverageMatLT">[25]Tables!$E$469</definedName>
    <definedName name="b">#REF!</definedName>
    <definedName name="BackendThres">[30]Tables!$A$53</definedName>
    <definedName name="bad_indent">#REF!</definedName>
    <definedName name="Bal">#REF!</definedName>
    <definedName name="Balance_Sheet">#REF!</definedName>
    <definedName name="Balance_Sheet.">#REF!</definedName>
    <definedName name="BARB">'[48]95PREM'!#REF!</definedName>
    <definedName name="BASE">#REF!</definedName>
    <definedName name="BASESALARYF1">#REF!</definedName>
    <definedName name="BASESALARYF2">#REF!</definedName>
    <definedName name="bb" hidden="1">{"Curves","Chart 1","Curves Graphique 1"}</definedName>
    <definedName name="bbb_bbbb">'[49]Listes de Sélection'!$N$3:$P$525</definedName>
    <definedName name="BC">#REF!</definedName>
    <definedName name="BD">#REF!</definedName>
    <definedName name="BD_2003">'[50]DEC 2003'!$A$11:$AA$1530</definedName>
    <definedName name="BD_2004">'[51]Décembre 2004'!$A$11:$AU$1693</definedName>
    <definedName name="BD_Chorus">[52]Chorus_May2006!$C$10:$CU$63</definedName>
    <definedName name="BD_et_totaux">#REF!</definedName>
    <definedName name="bdd">#REF!</definedName>
    <definedName name="bddin">#REF!</definedName>
    <definedName name="bddjob">#REF!</definedName>
    <definedName name="bddout">#REF!</definedName>
    <definedName name="BDU">#REF!</definedName>
    <definedName name="BeltStatus">[53]Lookup!$A$2:$A$20</definedName>
    <definedName name="BGARwk">[30]Tables!$A$136</definedName>
    <definedName name="BICycleTime">[30]Tables!$A$68</definedName>
    <definedName name="bidon">'[50]DEC 2003'!$A$11:$AA$1529</definedName>
    <definedName name="BILdULdRate">[30]Tables!$A$67</definedName>
    <definedName name="BIRepairTime">[30]Tables!$A$135</definedName>
    <definedName name="BIYield">[43]Tables!$A$82</definedName>
    <definedName name="bjobjo">'[54]EDC-DAS'!#REF!</definedName>
    <definedName name="Board_Length">#REF!</definedName>
    <definedName name="Board_Length..">#REF!</definedName>
    <definedName name="Board31">'[55]CUB Scout'!#REF!</definedName>
    <definedName name="Board32">'[55]CUB Scout'!#REF!</definedName>
    <definedName name="Board33">'[55]CUB Scout'!#REF!</definedName>
    <definedName name="Board34">'[55]CUB Scout'!#REF!</definedName>
    <definedName name="Board35">'[55]CUB Scout'!#REF!</definedName>
    <definedName name="Board36">'[55]CUB Scout'!#REF!</definedName>
    <definedName name="Board37">'[55]CUB Scout'!#REF!</definedName>
    <definedName name="Board38">'[55]CUB Scout'!#REF!</definedName>
    <definedName name="Board39">'[55]CUB Scout'!#REF!</definedName>
    <definedName name="Board40">'[55]CUB Scout'!#REF!</definedName>
    <definedName name="Board41">[56]RunRate_Template!$A$789</definedName>
    <definedName name="Boards1">[41]Quote!$B$16</definedName>
    <definedName name="Boards10">'[39]ME Quote'!#REF!</definedName>
    <definedName name="Boards11">'[39]ME Quote'!#REF!</definedName>
    <definedName name="Boards12">'[39]ME Quote'!#REF!</definedName>
    <definedName name="Boards16">#REF!</definedName>
    <definedName name="Boards17">#REF!</definedName>
    <definedName name="Boards18">#REF!</definedName>
    <definedName name="Boards19">#REF!</definedName>
    <definedName name="Boards20">#REF!</definedName>
    <definedName name="Boards21">#REF!</definedName>
    <definedName name="Boards22">#REF!</definedName>
    <definedName name="Boards23">#REF!</definedName>
    <definedName name="Boards24">#REF!</definedName>
    <definedName name="Boards25">#REF!</definedName>
    <definedName name="Boards26">#REF!</definedName>
    <definedName name="Boards27">#REF!</definedName>
    <definedName name="Boards28">#REF!</definedName>
    <definedName name="Boards29">#REF!</definedName>
    <definedName name="Boards30">#REF!</definedName>
    <definedName name="Boards31">#REF!</definedName>
    <definedName name="Boards32">#REF!</definedName>
    <definedName name="Boards33">#REF!</definedName>
    <definedName name="Boards34">#REF!</definedName>
    <definedName name="Boards35">#REF!</definedName>
    <definedName name="Boards36">#REF!</definedName>
    <definedName name="Boards37">#REF!</definedName>
    <definedName name="Boards38">#REF!</definedName>
    <definedName name="Boards39">#REF!</definedName>
    <definedName name="Boards4">'[39]ME Quote'!#REF!</definedName>
    <definedName name="Boards40">#REF!</definedName>
    <definedName name="Boards41">#REF!</definedName>
    <definedName name="Boards42">#REF!</definedName>
    <definedName name="Boards43">#REF!</definedName>
    <definedName name="Boards44">#REF!</definedName>
    <definedName name="Boards45">#REF!</definedName>
    <definedName name="Boards46">#REF!</definedName>
    <definedName name="Boards47">#REF!</definedName>
    <definedName name="Boards48">#REF!</definedName>
    <definedName name="Boards49">#REF!</definedName>
    <definedName name="Boards5">'[39]ME Quote'!#REF!</definedName>
    <definedName name="Boards50">#REF!</definedName>
    <definedName name="Boards6">'[39]ME Quote'!#REF!</definedName>
    <definedName name="Boards7">'[39]ME Quote'!#REF!</definedName>
    <definedName name="Boards8">'[39]ME Quote'!#REF!</definedName>
    <definedName name="Boards9">'[39]ME Quote'!#REF!</definedName>
    <definedName name="bobines_LX1_K">#REF!</definedName>
    <definedName name="bobines_LX1_K_Total">#REF!</definedName>
    <definedName name="BOM" hidden="1">{"Drawing&amp;Homo.result",#N/A,FALSE,"Greco Hom. and BOM"}</definedName>
    <definedName name="BomCost1">#REF!</definedName>
    <definedName name="BP">#REF!</definedName>
    <definedName name="BTT">#REF!</definedName>
    <definedName name="BU_Actual">#REF!</definedName>
    <definedName name="BUD">#REF!</definedName>
    <definedName name="BUD..">#REF!</definedName>
    <definedName name="BUDGET">#REF!</definedName>
    <definedName name="BUDGET_ACWP_OTP1">#REF!</definedName>
    <definedName name="BUDGET_ACWP_OTP2">#REF!</definedName>
    <definedName name="BUDGET_ACWP_OTP3">#REF!</definedName>
    <definedName name="BUDGET_ACWP_OTP4">#REF!</definedName>
    <definedName name="BUDGET_ACWP_OTP5">#REF!</definedName>
    <definedName name="BUDGET_ACWP_OTP6">#REF!</definedName>
    <definedName name="BUDGET_ACWP_TOTAL">#REF!</definedName>
    <definedName name="BUDGET_BCWS_DO_OTP1">#REF!</definedName>
    <definedName name="BUDGET_BCWS_DO_OTP2">#REF!</definedName>
    <definedName name="BUDGET_BCWS_DO_OTP3">#REF!</definedName>
    <definedName name="BUDGET_BCWS_DO_OTP4">#REF!</definedName>
    <definedName name="BUDGET_BCWS_DO_OTP5">#REF!</definedName>
    <definedName name="BUDGET_BCWS_DO_OTP6">#REF!</definedName>
    <definedName name="BUDGET_BCWS_DO_TOTAL">#REF!</definedName>
    <definedName name="BUDGET_BCWS_OTP1">#REF!</definedName>
    <definedName name="BUDGET_BCWS_OTP2">#REF!</definedName>
    <definedName name="BUDGET_BCWS_OTP3">#REF!</definedName>
    <definedName name="BUDGET_BCWS_OTP4">#REF!</definedName>
    <definedName name="BUDGET_BCWS_OTP5">#REF!</definedName>
    <definedName name="BUDGET_BCWS_OTP6">#REF!</definedName>
    <definedName name="BUDGET_BCWS_TOTAL">#REF!</definedName>
    <definedName name="BUDGET_COST_START_DATE">#REF!</definedName>
    <definedName name="BUDGET_DRIFT">#REF!</definedName>
    <definedName name="BUDGET_ECWP_OTP1">#REF!</definedName>
    <definedName name="BUDGET_ECWP_OTP2">#REF!</definedName>
    <definedName name="BUDGET_ECWP_OTP3">#REF!</definedName>
    <definedName name="BUDGET_ECWP_OTP4">#REF!</definedName>
    <definedName name="BUDGET_ECWP_OTP5">#REF!</definedName>
    <definedName name="BUDGET_ECWP_OTP6">#REF!</definedName>
    <definedName name="BUDGET_ECWP_TOTAL">#REF!</definedName>
    <definedName name="BUDGET_MONTH_ACTUAL">#REF!</definedName>
    <definedName name="BUDGET_MONTH_FORECAST">#REF!</definedName>
    <definedName name="BUDGET_MONTH_TOBEDONE">#REF!</definedName>
    <definedName name="BUDGET_TOTAL_ACTUAL">#REF!</definedName>
    <definedName name="BUDGET_TOTAL_FORECAST">#REF!</definedName>
    <definedName name="BUDGET_TOTAL_FORECAST_DO">#REF!</definedName>
    <definedName name="BUDGET_TOTAL_TOBEDONE">#REF!</definedName>
    <definedName name="Budget_Year">[44]Paramètres!$E$18</definedName>
    <definedName name="BuiltIn_AutoFilter___4">#REF!</definedName>
    <definedName name="BULKHEAD">#REF!</definedName>
    <definedName name="BULKHEAD..">#REF!</definedName>
    <definedName name="BW">#REF!</definedName>
    <definedName name="BW..">#REF!</definedName>
    <definedName name="By_Dept">#REF!</definedName>
    <definedName name="CA2DN">#REF!</definedName>
    <definedName name="cad">#REF!</definedName>
    <definedName name="CAD_J">#REF!</definedName>
    <definedName name="CADis">'[57]IS Currencies'!$B$5</definedName>
    <definedName name="CalcAgencyPrice">#REF!</definedName>
    <definedName name="CalcAgencyPrice.">#REF!</definedName>
    <definedName name="CAPEX2Column">[58]MACRO2!#REF!</definedName>
    <definedName name="CAPLEASE">'[59]ATT10-3'!$A$2:$I$38</definedName>
    <definedName name="Carte_kanban_proto">#REF!</definedName>
    <definedName name="Carton_Capacity">#REF!</definedName>
    <definedName name="Carton_Weight">#REF!</definedName>
    <definedName name="Carton_y">#REF!</definedName>
    <definedName name="Carton2_z">#REF!</definedName>
    <definedName name="Cartons_On_Pallet">#REF!</definedName>
    <definedName name="Cash_Debt">#REF!</definedName>
    <definedName name="Cash_Debt.">#REF!</definedName>
    <definedName name="Cash_Flow">#REF!</definedName>
    <definedName name="Cash_Flow.">#REF!</definedName>
    <definedName name="CATHERINE_MOREL">#REF!</definedName>
    <definedName name="Cavity_Length">#REF!</definedName>
    <definedName name="Cavity_Width">#REF!</definedName>
    <definedName name="CB_CODE_F1">#REF!</definedName>
    <definedName name="CB_CODE_FC">#REF!</definedName>
    <definedName name="CB_DESC1_F1">#REF!</definedName>
    <definedName name="CB_DESC2_F1">#REF!</definedName>
    <definedName name="cc" hidden="1">{"","","'Curves'!$W$11","'Curves'!$X$11","","","","","",""}</definedName>
    <definedName name="ccc">1-'[60]Mth-Vana'!$I$15</definedName>
    <definedName name="CCoatingRate">[30]Tables!$A$69</definedName>
    <definedName name="cd">#REF!</definedName>
    <definedName name="Center_column_1">OFFSET([61]UCL数据!#REF!,0,0,COUNT([61]UCL数据!#REF!),1)</definedName>
    <definedName name="Center_column_2">OFFSET([61]UCL数据!#REF!,0,0,COUNT([61]UCL数据!#REF!),1)</definedName>
    <definedName name="Center_column_3">OFFSET([61]UCL数据!$C$45,0,0,COUNT([61]UCL数据!$C$45:$C$70),1)</definedName>
    <definedName name="Center_column_4">OFFSET([61]UCL数据!$G$45,0,0,COUNT([61]UCL数据!$G$45:$G$70),1)</definedName>
    <definedName name="ces">#REF!</definedName>
    <definedName name="CFT">#REF!</definedName>
    <definedName name="CFT.">#REF!</definedName>
    <definedName name="CFT..">#REF!</definedName>
    <definedName name="Check_Transfer_Type">[28]Link!#REF!</definedName>
    <definedName name="CHF">#REF!</definedName>
    <definedName name="Chid">#REF!</definedName>
    <definedName name="Chiffre_d_affaire_à_fin_validé">#REF!</definedName>
    <definedName name="Chiffre_d_affaire_réalisé2">#REF!</definedName>
    <definedName name="ChipMaxS">[43]Tables!$E$223</definedName>
    <definedName name="ChipTable">[43]Tables!$B$231:$AF$240</definedName>
    <definedName name="Chit">#REF!</definedName>
    <definedName name="cikd">#REF!</definedName>
    <definedName name="cikt">#REF!</definedName>
    <definedName name="CIS">[29]ATT5!#REF!</definedName>
    <definedName name="CiscoCalculations">#REF!</definedName>
    <definedName name="ciscocomplexity">#REF!</definedName>
    <definedName name="ciscoinput">#REF!</definedName>
    <definedName name="ciscolabor">#REF!</definedName>
    <definedName name="CiscoOutput">#REF!</definedName>
    <definedName name="ciscotest">#REF!</definedName>
    <definedName name="CiscoTestInputs">#REF!</definedName>
    <definedName name="CityList">[62]Space!$X$2:$X$98</definedName>
    <definedName name="ck">'[63]BASE DE DATOS'!$CY$70</definedName>
    <definedName name="Claus">#REF!</definedName>
    <definedName name="Client">[25]OUTPUTS!$C$9</definedName>
    <definedName name="close">OFFSET([64]!sell,,1)</definedName>
    <definedName name="CM">#REF!</definedName>
    <definedName name="cmdSave">[65]!cmdSave</definedName>
    <definedName name="cnh">#REF!</definedName>
    <definedName name="cny">'[57]BS Currencies'!$B$6</definedName>
    <definedName name="cnyis">'[57]IS Currencies'!$B$6</definedName>
    <definedName name="COA" hidden="1">{"MONTHPLAN",#N/A,FALSE,"DETAIL REPORT";"MONTHPRIOR",#N/A,FALSE,"DETAIL REPORT";"YTDPLAN",#N/A,FALSE,"DETAIL REPORT";"YTDPRIOR",#N/A,FALSE,"DETAIL REPORT"}</definedName>
    <definedName name="coah">#REF!</definedName>
    <definedName name="Coat_order_high">#REF!</definedName>
    <definedName name="Coat_order_low">'[27]datasheet to l_q'!$C$70</definedName>
    <definedName name="Coat_prog_high">#REF!</definedName>
    <definedName name="Coat_prog_low">'[27]datasheet to l_q'!$C$69</definedName>
    <definedName name="Coat_TR_1_high">#REF!</definedName>
    <definedName name="Coat_TR_1_low">'[27]datasheet to l_q'!$C$71</definedName>
    <definedName name="Coat_TR_2_high">#REF!</definedName>
    <definedName name="Coat_TR_2_low">'[27]datasheet to l_q'!$C$81</definedName>
    <definedName name="Coat_WI_high">#REF!</definedName>
    <definedName name="Coat_WI_low">'[27]datasheet to l_q'!$C$68</definedName>
    <definedName name="Coating_qual_1_high">#REF!</definedName>
    <definedName name="Coating_qual_1_low">'[27]datasheet to l_q'!$C$91</definedName>
    <definedName name="Coating_qual_2_high">#REF!</definedName>
    <definedName name="Coating_qual_2_low">'[27]datasheet to l_q'!$C$92</definedName>
    <definedName name="Cod_CCO">[66]_CountryCodes!#REF!</definedName>
    <definedName name="code">#REF!</definedName>
    <definedName name="codes">#REF!</definedName>
    <definedName name="coef11">'[67]ACB 4POLE PRO.'!$N$7</definedName>
    <definedName name="coef22">'[67]ACB 4POLE PRO.'!$N$8</definedName>
    <definedName name="cofins">#REF!</definedName>
    <definedName name="col_10">#REF!</definedName>
    <definedName name="col_11">#REF!</definedName>
    <definedName name="col_3">#REF!</definedName>
    <definedName name="col_4">#REF!</definedName>
    <definedName name="col_5">#REF!</definedName>
    <definedName name="col_6">#REF!</definedName>
    <definedName name="col_7">#REF!</definedName>
    <definedName name="col_8">#REF!</definedName>
    <definedName name="col_9">#REF!</definedName>
    <definedName name="Collect_mat_high">#REF!</definedName>
    <definedName name="Collect_mat_low">'[27]datasheet to l_q'!$C$14</definedName>
    <definedName name="Commission">#REF!</definedName>
    <definedName name="Commission.">#REF!</definedName>
    <definedName name="Commodity">[28]Link!$F$3:$F$63</definedName>
    <definedName name="comp">[68]Sheet2!#REF!</definedName>
    <definedName name="COMPANY">'[69]0 - INFORMATIONS'!$C$4</definedName>
    <definedName name="Company_Code">#REF!</definedName>
    <definedName name="Comparaison_Lot_AL">#REF!</definedName>
    <definedName name="ConditionSelect">[65]!ConditionSelect</definedName>
    <definedName name="CONN">[29]ATT5!#REF!</definedName>
    <definedName name="consignment">'[70]working(with mat''l cost)'!$A$1:$H$41</definedName>
    <definedName name="Contr_eng_high">#REF!</definedName>
    <definedName name="Contr_eng_low">'[27]datasheet to l_q'!$C$133</definedName>
    <definedName name="Copy">#REF!</definedName>
    <definedName name="CORP">[29]ATT5!#REF!</definedName>
    <definedName name="Corresp_CR">[71]Source!$F$2:$G$54</definedName>
    <definedName name="Corresp_Fonction">[71]Source!$C$2:$D$7</definedName>
    <definedName name="Cost_of_Capital">'[72]Project Info'!$C$30</definedName>
    <definedName name="Cost_of_Capital.">'[73]Project Info'!$C$30</definedName>
    <definedName name="cost_pilot_test">[74]Modèle!#REF!</definedName>
    <definedName name="Country">[25]Tables!$A$208</definedName>
    <definedName name="country_name">[75]Content!$F$11</definedName>
    <definedName name="country_nb">[75]Feuil1!$B$3:$C$51</definedName>
    <definedName name="COURS">#REF!</definedName>
    <definedName name="Cout_insertion_par_comp">[74]Modèle!$B$44</definedName>
    <definedName name="coversheet">#REF!</definedName>
    <definedName name="CPD">[29]ATT5!#REF!</definedName>
    <definedName name="CPL">#REF!</definedName>
    <definedName name="CPU">#REF!</definedName>
    <definedName name="CQUEST_DATABASE_NAME">[76]Configuration!#REF!</definedName>
    <definedName name="CQUEST_DBSET">[76]Configuration!#REF!</definedName>
    <definedName name="CQUEST_LOGIN">[76]Configuration!#REF!</definedName>
    <definedName name="CQUEST_NEWSCHEMA">[76]Configuration!#REF!</definedName>
    <definedName name="CQUEST_PASSWORD">[76]Configuration!#REF!</definedName>
    <definedName name="CQUEST_PROJECT">[76]Configuration!#REF!</definedName>
    <definedName name="CQUEST_USE">[76]Configuration!#REF!</definedName>
    <definedName name="cr_status_fmt_2002_sisc_rc_mst">'[77]2007 RECO WITH INR'!#REF!</definedName>
    <definedName name="Credit">'[78]Receivables Zones'!$A$1:$IV$65536</definedName>
    <definedName name="_xlnm.Criteria">#REF!</definedName>
    <definedName name="Criteria_Attached_Entity">'[44]Listes de Sélection'!$S$3:$AA$38</definedName>
    <definedName name="Criteria_Currency">'[44]Listes de Sélection'!$B$40:$C$42</definedName>
    <definedName name="Criteria_Entity">'[44]Listes de Sélection'!$I$3:$L$38</definedName>
    <definedName name="Criteria_Input_Reports">[44]Paramètres!$H$4:$H$5,[44]Paramètres!$H$7,[44]Paramètres!$H$10:$H$14,[44]Paramètres!$H$16:$H$17</definedName>
    <definedName name="Criteria_Modules">'[44]Listes de Sélection'!$B$45:$C$47</definedName>
    <definedName name="Criteria_Month">'[44]Listes de Sélection'!$B$3:$C$14</definedName>
    <definedName name="Criteria_Partners">'[44]Listes de Sélection'!$N$3:$P$525</definedName>
    <definedName name="Criteria_Partners_HG">'[44]Listes de Sélection'!$N$240:$P$525</definedName>
    <definedName name="Criteria_Partners_IG">'[44]Listes de Sélection'!$N$3:$P$239</definedName>
    <definedName name="Criteria_Phase">'[44]Listes de Sélection'!$B$17:$C$27</definedName>
    <definedName name="Criteria_Reports_budget">[44]Paramètres!$K$5:$K$24</definedName>
    <definedName name="Criteria_Reports_Display">[44]Paramètres!$I$5:$I$24</definedName>
    <definedName name="Criteria_Reports_Input">[44]Paramètres!$J$5:$J$24</definedName>
    <definedName name="Criteria_Screen_Budget">'[44]Listes de Sélection'!$B$54:$C$54</definedName>
    <definedName name="Criteria_Screen_Budget_Conso">'[44]Listes de Sélection'!$D$54:$E$54</definedName>
    <definedName name="Criteria_Screen_Budget_SaisieConso">'[44]Listes de Sélection'!$F$54:$G$54</definedName>
    <definedName name="Criteria_Screen_Display">'[44]Listes de Sélection'!$B$73:$C$75</definedName>
    <definedName name="Criteria_Screen_Display_Conso">'[44]Listes de Sélection'!$D$73:$E$79</definedName>
    <definedName name="Criteria_Screen_Display_SaisieConso">'[44]Listes de Sélection'!$F$73:$G$79</definedName>
    <definedName name="Criteria_Screen_Input">'[44]Listes de Sélection'!$B$63:$C$64</definedName>
    <definedName name="Criteria_Screen_Input_Base">'[44]Listes de Sélection'!$J$51:$L$68</definedName>
    <definedName name="Criteria_Screen_Input_Conso">'[44]Listes de Sélection'!$D$63:$E$63</definedName>
    <definedName name="Criteria_Screen_Input_SaisieConso">'[44]Listes de Sélection'!$F$63:$G$64</definedName>
    <definedName name="Criteria_Year">'[44]Listes de Sélection'!$B$30:$C$33</definedName>
    <definedName name="Cubicle_Height">#REF!</definedName>
    <definedName name="Cubicle_Length">#REF!</definedName>
    <definedName name="Cubicle_Width">#REF!</definedName>
    <definedName name="cuivre">[26]synthèse!$B$18</definedName>
    <definedName name="cur">#REF!</definedName>
    <definedName name="Currency">[28]Link!$X$3:$X$33</definedName>
    <definedName name="CurrencyConv">[28]Link!$AG$3:$AH$34</definedName>
    <definedName name="CURRENTYEAR">#REF!</definedName>
    <definedName name="CURRMONTH">#REF!</definedName>
    <definedName name="cus">#REF!</definedName>
    <definedName name="cvd">#REF!</definedName>
    <definedName name="CVDVP1">'[79]CCV analysis'!$AK$184</definedName>
    <definedName name="d" hidden="1">#REF!</definedName>
    <definedName name="D11__20">#REF!</definedName>
    <definedName name="D11__20_Total">#REF!</definedName>
    <definedName name="d1231dd">[80]!検索条件選択キャンセルボタン</definedName>
    <definedName name="DaRWk1">#REF!</definedName>
    <definedName name="Darwk1.">#REF!</definedName>
    <definedName name="DaRWk10">#REF!</definedName>
    <definedName name="Darwk10.">#REF!</definedName>
    <definedName name="DaRWk11">#REF!</definedName>
    <definedName name="Darwk11.">#REF!</definedName>
    <definedName name="DaRWk12">#REF!</definedName>
    <definedName name="Darwk12.">#REF!</definedName>
    <definedName name="DaRWk2">#REF!</definedName>
    <definedName name="Darwk2.">#REF!</definedName>
    <definedName name="DaRWk3">#REF!</definedName>
    <definedName name="Darwk3.">#REF!</definedName>
    <definedName name="DaRWk4">#REF!</definedName>
    <definedName name="Darwk4.">#REF!</definedName>
    <definedName name="DaRWk5">#REF!</definedName>
    <definedName name="Darwk5.">#REF!</definedName>
    <definedName name="DaRWk6">#REF!</definedName>
    <definedName name="Darwk6.">#REF!</definedName>
    <definedName name="DaRWk8">#REF!</definedName>
    <definedName name="Darwk8.">#REF!</definedName>
    <definedName name="DaRwk9">#REF!</definedName>
    <definedName name="Darwk9.">#REF!</definedName>
    <definedName name="DAS">#REF!</definedName>
    <definedName name="DATA">OFFSET(#REF!,NUM,5,1,28)</definedName>
    <definedName name="Data_Origin">[28]Link!#REF!</definedName>
    <definedName name="data25">#REF!</definedName>
    <definedName name="data28">#REF!</definedName>
    <definedName name="data29">#REF!</definedName>
    <definedName name="DataAustralie">[81]Australie!$A$30:$G$748</definedName>
    <definedName name="_xlnm.Database">#REF!</definedName>
    <definedName name="Database.">#REF!</definedName>
    <definedName name="Database..">#REF!</definedName>
    <definedName name="DataBOM">#REF!</definedName>
    <definedName name="DataBOM2">#REF!</definedName>
    <definedName name="DatabT001bis">#REF!</definedName>
    <definedName name="DataCanada">[81]Canada!$A$30:$G$683</definedName>
    <definedName name="DataCoree">[81]Corée!$A$30:$G$263</definedName>
    <definedName name="DataF">#REF!</definedName>
    <definedName name="DataHongKong">[81]HongKong!$A$30:$G$584</definedName>
    <definedName name="DataInde">[81]Inde!$A$30:$G$840</definedName>
    <definedName name="DataIndonesie">[81]Indonésie!$A$30:$G$261</definedName>
    <definedName name="DataJapon">[81]Japon!$A$30:$G$367</definedName>
    <definedName name="DataM">#REF!</definedName>
    <definedName name="DataMexique">[81]Mexique!$A$30:$G$540</definedName>
    <definedName name="DataNZelande">[81]NZelande!$A$30:$G$439</definedName>
    <definedName name="DataPhilippines">[81]Philippines!$A$30:$G$102</definedName>
    <definedName name="DataSBLV">[81]SBLV!$A$30:$G$57</definedName>
    <definedName name="DataSBMV">[81]SBMV!$A$30:$G$97</definedName>
    <definedName name="DataSingapour">[81]Singapour!$A$30:$G$772</definedName>
    <definedName name="DataSQD">[81]SQD!$A$30:$G$896</definedName>
    <definedName name="DataSSC">[81]SSC!$A$30:$G$70</definedName>
    <definedName name="DataSSPA">[81]SSPA!$A$30:$G$1108</definedName>
    <definedName name="DataT003Bis">#REF!</definedName>
    <definedName name="DataTaiwan">[81]Taiwan!$A$30:$G$542</definedName>
    <definedName name="DataThailande">[81]Thailande!$A$30:$G$211</definedName>
    <definedName name="Datatsclients">'[81]ts clients'!$A$30:$G$3696</definedName>
    <definedName name="DataVietnam">[81]Vietnam!$A$30:$G$40</definedName>
    <definedName name="DatavigiC1">#REF!</definedName>
    <definedName name="DATE">#REF!</definedName>
    <definedName name="Date_Month">[28]Link!$Z$3:$Z$87</definedName>
    <definedName name="DaWk7">#REF!</definedName>
    <definedName name="Dawk7.">#REF!</definedName>
    <definedName name="day_range">#REF!</definedName>
    <definedName name="day_range.">#REF!</definedName>
    <definedName name="day_range..">#REF!</definedName>
    <definedName name="DayspYear">[25]MaterialDetail!$C$56</definedName>
    <definedName name="daysrange">#REF!</definedName>
    <definedName name="daysrange.">#REF!</definedName>
    <definedName name="daysrange..">#REF!</definedName>
    <definedName name="DBB_15">#REF!</definedName>
    <definedName name="DBB_23">#REF!</definedName>
    <definedName name="DBB_35">#REF!</definedName>
    <definedName name="dbrwk1">#REF!</definedName>
    <definedName name="dbrwk1.">#REF!</definedName>
    <definedName name="dbrwk10">#REF!</definedName>
    <definedName name="dbrwk10.">#REF!</definedName>
    <definedName name="dbrwk11">#REF!</definedName>
    <definedName name="dbrwk11.">#REF!</definedName>
    <definedName name="dbrwk12">#REF!</definedName>
    <definedName name="dbrwk12.">#REF!</definedName>
    <definedName name="dbrwk2">#REF!</definedName>
    <definedName name="dbrwk2.">#REF!</definedName>
    <definedName name="dbrwk3">#REF!</definedName>
    <definedName name="dbrwk3.">#REF!</definedName>
    <definedName name="dbrwk4">#REF!</definedName>
    <definedName name="dbrwk4.">#REF!</definedName>
    <definedName name="dbrwk5">#REF!</definedName>
    <definedName name="dbrwk5.">#REF!</definedName>
    <definedName name="dbrwk6">#REF!</definedName>
    <definedName name="dbrwk6.">#REF!</definedName>
    <definedName name="dbrwk7">#REF!</definedName>
    <definedName name="dbrwk7.">#REF!</definedName>
    <definedName name="dbrwk8">#REF!</definedName>
    <definedName name="dbrwk8.">#REF!</definedName>
    <definedName name="dbrwk9">#REF!</definedName>
    <definedName name="dbrwk9.">#REF!</definedName>
    <definedName name="DCE_27X">#REF!</definedName>
    <definedName name="DCE_64A">#REF!</definedName>
    <definedName name="DCE_67AX">[34]PR孔!#REF!</definedName>
    <definedName name="DCE_80AX">#REF!</definedName>
    <definedName name="DCE_80X">#REF!</definedName>
    <definedName name="DCE_82AX">#REF!</definedName>
    <definedName name="DCE_82X">#REF!</definedName>
    <definedName name="DCE_83">#REF!</definedName>
    <definedName name="DCE_93">#REF!</definedName>
    <definedName name="dcrwk1">#REF!</definedName>
    <definedName name="dcrwk1.">#REF!</definedName>
    <definedName name="dcrwk10">#REF!</definedName>
    <definedName name="dcrwk10.">#REF!</definedName>
    <definedName name="dcrwk11">#REF!</definedName>
    <definedName name="dcrwk11.">#REF!</definedName>
    <definedName name="dcrwk12">#REF!</definedName>
    <definedName name="dcrwk12.">#REF!</definedName>
    <definedName name="dcrwk2">#REF!</definedName>
    <definedName name="dcrwk2.">#REF!</definedName>
    <definedName name="dcrwk3">#REF!</definedName>
    <definedName name="dcrwk3.">#REF!</definedName>
    <definedName name="dcrwk4">#REF!</definedName>
    <definedName name="dcrwk4.">#REF!</definedName>
    <definedName name="dcrwk5">#REF!</definedName>
    <definedName name="dcrwk5.">#REF!</definedName>
    <definedName name="dcrwk6">#REF!</definedName>
    <definedName name="dcrwk6.">#REF!</definedName>
    <definedName name="dcrwk7">#REF!</definedName>
    <definedName name="dcrwk7.">#REF!</definedName>
    <definedName name="dcrwk8">#REF!</definedName>
    <definedName name="dcrwk8.">#REF!</definedName>
    <definedName name="dcrwk9">#REF!</definedName>
    <definedName name="dcrwk9.">#REF!</definedName>
    <definedName name="dd">[82]LANG!$A$1:$IV$65536</definedName>
    <definedName name="ddddd">[83]Sheet1!$A$6671:$L$8337</definedName>
    <definedName name="ddddddd">#REF!</definedName>
    <definedName name="dddddddd">[80]!ConditionSelect</definedName>
    <definedName name="DEBUT_DONNEE">#REF!</definedName>
    <definedName name="DEBUT_DONNEES">#REF!</definedName>
    <definedName name="decoupe">[26]synthèse!$B$15</definedName>
    <definedName name="defdev">'[84]Old Parité'!$E$6:$F$195</definedName>
    <definedName name="DelDC">#REF!</definedName>
    <definedName name="DelDC.">#REF!</definedName>
    <definedName name="DelDm">#REF!</definedName>
    <definedName name="DelDm.">#REF!</definedName>
    <definedName name="Delivery">#REF!</definedName>
    <definedName name="Delivery.">#REF!</definedName>
    <definedName name="DeliveryModelTable">[43]Tables!$B$38:$J$130</definedName>
    <definedName name="DelType">#REF!</definedName>
    <definedName name="DelType.">#REF!</definedName>
    <definedName name="DEM">#REF!</definedName>
    <definedName name="DepanTime">[30]Tables!$A$64</definedName>
    <definedName name="DEPT">[71]Source!$A$2:$A$23</definedName>
    <definedName name="dept2">#REF!</definedName>
    <definedName name="DEPT3">#REF!</definedName>
    <definedName name="deptLookup">#REF!</definedName>
    <definedName name="deptlookup.">#REF!</definedName>
    <definedName name="Destination_analytique">#REF!</definedName>
    <definedName name="DétailAVR">[47]Data!$B$21:$G$23</definedName>
    <definedName name="DétailEXT">[47]Data!$B$17:$L$19</definedName>
    <definedName name="DétailREL">[47]Data!$B$13:$L$15</definedName>
    <definedName name="DEV">#REF!</definedName>
    <definedName name="DEVISE">#REF!</definedName>
    <definedName name="DEVISE_CONV">#REF!</definedName>
    <definedName name="dfsdfs">[22]Synthèse!#REF!</definedName>
    <definedName name="dfsdfsf">[22]Synthèse!#REF!</definedName>
    <definedName name="dfsfdsfs">'[37]C1 BOM'!#REF!</definedName>
    <definedName name="Días">[85]Days!$C$1:$C$23</definedName>
    <definedName name="didr">1-'[86]Mth-Vana'!$I$15</definedName>
    <definedName name="didr2">1-'[60]Mth-Vana'!$I$15</definedName>
    <definedName name="DIF">'[87]ANAL-MB'!#REF!</definedName>
    <definedName name="DIP">#REF!</definedName>
    <definedName name="DISCOUNT">#REF!</definedName>
    <definedName name="DISCTABLE">#REF!</definedName>
    <definedName name="Display_Attached_Entity1">[44]Paramètres!$E$27</definedName>
    <definedName name="Display_Attached_Entity2">[44]Paramètres!$E$28</definedName>
    <definedName name="Display_Attached_Entity3">[44]Paramètres!$E$29</definedName>
    <definedName name="Display_Attached_Entity4">[44]Paramètres!$E$30</definedName>
    <definedName name="Display_Attached_Entity5">[44]Paramètres!$E$31</definedName>
    <definedName name="Display_Attached_Entity6">[44]Paramètres!$E$32</definedName>
    <definedName name="Display_Attached_Entity7">[44]Paramètres!$E$33</definedName>
    <definedName name="Display_Attached_Entity8">[44]Paramètres!$E$34</definedName>
    <definedName name="Display_Currency">[44]Paramètres!$E$14</definedName>
    <definedName name="Display_Entity">[44]Paramètres!$E$15</definedName>
    <definedName name="Display_Month">[44]Paramètres!$E$13</definedName>
    <definedName name="Display_Year">[44]Paramètres!$E$12</definedName>
    <definedName name="distrib_cost">[74]Modèle!$C$35</definedName>
    <definedName name="distrib_factor">[74]Modèle!$C$14</definedName>
    <definedName name="DivMgr">[30]Tables!$A$101</definedName>
    <definedName name="dkkdk">[22]Synthèse!#REF!</definedName>
    <definedName name="DMTPackTime">[30]Tables!$A$55</definedName>
    <definedName name="DMTScrapAdj">[43]Tables!$A$120</definedName>
    <definedName name="do">OFFSET([64]!sell,,-3)</definedName>
    <definedName name="Doc_high">#REF!</definedName>
    <definedName name="Doc_low">'[27]datasheet to l_q'!$C$8</definedName>
    <definedName name="Document_Date">#REF!</definedName>
    <definedName name="Données_de_base">#REF!</definedName>
    <definedName name="DonnesBis">'[78]OG Sales with VAT'!$A$1:$IV$65536</definedName>
    <definedName name="Dotations">#REF!</definedName>
    <definedName name="DP" hidden="1">{"'Leading KPI'!$A$1:$P$33","'Leading KPI'!$A$1:$P$33"}</definedName>
    <definedName name="dr">'[63]BASE DE DATOS'!$EX$5</definedName>
    <definedName name="DRC">[19]current!$AK$28:$AK$40</definedName>
    <definedName name="DS">[29]ATT5!#REF!</definedName>
    <definedName name="dsfdsfdl">'[49]Listes de Sélection'!$B$3:$C$14</definedName>
    <definedName name="dsgd">1-'[86]Mth-Vana'!$I$12</definedName>
    <definedName name="DSO">'[88]DSO by country'!$A$1:$IV$65536</definedName>
    <definedName name="DSO_APOD">#REF!</definedName>
    <definedName name="DSO_APOD_07">#REF!</definedName>
    <definedName name="DSOJune">'[38]DSO June 2007 23 07 07'!$A$1:$IV$65536</definedName>
    <definedName name="DSSpeedFactor">[43]Tables!$A$48</definedName>
    <definedName name="DT">[41]Quote!$B$5</definedName>
    <definedName name="DTI_49X">[34]PR孔!#REF!</definedName>
    <definedName name="DTI_70X">[34]PR孔!#REF!</definedName>
    <definedName name="DTI_84">#REF!</definedName>
    <definedName name="DTM_9">#REF!</definedName>
    <definedName name="duduf">#REF!</definedName>
    <definedName name="dumppr">#REF!</definedName>
    <definedName name="dumppr.">#REF!</definedName>
    <definedName name="dvol">1-'[86]Mth-Vana'!$I$24</definedName>
    <definedName name="E">'[89]MES filtres'!$B$1</definedName>
    <definedName name="E10_1BX">#REF!</definedName>
    <definedName name="E10_1GF">#REF!</definedName>
    <definedName name="E10_1GG">#REF!</definedName>
    <definedName name="E10_354">#REF!</definedName>
    <definedName name="E10_384">#REF!</definedName>
    <definedName name="E10_D74">#REF!</definedName>
    <definedName name="EB1_Budget1">[44]EB1!$D$8:$P$66</definedName>
    <definedName name="EBIT_Sales">#REF!</definedName>
    <definedName name="EDBU">[29]ATT5!#REF!</definedName>
    <definedName name="ee" hidden="1">{"Portada",#N/A,FALSE,"Pres";"PL",#N/A,FALSE,"P&amp;L";"SFC",#N/A,FALSE,"SFC";"CE",#N/A,FALSE,"Capital Employed";"M+1",#N/A,FALSE,"Prev. (M+1)";"TRI",#N/A,FALSE,"Prev. Trim.";"YEF",#N/A,FALSE,"Prev. Fin Année"}</definedName>
    <definedName name="EEA">[62]Space!$T$2:$T$5</definedName>
    <definedName name="Efectiv.septiembre">'[90]1994XLS'!#REF!</definedName>
    <definedName name="efectivos09">#REF!</definedName>
    <definedName name="EL">#REF!</definedName>
    <definedName name="ELIMS">[29]ATT5!#REF!</definedName>
    <definedName name="Employee_Number">#REF!</definedName>
    <definedName name="EN_Name">[91]Entity_List!$E$7</definedName>
    <definedName name="End">OFFSET([64]!sell,,12)</definedName>
    <definedName name="EngpMonth">[30]Tables!$A$181</definedName>
    <definedName name="Entity">'[92]Entity List'!$A$2:$A$28</definedName>
    <definedName name="Entity_Name">#REF!</definedName>
    <definedName name="EntityType">[93]Table!$B$184:$B$191</definedName>
    <definedName name="EPE">[29]ATT5!#REF!</definedName>
    <definedName name="ER1_Restitution1">[44]ER1!$B$9:$AF$19</definedName>
    <definedName name="ER1_Restitution10">[44]ER1!$U$47:$AC$54</definedName>
    <definedName name="ER1_Restitution11">[44]ER1!$D$67:$W$73</definedName>
    <definedName name="ER1_Restitution12">[44]ER1!$D$74:$W$80</definedName>
    <definedName name="ER1_Restitution13">[44]ER1!$D$81:$W$87</definedName>
    <definedName name="ER1_Restitution14">[44]ER1!$D$88:$W$94</definedName>
    <definedName name="ER1_Restitution15">[44]ER1!$D$100:$X$106</definedName>
    <definedName name="ER1_Restitution16">[44]ER1!$D$107:$W$113</definedName>
    <definedName name="ER1_Restitution17">[44]ER1!$D$114:$W$120</definedName>
    <definedName name="ER1_Restitution18">[44]ER1!$D$121:$W$127</definedName>
    <definedName name="ER1_Restitution19">[44]ER1!$D$135:$Z$141</definedName>
    <definedName name="ER1_Restitution2">[44]ER1!$B$28:$X$38</definedName>
    <definedName name="ER1_Restitution3">[44]ER1!$E$47:$F$60</definedName>
    <definedName name="ER1_Restitution4">[44]ER1!$G$47:$H$60</definedName>
    <definedName name="ER1_Restitution5">[44]ER1!$I$47:$J$60</definedName>
    <definedName name="ER1_Restitution6">[44]ER1!$K$47:$L$60</definedName>
    <definedName name="ER1_Restitution7">[44]ER1!$M$47:$N$60</definedName>
    <definedName name="ER1_Restitution8">[44]ER1!$O$47:$P$60</definedName>
    <definedName name="ER1_Restitution9">[44]ER1!$Q$47:$R$58</definedName>
    <definedName name="ER10_Restitution1">[44]ER10_Old!$A$6:$AP$50</definedName>
    <definedName name="ER11_Restitution1">[44]ER11_Old!$E$8:$R$444</definedName>
    <definedName name="ER2_Restitution1">[44]ER2!$B$8:$S$23</definedName>
    <definedName name="ER2_Restitution2">[44]ER2!$B$27:$S$42</definedName>
    <definedName name="ER2_Restitution3">[44]ER2!$B$46:$S$61</definedName>
    <definedName name="ER2_Vider1">[44]ER2!$D$15:$P$23</definedName>
    <definedName name="ER2_Vider2">[44]ER2!$D$34:$P$42</definedName>
    <definedName name="ER2_Vider3">[44]ER2!$D$53:$P$61</definedName>
    <definedName name="ER3_Restitution1">[44]ER3!$A$10:$AN$24</definedName>
    <definedName name="ER3_Restitution10">[44]ER3!$AS$48:$AT$60</definedName>
    <definedName name="ER3_Restitution2">[44]ER3!$A$29:$AT$43</definedName>
    <definedName name="ER3_Restitution3">[44]ER3!$A$48:$AE$62</definedName>
    <definedName name="ER3_Restitution4">[44]ER3!$AG$48:$AH$60</definedName>
    <definedName name="ER3_Restitution5">[44]ER3!$AI$48:$AJ$60</definedName>
    <definedName name="ER3_Restitution6">[44]ER3!$AK$48:$AL$60</definedName>
    <definedName name="ER3_Restitution7">[44]ER3!$AM$48:$AN$60</definedName>
    <definedName name="ER3_Restitution8">[44]ER3!$AO$48:$AP$60</definedName>
    <definedName name="ER3_Restitution9">[44]ER3!$AQ$48:$AR$60</definedName>
    <definedName name="ER4_Restitution1">[44]ER4_Old!$C$8:$P$62</definedName>
    <definedName name="ER5_Restitution1">[44]ER5!$B$8:$S$23</definedName>
    <definedName name="ER5_Restitution2">[44]ER5!$B$27:$S$42</definedName>
    <definedName name="ER5_Restitution3">[44]ER5!$B$46:$S$61</definedName>
    <definedName name="ER5_Restitution4">[44]ER5!$B$65:$N$74</definedName>
    <definedName name="ER6_Restitution1">[44]ER6_Old!$A$6:$AP$160</definedName>
    <definedName name="ER7_Restitution1">[44]ER7!$C$7:$AN$435</definedName>
    <definedName name="ER8_Restitution1">[44]ER8!$D$8:$P$194</definedName>
    <definedName name="ER9_Restitution1">[44]ER9!$C$7:$P$1151</definedName>
    <definedName name="ES1_Saisie1">[44]ES1!$B$9:$AF$19</definedName>
    <definedName name="ES1_Saisie10">[44]ES1!$U$47:$AA$54</definedName>
    <definedName name="ES1_Saisie11">[44]ES1!$D$66:$W$72</definedName>
    <definedName name="ES1_Saisie12">[44]ES1!$D$73:$W$79</definedName>
    <definedName name="ES1_Saisie13">[44]ES1!$D$80:$W$86</definedName>
    <definedName name="ES1_Saisie14">[44]ES1!$D$87:$W$93</definedName>
    <definedName name="ES1_Saisie15">[44]ES1!$D$99:$W$105</definedName>
    <definedName name="ES1_Saisie16">[44]ES1!$D$106:$W$112</definedName>
    <definedName name="ES1_Saisie17">[44]ES1!$D$113:$W$119</definedName>
    <definedName name="ES1_Saisie18">[44]ES1!$D$120:$W$126</definedName>
    <definedName name="ES1_Saisie19">[44]ES1!$D$133:$Z$139</definedName>
    <definedName name="ES1_Saisie2">[44]ES1!$B$28:$X$38</definedName>
    <definedName name="ES1_Saisie3">[44]ES1!$E$47:$F$60</definedName>
    <definedName name="ES1_Saisie4">[44]ES1!$G$47:$H$60</definedName>
    <definedName name="ES1_Saisie5">[44]ES1!$I$47:$J$60</definedName>
    <definedName name="ES1_Saisie6">[44]ES1!$K$47:$L$60</definedName>
    <definedName name="ES1_Saisie7">[44]ES1!$M$47:$N$60</definedName>
    <definedName name="ES1_Saisie8">[44]ES1!$O$47:$P$60</definedName>
    <definedName name="ES1_Saisie9">[44]ES1!$Q$47:$R$60</definedName>
    <definedName name="ES2_Saisie1">[44]ES2!$A$9:$H$58</definedName>
    <definedName name="ES2_Saisie2">[44]ES2!$A$60:$H$127</definedName>
    <definedName name="ESP">#REF!</definedName>
    <definedName name="essb">#REF!</definedName>
    <definedName name="eur">#REF!</definedName>
    <definedName name="eurate">#REF!</definedName>
    <definedName name="EURis">'[57]IS Currencies'!$B$3</definedName>
    <definedName name="euro">#REF!</definedName>
    <definedName name="eurous">[94]Curency!$D$27</definedName>
    <definedName name="Ex_annuel_en_cours">#REF!</definedName>
    <definedName name="Ex_anterieur_mm_periode">#REF!</definedName>
    <definedName name="ex_en_cours">#REF!</definedName>
    <definedName name="EX_N">#REF!</definedName>
    <definedName name="Exercice">[31]Paramétrage!$C$12</definedName>
    <definedName name="ExpectedRange">#REF!</definedName>
    <definedName name="_xlnm.Extract">'[90]1994XLS'!#REF!</definedName>
    <definedName name="FacAlloc">[25]Tables!$A$198</definedName>
    <definedName name="FacilitySqFt">[30]Tables!$A$192</definedName>
    <definedName name="Familles">[95]listes!$G$1:$G$27</definedName>
    <definedName name="Family">#REF!</definedName>
    <definedName name="FCTRepairTime">[30]Tables!$A$134</definedName>
    <definedName name="FCTStaff">[43]Tables!$A$91</definedName>
    <definedName name="FCTTime">[30]Tables!$A$63</definedName>
    <definedName name="FCTYield">[43]Tables!$A$81</definedName>
    <definedName name="fdg">1-'[96]Mth-Vana'!$I$12</definedName>
    <definedName name="FDRate">[30]Tables!$A$250</definedName>
    <definedName name="FEB">'[36]EX RATE'!$C$2:$C$10</definedName>
    <definedName name="FEB_07">#REF!</definedName>
    <definedName name="FEB_2007">#REF!</definedName>
    <definedName name="Fechas_NÓM">#REF!</definedName>
    <definedName name="ff" hidden="1">{"'Leading KPI'!$A$1:$P$33","'Leading KPI'!$A$1:$P$33"}</definedName>
    <definedName name="FFR">'[36]EX RATE'!$B$3:$M$3</definedName>
    <definedName name="FFT_155">#REF!</definedName>
    <definedName name="fhjh">'[54]EDC-DAS'!#REF!</definedName>
    <definedName name="FIN_50_6">#REF!</definedName>
    <definedName name="FINAL">#REF!</definedName>
    <definedName name="FINAL..">#REF!</definedName>
    <definedName name="FINAL_CONFIG">#REF!</definedName>
    <definedName name="FINAL_CONFIG..">#REF!</definedName>
    <definedName name="FINAL_INSPECT">#REF!</definedName>
    <definedName name="FINAL_INSPECT..">#REF!</definedName>
    <definedName name="First_BU">#REF!</definedName>
    <definedName name="flag_smt">[74]Modèle!$C$19</definedName>
    <definedName name="flag_test_fct">[74]Modèle!$C$18</definedName>
    <definedName name="flag_test_insitu">[74]Modèle!$C$17</definedName>
    <definedName name="FLUX">#REF!</definedName>
    <definedName name="FLUX1">#REF!</definedName>
    <definedName name="FlyingProbe">[30]Tables!$A$75</definedName>
    <definedName name="Foam_Quantity">#REF!</definedName>
    <definedName name="Foam_Weight">#REF!</definedName>
    <definedName name="FOLIO">#REF!</definedName>
    <definedName name="FOREX">[5]forex!$A$3:$G$8</definedName>
    <definedName name="FPA_Orders_By_MPG">'[97]Orders Fcst'!$A$1:$J$84</definedName>
    <definedName name="FPA_Output_Ships">'[97]Ship Fcst'!$A$1:$H$181</definedName>
    <definedName name="fpp">[98]!検索条件保存キャンセルボタン</definedName>
    <definedName name="fr">#REF!</definedName>
    <definedName name="FR_Table">[99]Input!$A$2:$B$15</definedName>
    <definedName name="FRAMES">#REF!</definedName>
    <definedName name="FRAMES..">#REF!</definedName>
    <definedName name="France">#REF!</definedName>
    <definedName name="fre">#REF!</definedName>
    <definedName name="freight2">'[67]ACB 4POLE PRO.'!$G$7</definedName>
    <definedName name="FRF">#REF!</definedName>
    <definedName name="FRO_13_2">#REF!</definedName>
    <definedName name="Front_Buffer2">#REF!</definedName>
    <definedName name="fsfsdfdsfs">[22]Synthèse!#REF!</definedName>
    <definedName name="FSM">[29]ATT5!#REF!</definedName>
    <definedName name="FST_84_1">#REF!</definedName>
    <definedName name="FST_84_3">#REF!</definedName>
    <definedName name="FST_93">#REF!</definedName>
    <definedName name="FSW_12">#REF!</definedName>
    <definedName name="FU_doc_high">#REF!</definedName>
    <definedName name="FU_doc_low">#REF!</definedName>
    <definedName name="FU_order_high">#REF!</definedName>
    <definedName name="FU_order_low">#REF!</definedName>
    <definedName name="FU_TR_high">#REF!</definedName>
    <definedName name="FU_TR_low">#REF!</definedName>
    <definedName name="FU_valid_ext_low">#REF!</definedName>
    <definedName name="FU_valid_int_debug_high">#REF!</definedName>
    <definedName name="FU_valid_int_debug_low">#REF!</definedName>
    <definedName name="Function">[71]Source!$C$2:$C$4</definedName>
    <definedName name="fx">#REF!</definedName>
    <definedName name="G">1-'[23]Mth-Vana'!$I$15</definedName>
    <definedName name="gb">#REF!</definedName>
    <definedName name="GBP">#REF!</definedName>
    <definedName name="GDB">[100]Importing!$S$5</definedName>
    <definedName name="goal">'[26]détail 29-6'!$AM$52</definedName>
    <definedName name="ｇｐｐ">[98]!検索条件選択キャンセルボタン</definedName>
    <definedName name="grafico">[101]Hoja1!$B$37:$O$87</definedName>
    <definedName name="GROUPE">[59]ATT9!$A$1:$M$44</definedName>
    <definedName name="GrphActSales">#REF!</definedName>
    <definedName name="GrphActSales.">#REF!</definedName>
    <definedName name="GrphActStk">#REF!</definedName>
    <definedName name="GrphActStk.">#REF!</definedName>
    <definedName name="GrphPlanSales">#REF!</definedName>
    <definedName name="Grphplansales.">#REF!</definedName>
    <definedName name="GrphTgtStk">#REF!</definedName>
    <definedName name="Grphtgtstk.">#REF!</definedName>
    <definedName name="Gx">'[102]detail BOM cost Analysis'!$C$10</definedName>
    <definedName name="H">#REF!</definedName>
    <definedName name="h_equipe">[26]synthèse!$B$27</definedName>
    <definedName name="HandLoadRate">[30]Tables!$A$50</definedName>
    <definedName name="HandSRate">[30]Tables!$A$51</definedName>
    <definedName name="Headcount" hidden="1">{"'Leading KPI'!$A$1:$P$33","'Leading KPI'!$A$1:$P$33"}</definedName>
    <definedName name="headcount1" hidden="1">{"'Leading KPI'!$A$1:$P$33","'Leading KPI'!$A$1:$P$33"}</definedName>
    <definedName name="headcount2" hidden="1">{"'Leading KPI'!$A$1:$P$33","'Leading KPI'!$A$1:$P$33"}</definedName>
    <definedName name="HEADDAYA3">'[103]2004'!$U$42:$AA$47,'[103]2004'!$L$42:$R$47,'[103]2004'!$C$42:$I$47,'[103]2004'!$C$33:$I$38,'[103]2004'!$L$33:$R$38,'[103]2004'!$U$33:$AA$38,'[103]2004'!$U$24:$AA$29,'[103]2004'!$L$24:$R$28,'[103]2004'!$L$29:$R$29,'[103]2004'!$C$24:$I$29,'[103]2004'!$C$15:$I$20,'[103]2004'!$L$15:$R$20,'[103]2004'!$U$15:$AA$20</definedName>
    <definedName name="HEADDAYA4">'[103]2004'!$C$15:$I$20,'[103]2004'!$L$15,'[103]2004'!$R$15,'[103]2004'!$L$15:$R$20,'[103]2004'!$U$15:$AA$20,'[103]2004'!$C$24:$I$29,'[103]2004'!$L$24:$R$29,'[103]2004'!$U$24:$AA$29,'[103]2004'!$C$33:$I$38,'[103]2004'!$L$33:$R$37,'[103]2004'!$L$33:$R$38,'[103]2004'!$U$33:$AA$37,'[103]2004'!$AA$37,'[103]2004'!$U$33:$AA$38,'[103]2004'!$C$42:$I$47,'[103]2004'!$L$42:$R$47,'[103]2004'!$U$42:$AA$47</definedName>
    <definedName name="HeaderF">#REF!</definedName>
    <definedName name="HeaderM">#REF!</definedName>
    <definedName name="HEADWEEKA3">'[103]2004'!$C$14:$I$14,'[103]2004'!$L$14:$R$14,'[103]2004'!$U$14:$AA$14,'[103]2004'!$C$23:$I$23,'[103]2004'!$L$23:$R$23,'[103]2004'!$U$23:$AA$23,'[103]2004'!$C$32:$I$32,'[103]2004'!$L$32:$R$32,'[103]2004'!$U$32:$AA$32,'[103]2004'!$C$41:$I$41,'[103]2004'!$L$41:$R$41,'[103]2004'!$U$41:$AA$41</definedName>
    <definedName name="HEADWEEKA4">'[103]2004'!$C$14:$I$14,'[103]2004'!$L$14:$R$14,'[103]2004'!$U$14:$AA$14,'[103]2004'!$U$23:$AA$23,'[103]2004'!$L$23:$R$23,'[103]2004'!$C$23:$I$23,'[103]2004'!$U$32:$AA$32,'[103]2004'!$L$32:$R$32,'[103]2004'!$C$32:$I$32,'[103]2004'!$U$41:$AA$41,'[103]2004'!$L$41:$R$41,'[103]2004'!$C$41:$I$41</definedName>
    <definedName name="Height">48</definedName>
    <definedName name="hh">#REF!</definedName>
    <definedName name="HH_Attrition_Factor">#REF!</definedName>
    <definedName name="hhh">#REF!</definedName>
    <definedName name="HLV_8">#REF!</definedName>
    <definedName name="hn">#REF!</definedName>
    <definedName name="Hourly_Headcount">[104]HOURLY!$B$4:$K$33</definedName>
    <definedName name="HOURS">#REF!</definedName>
    <definedName name="HOURS..">#REF!</definedName>
    <definedName name="HPL_1">[105]PR孔!#REF!</definedName>
    <definedName name="HPL_1_1">[105]PR孔!#REF!</definedName>
    <definedName name="HPL_1_1HPAU">#REF!</definedName>
    <definedName name="HPL_1HPAU">#REF!</definedName>
    <definedName name="HPL_2">#REF!</definedName>
    <definedName name="HPL_2HPAU">#REF!</definedName>
    <definedName name="HPL_3">#REF!</definedName>
    <definedName name="HPL_3HPAU">#REF!</definedName>
    <definedName name="HrspShift">[30]Tables!$A$173</definedName>
    <definedName name="HS">#REF!</definedName>
    <definedName name="HTM_1">[34]PR孔!#REF!</definedName>
    <definedName name="HTML_CodePage" hidden="1">950</definedName>
    <definedName name="HTML_Control" hidden="1">{"'Sheet1'!$A$1:$Z$85","'Sheet1'!$AB$3"}</definedName>
    <definedName name="HTML_Description" hidden="1">""</definedName>
    <definedName name="HTML_Email" hidden="1">""</definedName>
    <definedName name="HTML_Header" hidden="1">"Sheet1"</definedName>
    <definedName name="HTML_LastUpdate" hidden="1">"1999/12/11"</definedName>
    <definedName name="HTML_LineAfter" hidden="1">FALSE</definedName>
    <definedName name="HTML_LineBefore" hidden="1">FALSE</definedName>
    <definedName name="HTML_Name" hidden="1">"Lily"</definedName>
    <definedName name="HTML_OBDlg2" hidden="1">TRUE</definedName>
    <definedName name="HTML_OBDlg4" hidden="1">TRUE</definedName>
    <definedName name="HTML_OS" hidden="1">0</definedName>
    <definedName name="HTML_PathFile" hidden="1">"D:\Home Page\mcmug.htm"</definedName>
    <definedName name="HTML_Title" hidden="1">"Mcmug"</definedName>
    <definedName name="htt">#REF!</definedName>
    <definedName name="hub">[106]ASSUMPTIONS!$E$22</definedName>
    <definedName name="I">#REF!</definedName>
    <definedName name="IA">#REF!</definedName>
    <definedName name="IBN_16">#REF!</definedName>
    <definedName name="IBN_172">#REF!</definedName>
    <definedName name="IBN_172_1">#REF!</definedName>
    <definedName name="IBN_173">#REF!</definedName>
    <definedName name="IBN_215">#REF!</definedName>
    <definedName name="IBN_221">#REF!</definedName>
    <definedName name="ICBU">[29]ATT5!#REF!</definedName>
    <definedName name="icms">#REF!</definedName>
    <definedName name="ICT_doc_high">#REF!</definedName>
    <definedName name="ICT_doc_low">'[27]datasheet to l_q'!$C$96</definedName>
    <definedName name="ICT_order_high">#REF!</definedName>
    <definedName name="ICT_order_low">'[27]datasheet to l_q'!$C$97</definedName>
    <definedName name="ICT_TR_high">#REF!</definedName>
    <definedName name="ICT_TR_low">'[27]datasheet to l_q'!$C$100</definedName>
    <definedName name="ICT_valid_ext_high">#REF!</definedName>
    <definedName name="ICT_valid_ext_low">'[27]datasheet to l_q'!$C$99</definedName>
    <definedName name="ICT_valid_int_debug_high">#REF!</definedName>
    <definedName name="ICT_valid_int_debug_low">'[27]datasheet to l_q'!$C$98</definedName>
    <definedName name="ICTable">[43]Tables!$B$241:$AF$246</definedName>
    <definedName name="ICTHandLoad">[30]Tables!$A$59</definedName>
    <definedName name="ICTRate">[30]Tables!$A$57</definedName>
    <definedName name="ICTRepairTime">[30]Tables!$A$133</definedName>
    <definedName name="ICTSetUp">[30]Tables!$A$58</definedName>
    <definedName name="ICTStaff">[30]Tables!$A$88</definedName>
    <definedName name="ICTYield">[43]Tables!$A$80</definedName>
    <definedName name="ICV_137">#REF!</definedName>
    <definedName name="ICV_157">#REF!</definedName>
    <definedName name="ICV_172">#REF!</definedName>
    <definedName name="ICV_181">#REF!</definedName>
    <definedName name="ICV_182">#REF!</definedName>
    <definedName name="ICV_191">#REF!</definedName>
    <definedName name="ICV_194">#REF!</definedName>
    <definedName name="Identify_Forecast_Year">[28]Link!#REF!</definedName>
    <definedName name="idr">#REF!</definedName>
    <definedName name="IDRis">'[57]IS Currencies'!#REF!</definedName>
    <definedName name="IELWSALES">#REF!</definedName>
    <definedName name="IELWSALES.">#REF!</definedName>
    <definedName name="IELYSALES">#REF!</definedName>
    <definedName name="IELYSALES.">#REF!</definedName>
    <definedName name="IEPLANSALES">#REF!</definedName>
    <definedName name="IEPLANSALES.">#REF!</definedName>
    <definedName name="IESP">#REF!</definedName>
    <definedName name="IESP.">#REF!</definedName>
    <definedName name="II">#REF!</definedName>
    <definedName name="IIOD1">'[107]OG Sales Values'!$A$1:$IV$65536</definedName>
    <definedName name="IIOD2">'[107]OG Trade Receivables'!$A$1:$IV$65536</definedName>
    <definedName name="imp">#REF!</definedName>
    <definedName name="impig">#REF!</definedName>
    <definedName name="implement">OFFSET([64]!sell,,-2)</definedName>
    <definedName name="IMPRESSION_SAV">PAGE1,PAGE2,PAGE3,PAGE4</definedName>
    <definedName name="In">#REF!</definedName>
    <definedName name="Incidence_Compt____tx_ajusté___tx_SA03__x_CA_réalisé">#REF!</definedName>
    <definedName name="Incidence_comptable_réelle">#REF!</definedName>
    <definedName name="INDUS_ELEC">[52]Source!#REF!</definedName>
    <definedName name="INDUS_LINE">[52]Source!#REF!</definedName>
    <definedName name="INDUS_PARTS">[52]Source!#REF!</definedName>
    <definedName name="INDUS_PROJ">[52]Source!#REF!</definedName>
    <definedName name="INDUS_QUAL">#REF!</definedName>
    <definedName name="inf">'[108] Synthesis'!#REF!</definedName>
    <definedName name="Initial_Buying_Plant">[28]Link!$B$3:$B$217</definedName>
    <definedName name="INLINE">#REF!</definedName>
    <definedName name="INLINE..">#REF!</definedName>
    <definedName name="inox_ressort">[26]synthèse!$B$21</definedName>
    <definedName name="Input_BU">#REF!</definedName>
    <definedName name="Input_Month">[44]Paramètres!$E$9</definedName>
    <definedName name="Input_Year">[44]Paramètres!$E$8</definedName>
    <definedName name="InputsTable">[25]INPUTS!$B$19:$J$67</definedName>
    <definedName name="inr">#REF!</definedName>
    <definedName name="Insertion_Cardboard_Quantity">#REF!</definedName>
    <definedName name="Insertion_Cardboard_Thickness">#REF!</definedName>
    <definedName name="Insertion_Cardboard_thinkness">#REF!</definedName>
    <definedName name="InspectStaff">[30]Tables!$A$83</definedName>
    <definedName name="int">[106]ASSUMPTIONS!$D$18</definedName>
    <definedName name="IntFreeCre.">#REF!</definedName>
    <definedName name="IntFreeCred">#REF!</definedName>
    <definedName name="INTLFORM">#REF!</definedName>
    <definedName name="ipi">#REF!</definedName>
    <definedName name="IPL.3">#REF!</definedName>
    <definedName name="IPL_1009">[105]PR孔!#REF!</definedName>
    <definedName name="IPL_1010">[105]PR孔!#REF!</definedName>
    <definedName name="IPL_1011">[105]PR孔!#REF!</definedName>
    <definedName name="IPL_1020">#REF!</definedName>
    <definedName name="IPL_1021">#REF!</definedName>
    <definedName name="IPL_1024">[105]PR孔!#REF!</definedName>
    <definedName name="IPL_1024H">#REF!</definedName>
    <definedName name="IPL_1025">[105]PR孔!#REF!</definedName>
    <definedName name="IPL_1025H">#REF!</definedName>
    <definedName name="IPL_1033">#REF!</definedName>
    <definedName name="IPL_1034">#REF!</definedName>
    <definedName name="IPL_1034_1">#REF!</definedName>
    <definedName name="IPL_1069">#REF!</definedName>
    <definedName name="IPL_1069_1">#REF!</definedName>
    <definedName name="IPL_1069_1HAU">#REF!</definedName>
    <definedName name="IPL_1069HAU">#REF!</definedName>
    <definedName name="IPL_1070">#REF!</definedName>
    <definedName name="IPL_1070_1">#REF!</definedName>
    <definedName name="IPL_1070_1HAU">#REF!</definedName>
    <definedName name="IPL_1070HAU">#REF!</definedName>
    <definedName name="IPL_1100">[105]PR孔!#REF!</definedName>
    <definedName name="IPL_1111">[105]PR孔!#REF!</definedName>
    <definedName name="IPL_1112">#REF!</definedName>
    <definedName name="IPL_1112HAU">#REF!</definedName>
    <definedName name="IPL_1113">[105]PR孔!#REF!</definedName>
    <definedName name="IPL_1113HAU">#REF!</definedName>
    <definedName name="IPL_1136">[105]PR孔!#REF!</definedName>
    <definedName name="IPL_1136HAU">#REF!</definedName>
    <definedName name="IPL_1137">#REF!</definedName>
    <definedName name="IPL_1137HAU">#REF!</definedName>
    <definedName name="IPL_1140">#REF!</definedName>
    <definedName name="IPL_1144">#REF!</definedName>
    <definedName name="IPL_1145">#REF!</definedName>
    <definedName name="IPL_1150">#REF!</definedName>
    <definedName name="IPL_1151">#REF!</definedName>
    <definedName name="IPL_1180">[105]PR孔!#REF!</definedName>
    <definedName name="IPL_1181">[105]PR孔!#REF!</definedName>
    <definedName name="IPL_1189">#REF!</definedName>
    <definedName name="IPL_1195">#REF!</definedName>
    <definedName name="IPL_1200">#REF!</definedName>
    <definedName name="IPL_1201">#REF!</definedName>
    <definedName name="IPL_1204">[34]PR孔!#REF!</definedName>
    <definedName name="IPL_1204_1">#REF!</definedName>
    <definedName name="IPL_1204_1H">#REF!</definedName>
    <definedName name="IPL_1209_1">#REF!</definedName>
    <definedName name="IPL_1213">#REF!</definedName>
    <definedName name="IPL_1213HPPT">#REF!</definedName>
    <definedName name="IPL_1214">#REF!</definedName>
    <definedName name="IPL_1214HPPT">#REF!</definedName>
    <definedName name="IPL_1215">#REF!</definedName>
    <definedName name="IPL_1215HAU">#REF!</definedName>
    <definedName name="IPL_1223">[105]PR孔!#REF!</definedName>
    <definedName name="IPL_1223H">#REF!</definedName>
    <definedName name="IPL_1224">#REF!</definedName>
    <definedName name="IPL_1224H">#REF!</definedName>
    <definedName name="IPL_1236">#REF!</definedName>
    <definedName name="IPL_1237">#REF!</definedName>
    <definedName name="IPL_1238">#REF!</definedName>
    <definedName name="IPL_1238HAU">[109]外!#REF!</definedName>
    <definedName name="IPL_1239">#REF!</definedName>
    <definedName name="IPL_1239HAU">#REF!</definedName>
    <definedName name="IPL_155">#REF!</definedName>
    <definedName name="IPL_156">#REF!</definedName>
    <definedName name="IPL_157">#REF!</definedName>
    <definedName name="IPL_2">#REF!</definedName>
    <definedName name="IPL_235">#REF!</definedName>
    <definedName name="IPL_235_1">[105]PR孔!#REF!</definedName>
    <definedName name="IPL_262">#REF!</definedName>
    <definedName name="IPL_263">[105]PR孔!#REF!</definedName>
    <definedName name="IPL_273">[105]PR孔!#REF!</definedName>
    <definedName name="IPL_282_1">#REF!</definedName>
    <definedName name="IPL_282_2">[105]PR孔!#REF!</definedName>
    <definedName name="IPL_282_3">#REF!</definedName>
    <definedName name="IPL_282_4">#REF!</definedName>
    <definedName name="IPL_284">#REF!</definedName>
    <definedName name="IPL_285">#REF!</definedName>
    <definedName name="IPL_38_1">#REF!</definedName>
    <definedName name="IPL282_5">#REF!</definedName>
    <definedName name="IR_Oven__speed">#REF!</definedName>
    <definedName name="IR_Oven_speed..">#REF!</definedName>
    <definedName name="IRELAND">[29]ATT5!#REF!</definedName>
    <definedName name="IST">[28]Link!#REF!</definedName>
    <definedName name="IT_high">#REF!</definedName>
    <definedName name="IT_low">'[27]datasheet to l_q'!$C$121</definedName>
    <definedName name="ITAlloc">[25]Tables!$A$199</definedName>
    <definedName name="ITBVOL">[25]INPUTS!$A$23</definedName>
    <definedName name="ITCLI">[30]INPUTS!$A$34</definedName>
    <definedName name="ITDPO">[110]INPUTS!$A$30</definedName>
    <definedName name="ITDSO">[25]INPUTS!$A$41</definedName>
    <definedName name="ITFCT">[30]INPUTS!$A$61</definedName>
    <definedName name="ITFCTCost">[30]INPUTS!$A$62</definedName>
    <definedName name="ITFCTDepPer">[30]INPUTS!$A$63</definedName>
    <definedName name="ITFCTRtime">[30]INPUTS!$A$65</definedName>
    <definedName name="ITFCTTime">[30]INPUTS!$A$64</definedName>
    <definedName name="ITHandloadTime">[30]INPUTS!$A$51</definedName>
    <definedName name="ITHLParts">[43]INPUTS!$A$50</definedName>
    <definedName name="ITICTCustTime">[30]INPUTS!$A$57</definedName>
    <definedName name="ITICTRCust">[30]INPUTS!$A$58</definedName>
    <definedName name="ITMechAssyTime">[30]INPUTS!$A$54</definedName>
    <definedName name="ITMechParts">[30]INPUTS!$A$53</definedName>
    <definedName name="ITNBSmtSide">[43]INPUTS!$A$47</definedName>
    <definedName name="ITPanTest">[30]INPUTS!$A$59</definedName>
    <definedName name="ITPN">[25]INPUTS!$A$20</definedName>
    <definedName name="ITRMC">[25]INPUTS!$A$33</definedName>
    <definedName name="ITRMT">[25]INPUTS!$A$27</definedName>
    <definedName name="ITRPPV">[110]INPUTS!$A$28</definedName>
    <definedName name="ITSIT">[25]INPUTS!$A$21</definedName>
    <definedName name="ITSMTLineItem">[30]INPUTS!$A$45</definedName>
    <definedName name="ITSMTParts">[30]INPUTS!$A$44</definedName>
    <definedName name="ITSolderPaste">[30]INPUTS!$A$48</definedName>
    <definedName name="ITT">#REF!</definedName>
    <definedName name="ITTestStrat">[30]INPUTS!$A$56</definedName>
    <definedName name="ITTLI">[30]INPUTS!$A$29</definedName>
    <definedName name="j_sem">[26]synthèse!$B$29</definedName>
    <definedName name="JAN_07">#REF!</definedName>
    <definedName name="JAN_2007">#REF!</definedName>
    <definedName name="Jan_COA">#REF!</definedName>
    <definedName name="JobCategory">[62]Space!$AC$2:$AC$9</definedName>
    <definedName name="Jours">[85]Days!$A$1:$C$23</definedName>
    <definedName name="JPY">#REF!</definedName>
    <definedName name="JPY_EUR_MAP_04">[111]Currencies!$I$95</definedName>
    <definedName name="JPY_EUR_R">[111]Currencies!$R$81</definedName>
    <definedName name="JUL">'[36]EX RATE'!$H$2:$H$10</definedName>
    <definedName name="JUN">'[36]EX RATE'!$G$2:$G$10</definedName>
    <definedName name="k">#REF!</definedName>
    <definedName name="K2SEMB">'[112]Industrial deployment'!#REF!</definedName>
    <definedName name="K2SSIC">'[112]Industrial deployment'!#REF!</definedName>
    <definedName name="Key">#REF!</definedName>
    <definedName name="kk" hidden="1">{"'Leading KPI'!$A$1:$P$33","'Leading KPI'!$A$1:$P$33"}</definedName>
    <definedName name="KRW">'[57]BS Currencies'!$B$7</definedName>
    <definedName name="KRW_EUR_MAP_04">[111]Currencies!$I$96</definedName>
    <definedName name="KRW_EUR_R">[111]Currencies!$R$83</definedName>
    <definedName name="KRWis">'[57]IS Currencies'!$B$7</definedName>
    <definedName name="L">#REF!</definedName>
    <definedName name="LABOR_COST_WORKING">#REF!</definedName>
    <definedName name="lang">#REF!</definedName>
    <definedName name="LASTYEAR">#REF!</definedName>
    <definedName name="layout2">#REF!</definedName>
    <definedName name="LBFactor">[43]Tables!$A$44</definedName>
    <definedName name="LCL_column_1">OFFSET([61]UCL数据!#REF!,0,0,COUNT([61]UCL数据!#REF!),1)</definedName>
    <definedName name="LCL_column_2">OFFSET([61]UCL数据!#REF!,0,0,COUNT([61]UCL数据!#REF!),1)</definedName>
    <definedName name="LCL_column_3">OFFSET([61]UCL数据!$E$45,0,0,COUNT([61]UCL数据!$E$45:$E$70),1)</definedName>
    <definedName name="LCOld">[113]mfgquote!#REF!</definedName>
    <definedName name="LCurveMultiplier">#REF!</definedName>
    <definedName name="LDTable">[25]LaborDetail!$B$7:$J$401</definedName>
    <definedName name="LDTAssyCost">[25]LaborDetail!$A$399</definedName>
    <definedName name="LDTAssyTime">[25]LaborDetail!$A$395</definedName>
    <definedName name="LDTBpD">[25]LaborDetail!$A$19</definedName>
    <definedName name="LDTDep">[25]LaborDetail!$A$391</definedName>
    <definedName name="LDTDL">[25]LaborDetail!$A$161</definedName>
    <definedName name="LDTDLHC">#REF!</definedName>
    <definedName name="LDTEL">[25]LaborDetail!$A$203</definedName>
    <definedName name="LDTELHC">#REF!</definedName>
    <definedName name="LDTFac">[25]LaborDetail!$A$206</definedName>
    <definedName name="LDTIL">[25]LaborDetail!$A$179</definedName>
    <definedName name="LDTILHC">#REF!</definedName>
    <definedName name="LDTInvest">#REF!</definedName>
    <definedName name="LDTLineEq">#REF!</definedName>
    <definedName name="LDTNbParts">#REF!</definedName>
    <definedName name="LDTOperSup">[25]LaborDetail!$A$207</definedName>
    <definedName name="LDTOSU">[25]LaborDetail!$A$127</definedName>
    <definedName name="LDTotalTime">[25]LaborDetail!$A$397</definedName>
    <definedName name="LDTOther">[25]LaborDetail!$A$208</definedName>
    <definedName name="LDTSMTL">[43]LaborDetail!$A$35</definedName>
    <definedName name="LDTtestCost">[25]LaborDetail!$A$400</definedName>
    <definedName name="LDTtestTime">[25]LaborDetail!$A$396</definedName>
    <definedName name="LDTTParts">[43]LaborDetail!$A$14</definedName>
    <definedName name="LDTVol">[25]LaborDetail!$A$18</definedName>
    <definedName name="Leffic">[43]Tables!$A$46</definedName>
    <definedName name="Ligne0">#REF!</definedName>
    <definedName name="LineConfig">[43]Tables!$A$43</definedName>
    <definedName name="LineEqDL">[30]Tables!$A$124</definedName>
    <definedName name="LineLeader">[30]Tables!$A$91</definedName>
    <definedName name="List_Country">[75]Feuil1!$B$3:$B$51</definedName>
    <definedName name="Liste1">[114]Liste!$A$2:$A$5</definedName>
    <definedName name="Loaded_Carton_Weight">#REF!</definedName>
    <definedName name="localm">'[67]ACB 4POLE PRO.'!$G$11</definedName>
    <definedName name="LocInt">[28]Link!$AJ$2:$AK$14</definedName>
    <definedName name="Long_Nesting_Quantity">#REF!</definedName>
    <definedName name="LOWVALUE">#REF!</definedName>
    <definedName name="LSA.23">[115]price967!#REF!</definedName>
    <definedName name="LSA_1">#REF!</definedName>
    <definedName name="LSA_111">#REF!</definedName>
    <definedName name="LSA_1110E1X">#REF!</definedName>
    <definedName name="LSA_1112">#REF!</definedName>
    <definedName name="LSA_1112B_2X">#REF!</definedName>
    <definedName name="LSA_1112MX">#REF!</definedName>
    <definedName name="LSA_1113">#REF!</definedName>
    <definedName name="LSA_1113JX">[116]price967!#REF!</definedName>
    <definedName name="LSA_1113PAUX">#REF!</definedName>
    <definedName name="LSA_1113T4AUX">#REF!</definedName>
    <definedName name="LSA_1114FX">#REF!</definedName>
    <definedName name="LSA_1114KX">#REF!</definedName>
    <definedName name="LSA_1114X">[116]price967!#REF!</definedName>
    <definedName name="LSA_1115JX">#REF!</definedName>
    <definedName name="LSA_1115K3AUX">#REF!</definedName>
    <definedName name="LSA_1115R5X">#REF!</definedName>
    <definedName name="LSA_1115R6X">#REF!</definedName>
    <definedName name="LSA_1117E1X">#REF!</definedName>
    <definedName name="LSA_1118EAUX">#REF!</definedName>
    <definedName name="LSA_1118GINZX">#REF!</definedName>
    <definedName name="LSA_1119EAUX">#REF!</definedName>
    <definedName name="LSA_1119JAUX">#REF!</definedName>
    <definedName name="LSA_1119K_1X">#REF!</definedName>
    <definedName name="LSA_1119MAUX">#REF!</definedName>
    <definedName name="LSA_1119R_1X">#REF!</definedName>
    <definedName name="LSA_1119RAUX">#REF!</definedName>
    <definedName name="LSA_1119RX">#REF!</definedName>
    <definedName name="LSA_1119T3AUX">#REF!</definedName>
    <definedName name="LSA_1119TX">#REF!</definedName>
    <definedName name="LSA_1119VAUX">#REF!</definedName>
    <definedName name="LSA_1120C_2X">#REF!</definedName>
    <definedName name="LSA_1120HX">#REF!</definedName>
    <definedName name="LSA_1120RCX">#REF!</definedName>
    <definedName name="LSA_1120RGX">#REF!</definedName>
    <definedName name="LSA_1121FAUX">#REF!</definedName>
    <definedName name="LSA_1121R_1AUX">#REF!</definedName>
    <definedName name="LSA_1121R_1X">#REF!</definedName>
    <definedName name="LSA_1123">#REF!</definedName>
    <definedName name="LSA_1123B2AUSX">#REF!</definedName>
    <definedName name="LSA_1123YAUX">#REF!</definedName>
    <definedName name="LSA_1124EX">#REF!</definedName>
    <definedName name="LSA_1124FX">#REF!</definedName>
    <definedName name="LSA_1124GAUX">#REF!</definedName>
    <definedName name="LSA_1125FAUX">#REF!</definedName>
    <definedName name="LSA_1127E_1X">#REF!</definedName>
    <definedName name="LSA_1128F1AUX">#REF!</definedName>
    <definedName name="LSA_1128FAUX">#REF!</definedName>
    <definedName name="LSA_1132G2AUX">#REF!</definedName>
    <definedName name="LSA_1132HAUX">#REF!</definedName>
    <definedName name="LSA_1134F2AUX">#REF!</definedName>
    <definedName name="LSA_1134FAUX">#REF!</definedName>
    <definedName name="LSA_1135F2AUX">#REF!</definedName>
    <definedName name="LSA_1135F3AUX">#REF!</definedName>
    <definedName name="LSA_1135FAUX">#REF!</definedName>
    <definedName name="LSA_1141E1AUX">#REF!</definedName>
    <definedName name="LSA_12">[116]price967!#REF!</definedName>
    <definedName name="LSA_1X">#REF!</definedName>
    <definedName name="LSA_2111FAUX">#REF!</definedName>
    <definedName name="LSA_2111HAUX">#REF!</definedName>
    <definedName name="LSA_2114KAUX">#REF!</definedName>
    <definedName name="LSA_2117G1NZX">#REF!</definedName>
    <definedName name="LSA_2117GX">#REF!</definedName>
    <definedName name="LSA_2121E1INX">#REF!</definedName>
    <definedName name="LSA_2121E1INZX">#REF!</definedName>
    <definedName name="LSA_2121EX">#REF!</definedName>
    <definedName name="LSA_2127E_1X">#REF!</definedName>
    <definedName name="LSA_33X">#REF!</definedName>
    <definedName name="LSA_7FAUX">#REF!</definedName>
    <definedName name="LSA_7X">#REF!</definedName>
    <definedName name="LSA_8X">#REF!</definedName>
    <definedName name="LSB_1112B_1X">#REF!</definedName>
    <definedName name="LSB_1115B_1AUX">#REF!</definedName>
    <definedName name="LSB_1115B_1X">#REF!</definedName>
    <definedName name="LSB_1115B2AUX">#REF!</definedName>
    <definedName name="LSB_1117E2AUX">#REF!</definedName>
    <definedName name="LSB_1119JAUX">#REF!</definedName>
    <definedName name="LSB_1123BX">#REF!</definedName>
    <definedName name="LSB_1123C3X">#REF!</definedName>
    <definedName name="LSB_1125EAUX">#REF!</definedName>
    <definedName name="LSB_22X">#REF!</definedName>
    <definedName name="LSB_33X">#REF!</definedName>
    <definedName name="LSB1119JX">[117]PR964!#REF!</definedName>
    <definedName name="LSC_1X">#REF!</definedName>
    <definedName name="LSL">#REF!</definedName>
    <definedName name="LSTCC">[43]Tables!$B$232:$B$240</definedName>
    <definedName name="LSTDM">[43]Tables!$D$38:$I$38</definedName>
    <definedName name="LSTIP">[43]Tables!$B$241:$B$246</definedName>
    <definedName name="LSTLineConfig">[43]Tables!$G$222:$M$222</definedName>
    <definedName name="LSTvolPL">[25]Tables!$B$491:$B$520</definedName>
    <definedName name="LSTYN">[43]Tables!$B$494:$B$495</definedName>
    <definedName name="LTD">'[59]ATT10-1'!$A$2:$J$49</definedName>
    <definedName name="LUtil">[43]Tables!$A$45</definedName>
    <definedName name="LWSALES">#REF!</definedName>
    <definedName name="LWSALES.">#REF!</definedName>
    <definedName name="LYBin">#REF!</definedName>
    <definedName name="Lybin.">#REF!</definedName>
    <definedName name="LYHolds">#REF!</definedName>
    <definedName name="LYHolds.">#REF!</definedName>
    <definedName name="LYNet">#REF!</definedName>
    <definedName name="LYNet.">#REF!</definedName>
    <definedName name="LYoos">#REF!</definedName>
    <definedName name="LYoos.">#REF!</definedName>
    <definedName name="LYReselects">#REF!</definedName>
    <definedName name="LYReselects.">#REF!</definedName>
    <definedName name="LYReturns">#REF!</definedName>
    <definedName name="LYReturns.">#REF!</definedName>
    <definedName name="LYSales">#REF!</definedName>
    <definedName name="LYSales.">#REF!</definedName>
    <definedName name="LYTotal">#REF!</definedName>
    <definedName name="LYTotal.">#REF!</definedName>
    <definedName name="M">'[118]Table of Contents'!$G$2</definedName>
    <definedName name="M11___20">#REF!</definedName>
    <definedName name="M11___20_Total">#REF!</definedName>
    <definedName name="M25___35">#REF!</definedName>
    <definedName name="M25___35_Total">#REF!</definedName>
    <definedName name="Mach_adj_high">#REF!</definedName>
    <definedName name="Mach_adj_low">'[27]datasheet to l_q'!$C$13</definedName>
    <definedName name="Mach_set_high">#REF!</definedName>
    <definedName name="Mach_set_low">'[27]datasheet to l_q'!$C$15</definedName>
    <definedName name="MACRO">#REF!</definedName>
    <definedName name="Macro4">[119]!Macro4</definedName>
    <definedName name="Macro6">#REF!</definedName>
    <definedName name="Macro7">[58]MACRO2!#REF!</definedName>
    <definedName name="MAIN">#REF!</definedName>
    <definedName name="Maintenanc" hidden="1">{"'ID(2)'!$E$1:$N$4"}</definedName>
    <definedName name="maj">[31]Paramétrage!$C$11</definedName>
    <definedName name="MANAGT">[52]Source!#REF!</definedName>
    <definedName name="ManpMonth">[30]Tables!$A$183</definedName>
    <definedName name="ManufEng">[30]Tables!$A$105</definedName>
    <definedName name="MAP">'[69]0 - INFORMATIONS'!$C$11</definedName>
    <definedName name="MAR">'[36]EX RATE'!$D$2:$D$10</definedName>
    <definedName name="MAR_2007">#REF!</definedName>
    <definedName name="Marge_éco___CA_réalisé_x_Tx_SA03___Coûts_devis">#REF!</definedName>
    <definedName name="Margin">#REF!</definedName>
    <definedName name="MARGINPLAN">#REF!</definedName>
    <definedName name="MARGINPLAN.">#REF!</definedName>
    <definedName name="MARGINPROJ">#REF!</definedName>
    <definedName name="Market">[28]Link!$D$3:$D$8</definedName>
    <definedName name="MarketSegment">[43]INPUTS!$C$18</definedName>
    <definedName name="MarketSegmentTable">[43]Tables!$B$134:$L$147</definedName>
    <definedName name="marque">#REF!</definedName>
    <definedName name="marque2">#REF!</definedName>
    <definedName name="mat">#REF!</definedName>
    <definedName name="MATCOA">#REF!</definedName>
    <definedName name="MATERIAL_PRICE">#REF!</definedName>
    <definedName name="Material_Quote">#REF!</definedName>
    <definedName name="MaterialMargin">[43]Tables!$A$129</definedName>
    <definedName name="MatHandler">[30]Tables!$A$92</definedName>
    <definedName name="MatHandpHrs">[30]Tables!$A$177</definedName>
    <definedName name="MAX">[19]current!$AK$26</definedName>
    <definedName name="MAY">'[36]EX RATE'!$F$2:$F$10</definedName>
    <definedName name="MBN_13">#REF!</definedName>
    <definedName name="MBN_13_1">#REF!</definedName>
    <definedName name="MBN_16">#REF!</definedName>
    <definedName name="MBN_16_1">#REF!</definedName>
    <definedName name="MBN_19">#REF!</definedName>
    <definedName name="MBN_2_3">#REF!</definedName>
    <definedName name="MBN_30">#REF!</definedName>
    <definedName name="MBN_33">#REF!</definedName>
    <definedName name="MBN_35">#REF!</definedName>
    <definedName name="MBN_6_1">#REF!</definedName>
    <definedName name="MBN_7_1">#REF!</definedName>
    <definedName name="MBN_8_1">#REF!</definedName>
    <definedName name="MCP_mach_set_high">#REF!</definedName>
    <definedName name="MCP_mach_set_low">'[27]datasheet to l_q'!$C$50</definedName>
    <definedName name="MCP_order_high">#REF!</definedName>
    <definedName name="MCP_order_low">'[27]datasheet to l_q'!$C$49</definedName>
    <definedName name="MCP_qual_1_high">#REF!</definedName>
    <definedName name="MCP_qual_1_low">'[27]datasheet to l_q'!$C$62</definedName>
    <definedName name="MCP_TR_high">#REF!</definedName>
    <definedName name="MCP_TR_low">'[27]datasheet to l_q'!$C$51</definedName>
    <definedName name="MCP_WI_high">#REF!</definedName>
    <definedName name="MCP_WI_low">'[27]datasheet to l_q'!$C$48</definedName>
    <definedName name="MCS_13">#REF!</definedName>
    <definedName name="MCS_14">#REF!</definedName>
    <definedName name="MCS_2_1">#REF!</definedName>
    <definedName name="MCS_21_2AU">#REF!</definedName>
    <definedName name="MCS_22_2AU">#REF!</definedName>
    <definedName name="MCS_23">#REF!</definedName>
    <definedName name="MCS_3">#REF!</definedName>
    <definedName name="MCS_32">#REF!</definedName>
    <definedName name="MCS_33">#REF!</definedName>
    <definedName name="MCS_7A_1">#REF!</definedName>
    <definedName name="MCS_7AC">#REF!</definedName>
    <definedName name="MCS_7AC_1">#REF!</definedName>
    <definedName name="MCS_7C">[117]PR962!#REF!</definedName>
    <definedName name="MCS_7C_1">#REF!</definedName>
    <definedName name="MCV_18">#REF!</definedName>
    <definedName name="MCV_2_1">#REF!</definedName>
    <definedName name="MCV_24_1A">#REF!</definedName>
    <definedName name="MCV_25">[120]PR961!#REF!</definedName>
    <definedName name="MCV_28_1">#REF!</definedName>
    <definedName name="MCV_28_2">#REF!</definedName>
    <definedName name="MCV_29">#REF!</definedName>
    <definedName name="MCV_3">[120]PR961!#REF!</definedName>
    <definedName name="MCV_3_1">#REF!</definedName>
    <definedName name="MCV_32">#REF!</definedName>
    <definedName name="MCV_36">#REF!</definedName>
    <definedName name="MCV_38">[120]PR961!#REF!</definedName>
    <definedName name="MCV_40">[116]pri966!#REF!</definedName>
    <definedName name="MDE">'[18]INDIC-04'!$A$68:$R$68</definedName>
    <definedName name="MDTable">[25]MaterialDetail!$B$8:$J$63</definedName>
    <definedName name="MDTAttrition">[25]MaterialDetail!$A$19</definedName>
    <definedName name="MDTClamp">[25]MaterialDetail!$A$46</definedName>
    <definedName name="MDTEO">[25]MaterialDetail!$A$21</definedName>
    <definedName name="MDTFD">[25]MaterialDetail!$A$15</definedName>
    <definedName name="MDTFixCosts">[25]MaterialDetail!$A$24</definedName>
    <definedName name="MDTint">[25]MaterialDetail!$A$54</definedName>
    <definedName name="MDTLabor">[25]MaterialDetail!$A$36</definedName>
    <definedName name="MDTMSCC">[43]MaterialDetail!$A$46</definedName>
    <definedName name="MDTStdPackMtl">[25]MaterialDetail!$A$16</definedName>
    <definedName name="MDTTRM">[25]MaterialDetail!$A$12</definedName>
    <definedName name="MDTTurn">[43]MaterialDetail!$A$64</definedName>
    <definedName name="MDTWH">[25]MaterialDetail!$A$38</definedName>
    <definedName name="MechRate">[30]Tables!$A$52</definedName>
    <definedName name="mfg" hidden="1">{"Drawing&amp;Homo.result",#N/A,FALSE,"Greco Hom. and BOM"}</definedName>
    <definedName name="MfgFaCost">[30]Tables!$A$188</definedName>
    <definedName name="MG">[29]ATT5!#REF!</definedName>
    <definedName name="MilestoneDef">[121]YangTSE6!$B$105:$B$120</definedName>
    <definedName name="Minimum_EAU">#REF!</definedName>
    <definedName name="minmax">[122]SWDA!$AD$2:$AI$49</definedName>
    <definedName name="MKT">[123]Link!#REF!</definedName>
    <definedName name="MLV_12">[34]PR孔!#REF!</definedName>
    <definedName name="MLV_12_2">[34]PR孔!#REF!</definedName>
    <definedName name="MLV_17">[34]PR孔!#REF!</definedName>
    <definedName name="MLV_19X">#REF!</definedName>
    <definedName name="MLV_25">#REF!</definedName>
    <definedName name="MLV_26">[34]PR孔!#REF!</definedName>
    <definedName name="MLV_28X">[34]PR孔!#REF!</definedName>
    <definedName name="MLV_43">#REF!</definedName>
    <definedName name="MLV_48">#REF!</definedName>
    <definedName name="MLV_5">[34]PR孔!#REF!</definedName>
    <definedName name="MLV_52">[34]PR孔!#REF!</definedName>
    <definedName name="MLV_54">[34]PR孔!#REF!</definedName>
    <definedName name="MLV_56">[34]PR孔!#REF!</definedName>
    <definedName name="MLV_57">#REF!</definedName>
    <definedName name="MLV_59">[34]PR孔!#REF!</definedName>
    <definedName name="MLV_6_1">#REF!</definedName>
    <definedName name="MLV_61">#REF!</definedName>
    <definedName name="MLV_63">[105]PR孔!#REF!</definedName>
    <definedName name="MLV_64">[105]PR孔!#REF!</definedName>
    <definedName name="MLV_67">#REF!</definedName>
    <definedName name="MLV_68">#REF!</definedName>
    <definedName name="MLV_69">#REF!</definedName>
    <definedName name="MLV_70">#REF!</definedName>
    <definedName name="MLV_72">#REF!</definedName>
    <definedName name="MLV_75">[34]PR孔!#REF!</definedName>
    <definedName name="MLV_76">[34]PR孔!#REF!</definedName>
    <definedName name="mm">'[124]BASE DE DATOS'!$CY$70</definedName>
    <definedName name="MmExcelLinker_DA303C57_1AF5_41F4_99E3_FFDD127EA32F">'[125]Valid Quotation Checklist'!#REF!</definedName>
    <definedName name="mo">#REF!</definedName>
    <definedName name="MODERN">#REF!</definedName>
    <definedName name="modus">#REF!</definedName>
    <definedName name="MOIS">'[33]01 T'!$Z$1</definedName>
    <definedName name="Mois_chiffre">[31]Paramétrage!$C$9</definedName>
    <definedName name="Mois_lettre">[31]Paramétrage!$C$17</definedName>
    <definedName name="MOIS2">'[33]03 '!$U$6</definedName>
    <definedName name="mois2caract">#REF!</definedName>
    <definedName name="mold2">#REF!</definedName>
    <definedName name="MON">#REF!</definedName>
    <definedName name="Month">[126]Index!$C$29:$D$40</definedName>
    <definedName name="month_converter">[75]Feuil1!$F$4:$G$15</definedName>
    <definedName name="Month_List">[127]SELECTION!$A$30:$C$44</definedName>
    <definedName name="monthm">OFFSET([122]SWDA!$O$52,,[122]SWDA!$D$58,,[122]SWDA!$D$59)</definedName>
    <definedName name="monthq">OFFSET([122]SWDA!$O$52,,[122]SWDA!$C$58,,[122]SWDA!$C$59)</definedName>
    <definedName name="moule">[26]synthèse!$B$13</definedName>
    <definedName name="moule_bc">[26]synthèse!$B$14</definedName>
    <definedName name="MPL_12_11">#REF!</definedName>
    <definedName name="MPL_18">#REF!</definedName>
    <definedName name="MPL_18H">#REF!</definedName>
    <definedName name="MPL_19">#REF!</definedName>
    <definedName name="MPL_20">#REF!</definedName>
    <definedName name="MPL_20H">#REF!</definedName>
    <definedName name="MPL_23">#REF!</definedName>
    <definedName name="MPL_23HP">#REF!</definedName>
    <definedName name="MPL_23HPAU">#REF!</definedName>
    <definedName name="MPL_25">#REF!</definedName>
    <definedName name="MPL_25_2">#REF!</definedName>
    <definedName name="MPL_25IN_2">#REF!</definedName>
    <definedName name="MPL_25KIN">#REF!</definedName>
    <definedName name="MPL_26">#REF!</definedName>
    <definedName name="MPL_26AU">#REF!</definedName>
    <definedName name="MPL_29">#REF!</definedName>
    <definedName name="MPL_29HPAU">#REF!</definedName>
    <definedName name="MPL_3_2">#REF!</definedName>
    <definedName name="MPL_3_2HP">#REF!</definedName>
    <definedName name="MPL_3_2HPAU">#REF!</definedName>
    <definedName name="MPL_3_3">#REF!</definedName>
    <definedName name="MPL_3_3HP">#REF!</definedName>
    <definedName name="MPL_3_3HPAU">#REF!</definedName>
    <definedName name="MPL_30">#REF!</definedName>
    <definedName name="MPL_30HPAU">#REF!</definedName>
    <definedName name="MPL_31">#REF!</definedName>
    <definedName name="MPL_31HPAU">#REF!</definedName>
    <definedName name="MPL_32">#REF!</definedName>
    <definedName name="MPL_32HPAU">#REF!</definedName>
    <definedName name="MPL_33">#REF!</definedName>
    <definedName name="MPL_33HP">#REF!</definedName>
    <definedName name="MPL_33HPAU">#REF!</definedName>
    <definedName name="MPL_37">#REF!</definedName>
    <definedName name="MPL_4">#REF!</definedName>
    <definedName name="MPL_47">[105]PR孔!#REF!</definedName>
    <definedName name="MPL_47_1">#REF!</definedName>
    <definedName name="MPL_47_2">#REF!</definedName>
    <definedName name="MPL_47_A">#REF!</definedName>
    <definedName name="MPL_47H_1">#REF!</definedName>
    <definedName name="MPL_47H_1A">#REF!</definedName>
    <definedName name="MPL_47H_2">#REF!</definedName>
    <definedName name="MPL_47H_2A">#REF!</definedName>
    <definedName name="MPL_47HN_2">#REF!</definedName>
    <definedName name="MPL_47HN_2A">#REF!</definedName>
    <definedName name="MPL_47HP">#REF!</definedName>
    <definedName name="MPL_47HP_A">#REF!</definedName>
    <definedName name="MPL_47HPAU_2A">#REF!</definedName>
    <definedName name="MPL_47HPPT_A">#REF!</definedName>
    <definedName name="MPL_48">#REF!</definedName>
    <definedName name="MPL_48HPAU">#REF!</definedName>
    <definedName name="MPL_49">#REF!</definedName>
    <definedName name="MPL_49HPAU">#REF!</definedName>
    <definedName name="MPL_4H">#REF!</definedName>
    <definedName name="MPL_4HAU">#REF!</definedName>
    <definedName name="MPL_4HZ">#REF!</definedName>
    <definedName name="MPL_50">#REF!</definedName>
    <definedName name="MPL_50HPAU">#REF!</definedName>
    <definedName name="MPL_51">#REF!</definedName>
    <definedName name="MPL_51HPAU">#REF!</definedName>
    <definedName name="MPL_52">#REF!</definedName>
    <definedName name="MPL_52HP">[128]外!#REF!</definedName>
    <definedName name="MPL_53">#REF!</definedName>
    <definedName name="MPL_53HP">#REF!</definedName>
    <definedName name="MPL_54">[34]PR孔!#REF!</definedName>
    <definedName name="MPL_54HP">#REF!</definedName>
    <definedName name="MPL_56">#REF!</definedName>
    <definedName name="MPL_56HPAU">#REF!</definedName>
    <definedName name="MPL_57">#REF!</definedName>
    <definedName name="MPL_57HPAU">#REF!</definedName>
    <definedName name="MPL_58HN_2A">#REF!</definedName>
    <definedName name="MPL_58HPAU_2">#REF!</definedName>
    <definedName name="MPL_6">#REF!</definedName>
    <definedName name="MPL_60">#REF!</definedName>
    <definedName name="MPL_60HPAU">#REF!</definedName>
    <definedName name="MPL_61">#REF!</definedName>
    <definedName name="MPL_61HPAU">#REF!</definedName>
    <definedName name="MPL_62">#REF!</definedName>
    <definedName name="MPL_63">#REF!</definedName>
    <definedName name="MPL_63HPAU">#REF!</definedName>
    <definedName name="MPL_64">#REF!</definedName>
    <definedName name="MPL_64HPAU">#REF!</definedName>
    <definedName name="MPL_6H">#REF!</definedName>
    <definedName name="MPL_6HAU">#REF!</definedName>
    <definedName name="MPL_6HZ">#REF!</definedName>
    <definedName name="MPL_8_2">#REF!</definedName>
    <definedName name="MPL_8_2HP">#REF!</definedName>
    <definedName name="MPL_8_2HPAU">#REF!</definedName>
    <definedName name="MPL_9_2">#REF!</definedName>
    <definedName name="MPL_9_2HP">#REF!</definedName>
    <definedName name="MPL_9_2HPAU">#REF!</definedName>
    <definedName name="MPL_9_2HPAUS2">[109]外!#REF!</definedName>
    <definedName name="mR_bar">[129]Date!$J$42</definedName>
    <definedName name="mR_column">OFFSET([61]UCL数据!$F$45,0,0,COUNT([61]UCL数据!$F$45:$F$70)+2,1)</definedName>
    <definedName name="MRO_1">#REF!</definedName>
    <definedName name="MRO_2">#REF!</definedName>
    <definedName name="MSB_120">[120]PR961!#REF!</definedName>
    <definedName name="MSB_122">[117]PR965!#REF!</definedName>
    <definedName name="mth">6</definedName>
    <definedName name="MTM_10">#REF!</definedName>
    <definedName name="MTM_10_2">#REF!</definedName>
    <definedName name="MTM_10_2AU">[34]PR孔!#REF!</definedName>
    <definedName name="MTM_10AU">#REF!</definedName>
    <definedName name="MTM_11">#REF!</definedName>
    <definedName name="MTM_11_2">#REF!</definedName>
    <definedName name="MTM_11_2AU">#REF!</definedName>
    <definedName name="MTM_11AU">[34]PR孔!#REF!</definedName>
    <definedName name="MTM_12">#REF!</definedName>
    <definedName name="MTM_13">#REF!</definedName>
    <definedName name="MTM_14">#REF!</definedName>
    <definedName name="MTM_15">#REF!</definedName>
    <definedName name="MTM_16M">#REF!</definedName>
    <definedName name="MTM_17">#REF!</definedName>
    <definedName name="MTM_18">[34]PR孔!#REF!</definedName>
    <definedName name="MTM_21">[34]PR孔!#REF!</definedName>
    <definedName name="MTM_22">#REF!</definedName>
    <definedName name="MTM_25">#REF!</definedName>
    <definedName name="MTM_26">[34]PR孔!#REF!</definedName>
    <definedName name="MTM_27">#REF!</definedName>
    <definedName name="MTM_29">[105]PR孔!#REF!</definedName>
    <definedName name="MTM_5">#REF!</definedName>
    <definedName name="MTM_5_1">#REF!</definedName>
    <definedName name="MTM_6">#REF!</definedName>
    <definedName name="MTM_6H">#REF!</definedName>
    <definedName name="MTM_6HAU">#REF!</definedName>
    <definedName name="MTM_6HIN">[109]外!#REF!</definedName>
    <definedName name="N_MAP">'[69]0 - INFORMATIONS'!$C$13</definedName>
    <definedName name="NA_PCB_MAT_L_COST">#REF!</definedName>
    <definedName name="namCode">[130]ニッセイ入力画面!$N$11</definedName>
    <definedName name="name">#REF!</definedName>
    <definedName name="namYIni">[130]ニッセイ入力画面!$N$9</definedName>
    <definedName name="nb_composants_inseres">[74]Modèle!$C$10</definedName>
    <definedName name="nb_fournisseurs">[74]Modèle!$C$13</definedName>
    <definedName name="Nb_jours__ouv_exp">'[18]INDIC-08'!#REF!</definedName>
    <definedName name="Nb_jours_ouv_prod">'[18]INDIC-08'!#REF!</definedName>
    <definedName name="Nb_jours_ouv_ventes">'[18]INDIC-08'!#REF!</definedName>
    <definedName name="nb_pn_differents">[74]Modèle!$C$11</definedName>
    <definedName name="nb_pn_specifiques">[74]Modèle!$C$12</definedName>
    <definedName name="NCS_2">#REF!</definedName>
    <definedName name="NCV_2">#REF!</definedName>
    <definedName name="new" hidden="1">{"MONTHPLAN",#N/A,FALSE,"DETAIL REPORT";"MONTHPRIOR",#N/A,FALSE,"DETAIL REPORT";"YTDPLAN",#N/A,FALSE,"DETAIL REPORT";"YTDPRIOR",#N/A,FALSE,"DETAIL REPORT"}</definedName>
    <definedName name="newdiscount">#REF!</definedName>
    <definedName name="next">'[131]Purchases FWJ'!#REF!</definedName>
    <definedName name="NEXTYR">#REF!</definedName>
    <definedName name="NGE_2">#REF!</definedName>
    <definedName name="nlnkp">'[54]EDC-DAS'!#REF!</definedName>
    <definedName name="NODES_per_Panel">'[132]Test Breakout'!#REF!</definedName>
    <definedName name="Nombre_de_jours__ouvrés_d_expédition">'[18]INDIC-08'!#REF!</definedName>
    <definedName name="Nombre_de_jours_calendaires">'[18]INDIC-08'!#REF!</definedName>
    <definedName name="Nombre_de_jours_ouvrés__de_production">'[18]INDIC-08'!#REF!</definedName>
    <definedName name="Nombre_de_jours_ouvrés_de_ventes">'[18]INDIC-08'!#REF!</definedName>
    <definedName name="NomFeuille">'[47]REC-EDIT'!$A$3</definedName>
    <definedName name="NomFichier">'[47]REC-EDIT'!$A$2</definedName>
    <definedName name="NRO_2">#REF!</definedName>
    <definedName name="NUM">#REF!</definedName>
    <definedName name="Number_of_Pins">#REF!</definedName>
    <definedName name="Number_of_pins..">#REF!</definedName>
    <definedName name="NumStdDevsControlLimits">[61]UCL数据!#REF!</definedName>
    <definedName name="o" hidden="1">{"'ID(2)'!$E$1:$N$4"}</definedName>
    <definedName name="Observation">OFFSET([61]UCL数据!$A$45,0,0,COUNT([61]UCL数据!$A$45:$A$70),1)</definedName>
    <definedName name="oct">#REF!</definedName>
    <definedName name="OE">[133]Contents!#REF!</definedName>
    <definedName name="OFFLOAD">#REF!</definedName>
    <definedName name="OFFLOAD..">#REF!</definedName>
    <definedName name="ok">#REF!</definedName>
    <definedName name="old" hidden="1">{"MONTHPLAN",#N/A,FALSE,"DETAIL REPORT";"MONTHPRIOR",#N/A,FALSE,"DETAIL REPORT";"YTDPLAN",#N/A,FALSE,"DETAIL REPORT";"YTDPRIOR",#N/A,FALSE,"DETAIL REPORT"}</definedName>
    <definedName name="ONTLTD">[29]ATT5!#REF!</definedName>
    <definedName name="OpeManager">[30]Tables!$A$102</definedName>
    <definedName name="open">OFFSET([64]!sell,,-5)</definedName>
    <definedName name="OpeRatepHrs">[30]Tables!$A$175</definedName>
    <definedName name="OPERATOR_EFFICIENCY">'[4]Test Labor'!$E$14</definedName>
    <definedName name="OperSuppliesMed">[30]Tables!$A$122</definedName>
    <definedName name="OperSuppliesStd">[30]Tables!$A$121</definedName>
    <definedName name="OpeSupplies">[30]Tables!$A$120</definedName>
    <definedName name="OpExVARrate">[43]Tables!$A$205</definedName>
    <definedName name="Order_1_stenc_high">#REF!</definedName>
    <definedName name="Order_1_stenc_low">'[27]datasheet to l_q'!$C$16</definedName>
    <definedName name="Order_2_stenc_high">#REF!</definedName>
    <definedName name="Order_2_stenc_low">'[27]datasheet to l_q'!$C$17</definedName>
    <definedName name="Order_sup_ser_high">#REF!</definedName>
    <definedName name="Order_sup_ser_low">'[27]datasheet to l_q'!$C$18</definedName>
    <definedName name="OrderQty">#REF!</definedName>
    <definedName name="ORGA">#REF!</definedName>
    <definedName name="OTAP">[110]OUTPUTS!$A$79</definedName>
    <definedName name="OTAR">[110]OUTPUTS!$A$78</definedName>
    <definedName name="OTCOA">[25]OUTPUTS!$A$30</definedName>
    <definedName name="OTCountry">[30]OUTPUTS!$A$17</definedName>
    <definedName name="OTCur">[25]OUTPUTS!$A$23</definedName>
    <definedName name="OTDM">[30]OUTPUTS!$A$21</definedName>
    <definedName name="OTDPO">[110]OUTPUTS!$A$70</definedName>
    <definedName name="OTDSO">[25]OUTPUTS!$A$66</definedName>
    <definedName name="OTFac">[110]OUTPUTS!$A$76</definedName>
    <definedName name="OtherAlloc">[25]Tables!$A$200</definedName>
    <definedName name="OtherCpLine">[30]Tables!$A$194</definedName>
    <definedName name="OTInt">[25]OUTPUTS!$A$37</definedName>
    <definedName name="OTInv">[110]OUTPUTS!$A$77</definedName>
    <definedName name="OTInvest">[110]OUTPUTS!$A$75</definedName>
    <definedName name="OTIT">[25]OUTPUTS!$A$32</definedName>
    <definedName name="OTP_NAME">[76]Configuration!#REF!</definedName>
    <definedName name="OTPrice">[25]OUTPUTS!$A$39</definedName>
    <definedName name="OTRD">[25]OUTPUTS!$A$36</definedName>
    <definedName name="OTRM">[25]OUTPUTS!$A$28</definedName>
    <definedName name="OTRMSpe">[25]OUTPUTS!$A$78</definedName>
    <definedName name="OTSGaA">[25]OUTPUTS!$A$35</definedName>
    <definedName name="OTSite">[25]OUTPUTS!$A$16</definedName>
    <definedName name="OTSTDPack">[25]OUTPUTS!$A$33</definedName>
    <definedName name="OTTaxes">[110]OUTPUTS!$A$63</definedName>
    <definedName name="OTTC">[25]OUTPUTS!$A$31</definedName>
    <definedName name="OTTurn">[25]OUTPUTS!$A$65</definedName>
    <definedName name="OTVolume">[25]OUTPUTS!$A$19</definedName>
    <definedName name="OTWar">[25]OUTPUTS!$A$34</definedName>
    <definedName name="oui">#REF!,#REF!,#REF!,#REF!,#REF!,#REF!</definedName>
    <definedName name="OutputsTable">[25]OUTPUTS!$B$14:$K$80</definedName>
    <definedName name="OUVC">[82]OUVC!$A$1:$IV$65536</definedName>
    <definedName name="OUVE">[134]OUVE!$C$1:$D$65536</definedName>
    <definedName name="OverTable">'[25]OUTPUTS-Override'!$B$11:$J$76</definedName>
    <definedName name="OVTAnnualP">#REF!</definedName>
    <definedName name="OVTAttrition">#REF!</definedName>
    <definedName name="OVTBIYield">#REF!</definedName>
    <definedName name="OVTCMQ">#REF!</definedName>
    <definedName name="OVTCMQD">#REF!</definedName>
    <definedName name="OVTCMT">#REF!</definedName>
    <definedName name="OVTCMTD">#REF!</definedName>
    <definedName name="OVTConv">#REF!</definedName>
    <definedName name="OVTDM">#REF!</definedName>
    <definedName name="OVTFCTStaff">#REF!</definedName>
    <definedName name="OVTFCTYield">#REF!</definedName>
    <definedName name="OVTFD">#REF!</definedName>
    <definedName name="OVTICTYield">#REF!</definedName>
    <definedName name="OVTIMQ">#REF!</definedName>
    <definedName name="OVTIMQD">#REF!</definedName>
    <definedName name="OVTIMQT">#REF!</definedName>
    <definedName name="OVTIMT">#REF!</definedName>
    <definedName name="OVTIMTD">#REF!</definedName>
    <definedName name="OVTLineconf">#REF!</definedName>
    <definedName name="OVTLineSpeed">#REF!</definedName>
    <definedName name="OVTLMargin">#REF!</definedName>
    <definedName name="OVTMmargin">'[25]OUTPUTS-Override'!$A$63</definedName>
    <definedName name="OVTMSCC">'[25]OUTPUTS-Override'!$A$46</definedName>
    <definedName name="OVTOpe">#REF!</definedName>
    <definedName name="OVTOpEx">#REF!</definedName>
    <definedName name="OVTPBIT">'[25]OUTPUTS-Override'!$A$66</definedName>
    <definedName name="OVTScrap">'[25]OUTPUTS-Override'!$A$52</definedName>
    <definedName name="OVTSGA">'[25]OUTPUTS-Override'!$A$54</definedName>
    <definedName name="OVTTurn">'[25]OUTPUTS-Override'!$A$56</definedName>
    <definedName name="OVTWarRate">#REF!</definedName>
    <definedName name="OVTWave">#REF!</definedName>
    <definedName name="OVTWty">#REF!</definedName>
    <definedName name="OWC_Sales">#REF!</definedName>
    <definedName name="oz">'[135]Quotation 10 june'!$D$13</definedName>
    <definedName name="p">[136]WELCOME!$H$5</definedName>
    <definedName name="p_an">'[26]détail 29-6'!$C$1</definedName>
    <definedName name="PA_bc">[26]synthèse!$B$24</definedName>
    <definedName name="pack">#REF!</definedName>
    <definedName name="PAF">#REF!</definedName>
    <definedName name="Page_01\1.8_1\300ppp">#REF!</definedName>
    <definedName name="Page_02">#REF!</definedName>
    <definedName name="Page_03">#REF!</definedName>
    <definedName name="Page_04">#REF!</definedName>
    <definedName name="Page_05">#REF!</definedName>
    <definedName name="Page_06">#REF!</definedName>
    <definedName name="Page_07">#REF!</definedName>
    <definedName name="Page_08">#REF!</definedName>
    <definedName name="Page_09">#REF!</definedName>
    <definedName name="PAGE1">[19]current!$A$3:$R$74</definedName>
    <definedName name="PAGE2">[19]current!$S$3:$AJ$70</definedName>
    <definedName name="PAGE3">[19]current!$S$69:$AJ$107</definedName>
    <definedName name="PAGE4">[19]current!$AK$3:$AP$71</definedName>
    <definedName name="Pallet_Weight">#REF!</definedName>
    <definedName name="Palletizing_Height">#REF!</definedName>
    <definedName name="PALRID">[29]ATT5!#REF!</definedName>
    <definedName name="PandL">#REF!</definedName>
    <definedName name="panel1">'[55]CUB Scout'!$A$10</definedName>
    <definedName name="panel10">#REF!</definedName>
    <definedName name="panel2">#REF!</definedName>
    <definedName name="panel3">#REF!</definedName>
    <definedName name="panel4">#REF!</definedName>
    <definedName name="panel5">#REF!</definedName>
    <definedName name="panel6">#REF!</definedName>
    <definedName name="panel7">#REF!</definedName>
    <definedName name="panel8">#REF!</definedName>
    <definedName name="panel9">#REF!</definedName>
    <definedName name="Part_Already_Localized">[123]Link!#REF!</definedName>
    <definedName name="PART_DETAIL">#REF!</definedName>
    <definedName name="part1">[13]Legend!$A$2</definedName>
    <definedName name="part2">[13]Legend!$A$3</definedName>
    <definedName name="part3">[13]Legend!$A$4</definedName>
    <definedName name="pascal">#REF!</definedName>
    <definedName name="passage">#REF!</definedName>
    <definedName name="Passive">#REF!</definedName>
    <definedName name="PBITGuide">[43]Tables!$A$212</definedName>
    <definedName name="PBT">#REF!</definedName>
    <definedName name="pbt20fv">[26]synthèse!$B$23</definedName>
    <definedName name="PCA_par_CS">#REF!</definedName>
    <definedName name="PCB_tool_cost">[137]tool_cost_jabil!$B$5</definedName>
    <definedName name="pcba_mat_1037">'[138]BOM Power Sys'!$N$880</definedName>
    <definedName name="pcba_mat_1045">'[138]BOM Power Sys'!$N$948</definedName>
    <definedName name="pcba_mat_1085">'[138]BOM Power Sys'!$N$1037</definedName>
    <definedName name="pcba_mat_1113">'[138]BOM Power Sys'!$N$1237</definedName>
    <definedName name="pcba_mat_1122">'[138]BOM Westlock'!$L$2</definedName>
    <definedName name="pcba_mat_1123">'[138]BOM Westlock'!$L$25</definedName>
    <definedName name="pcba_mat_1124">'[138]BOM Westlock'!$L$191</definedName>
    <definedName name="pcba_mat_1125">'[138]BOM Westlock'!$L$221</definedName>
    <definedName name="pcba_mat_1126">'[138]BOM Westlock'!$L$257</definedName>
    <definedName name="pcba_mat_1127">'[138]BOM Westlock'!$L$292</definedName>
    <definedName name="pcba_mat_1128">'[138]BOM Westlock'!$L$331</definedName>
    <definedName name="pcba_mat_1129">'[138]BOM Westlock'!$L$383</definedName>
    <definedName name="pcba_mat_1130">'[138]BOM Westlock'!$L$475</definedName>
    <definedName name="pcba_mat_1133">'[138]BOM Westlock'!$L$527</definedName>
    <definedName name="pcba_mat_1140">'[138]BOM BIFFI'!$M$2</definedName>
    <definedName name="pcba_mat_1141">'[138]BOM BIFFI'!$M$114</definedName>
    <definedName name="pcba_mat_1142">'[138]BOM BIFFI'!$M$193</definedName>
    <definedName name="pcba_mat_1143">'[138]BOM BIFFI'!$M$220</definedName>
    <definedName name="pcba_mat_1144">'[138]BOM BIFFI'!$M$307</definedName>
    <definedName name="pcba_mat_1656">'[138]BOM Galway'!$L$3455</definedName>
    <definedName name="pcba_mat_1657">'[138]BOM Westlock'!$L$593</definedName>
    <definedName name="pcba_mat_381">'[138]BOM Galway'!$L$2</definedName>
    <definedName name="pcba_mat_382">'[138]BOM Galway'!$L$76</definedName>
    <definedName name="pcba_mat_383">'[138]BOM Galway'!$L$170</definedName>
    <definedName name="pcba_mat_384">'[138]BOM Galway'!$L$200</definedName>
    <definedName name="pcba_mat_385">'[138]BOM Galway'!$L$288</definedName>
    <definedName name="pcba_mat_386">'[138]BOM Galway'!$L$463</definedName>
    <definedName name="pcba_mat_387">'[138]BOM Galway'!$L$647</definedName>
    <definedName name="pcba_mat_388">'[138]BOM Galway'!$L$738</definedName>
    <definedName name="pcba_mat_389">'[138]BOM Galway'!$L$958</definedName>
    <definedName name="pcba_mat_390">'[138]BOM Galway'!$L$1351</definedName>
    <definedName name="pcba_mat_391">'[138]BOM Galway'!$L$1365</definedName>
    <definedName name="pcba_mat_392">'[138]BOM Galway'!$L$1415</definedName>
    <definedName name="pcba_mat_393">'[138]BOM Galway'!$L$1588</definedName>
    <definedName name="pcba_mat_394">'[138]BOM Galway'!$L$1610</definedName>
    <definedName name="pcba_mat_395">'[138]BOM Galway'!$L$1774</definedName>
    <definedName name="pcba_mat_396">'[138]BOM Galway'!$L$1798</definedName>
    <definedName name="pcba_mat_397">'[138]BOM Galway'!$L$1827</definedName>
    <definedName name="pcba_mat_398">'[138]BOM Galway'!$L$1926</definedName>
    <definedName name="pcba_mat_399">'[138]BOM Galway'!$L$2112</definedName>
    <definedName name="pcba_mat_400">'[138]BOM Galway'!$L$2143</definedName>
    <definedName name="pcba_mat_401">'[138]BOM Galway'!$L$2181</definedName>
    <definedName name="pcba_mat_429">'[138]BOM Galway'!$L$2280</definedName>
    <definedName name="pcba_mat_430">'[138]BOM Galway'!$L$2414</definedName>
    <definedName name="pcba_mat_431">'[138]BOM Galway'!$L$2536</definedName>
    <definedName name="pcba_mat_432">'[138]BOM Galway'!$L$2604</definedName>
    <definedName name="pcba_mat_433">'[138]BOM Galway'!$L$2613</definedName>
    <definedName name="pcba_mat_434">'[138]BOM Galway'!$L$2663</definedName>
    <definedName name="pcba_mat_435">'[138]BOM Galway'!$L$2736</definedName>
    <definedName name="pcba_mat_436">'[138]BOM Galway'!$L$2834</definedName>
    <definedName name="pcba_mat_437">'[138]BOM Nancy'!$L$2</definedName>
    <definedName name="pcba_mat_438">'[138]BOM Nancy'!$L$72</definedName>
    <definedName name="pcba_mat_439">'[138]BOM Nancy'!$L$199</definedName>
    <definedName name="pcba_mat_440">'[138]BOM Galway'!$L$2846</definedName>
    <definedName name="pcba_mat_441">'[138]BOM Galway'!$L$2867</definedName>
    <definedName name="pcba_mat_442">'[138]BOM Galway'!$L$2947</definedName>
    <definedName name="pcba_mat_443">'[138]BOM Galway'!$L$3036</definedName>
    <definedName name="pcba_mat_444">'[138]BOM Galway'!$L$3116</definedName>
    <definedName name="pcba_mat_445">'[138]BOM Galway'!$L$3248</definedName>
    <definedName name="pcba_mat_446">'[138]BOM Galway'!$L$3389</definedName>
    <definedName name="pcba_mat_737">'[138]BOM PI-India'!$K$2</definedName>
    <definedName name="pcba_mat_738">'[138]BOM PI-India'!$K$12</definedName>
    <definedName name="pcba_mat_739">'[138]BOM PI-India'!$K$22</definedName>
    <definedName name="pcba_mat_740">'[138]BOM PI-India'!$K$33</definedName>
    <definedName name="pcba_mat_752">'[138]BOM Power Sys'!$N$2</definedName>
    <definedName name="pcba_mat_827">'[138]BOM Power Sys'!$N$55</definedName>
    <definedName name="pcba_mat_917">'[138]BOM Power Sys'!$N$282</definedName>
    <definedName name="pcba_mat_918">'[138]BOM Power Sys'!$N$556</definedName>
    <definedName name="pcba_mat_929">'[138]BOM Power Sys'!$N$791</definedName>
    <definedName name="PCF">[29]ATT5!#REF!</definedName>
    <definedName name="PCpMonth">[30]Tables!$A$182</definedName>
    <definedName name="PEN_BOMROLL_CM">[139]BOMROLL!$A$1:$F$6026</definedName>
    <definedName name="percent_range">#REF!</definedName>
    <definedName name="percent_range.">#REF!</definedName>
    <definedName name="percent_range..">#REF!</definedName>
    <definedName name="period">[140]WELCOME!$H$5</definedName>
    <definedName name="period1">[140]WELCOME!$H$5</definedName>
    <definedName name="Période">#REF!</definedName>
    <definedName name="Periode_étudiée">#REF!</definedName>
    <definedName name="PGSNA">[29]ATT5!#REF!</definedName>
    <definedName name="PHL">[29]ATT5!#REF!</definedName>
    <definedName name="pis">#REF!</definedName>
    <definedName name="Pitch">#REF!</definedName>
    <definedName name="PL_234">[105]PR孔!#REF!</definedName>
    <definedName name="PL_PEM_P0.8X27.5">#REF!</definedName>
    <definedName name="PL_PEM_P0.8X30.5">#REF!</definedName>
    <definedName name="PL_PEM_P0.8X33">#REF!</definedName>
    <definedName name="PL_PEM_P0.8X35">#REF!</definedName>
    <definedName name="PL_PEM_P0.8X38">#REF!</definedName>
    <definedName name="PL_PEM_P0.8X43">#REF!</definedName>
    <definedName name="PL_PEM_P0.8X63.4">#REF!</definedName>
    <definedName name="PL_PEM_P1.0X32">[34]PR孔!#REF!</definedName>
    <definedName name="PL_PEM_P1.0X37">[34]PR孔!#REF!</definedName>
    <definedName name="Plage_Ecarts">'[141]Jul vs Apr EOY'!$B$9:$B$19</definedName>
    <definedName name="PLAN">#REF!</definedName>
    <definedName name="Plan_high">#REF!</definedName>
    <definedName name="Planilla_Aramendy">#REF!</definedName>
    <definedName name="PLANNING_DRIFT">#REF!</definedName>
    <definedName name="Planning_low">'[27]datasheet to l_q'!$C$10</definedName>
    <definedName name="Plans">'[18]INDIC-04'!$A$2:$R$47,'[18]INDIC-04'!#REF!</definedName>
    <definedName name="Plant">[142]Criterions!$J$37:$J$55</definedName>
    <definedName name="Plant_List">[143]PlantList!$B$3:$B$271</definedName>
    <definedName name="PLUS">#REF!</definedName>
    <definedName name="PM_1_high">#REF!</definedName>
    <definedName name="PM_1_low">'[27]datasheet to l_q'!$D$127</definedName>
    <definedName name="PM_10_high">#REF!</definedName>
    <definedName name="PM_10_low">'[27]datasheet to l_q'!$M$127</definedName>
    <definedName name="PM_11_high">#REF!</definedName>
    <definedName name="PM_11_low">'[27]datasheet to l_q'!$N$127</definedName>
    <definedName name="PM_2_high">#REF!</definedName>
    <definedName name="PM_2_low">'[27]datasheet to l_q'!$E$127</definedName>
    <definedName name="PM_3_high">#REF!</definedName>
    <definedName name="PM_3_low">'[27]datasheet to l_q'!$F$127</definedName>
    <definedName name="PM_4_high">#REF!</definedName>
    <definedName name="PM_4_low">'[27]datasheet to l_q'!$G$127</definedName>
    <definedName name="PM_5_high">#REF!</definedName>
    <definedName name="PM_5_low">'[27]datasheet to l_q'!$H$127</definedName>
    <definedName name="PM_6_high">#REF!</definedName>
    <definedName name="PM_6_low">'[27]datasheet to l_q'!$I$127</definedName>
    <definedName name="PM_7_high">#REF!</definedName>
    <definedName name="PM_7_low">'[27]datasheet to l_q'!$J$127</definedName>
    <definedName name="PM_8_high">#REF!</definedName>
    <definedName name="PM_8_low">'[27]datasheet to l_q'!$K$127</definedName>
    <definedName name="PM_9_high">#REF!</definedName>
    <definedName name="PM_9_low">'[27]datasheet to l_q'!$L$127</definedName>
    <definedName name="PM_low">'[27]datasheet to l_q'!#REF!</definedName>
    <definedName name="PMAVG">OFFSET([122]SWDA!$O$60,,[122]SWDA!$D$58,,[122]SWDA!$D$59)</definedName>
    <definedName name="PMFCST">OFFSET([122]SWDA!$O$62,,[122]SWDA!$D$58,,[122]SWDA!$D$59)</definedName>
    <definedName name="PMMM3">OFFSET([122]SWDA!$O$61,,[122]SWDA!$D$58,,[122]SWDA!$D$59)</definedName>
    <definedName name="PMSWDA">OFFSET([122]SWDA!$O$59,,[122]SWDA!$D$58,,[122]SWDA!$D$59)</definedName>
    <definedName name="PMTEND">OFFSET([122]SWDA!$O$63,,[122]SWDA!$D$58,,[122]SWDA!$D$59)</definedName>
    <definedName name="PNDLTMSCC">#REF!</definedName>
    <definedName name="PNLDTable">'[25]P&amp;LDetail'!$B$9:$K$72</definedName>
    <definedName name="PNLDTAC">'[25]P&amp;LDetail'!$A$38</definedName>
    <definedName name="PNLDTBra">'[25]P&amp;LDetail'!$A$44</definedName>
    <definedName name="PNLDTInt">'[25]P&amp;LDetail'!$A$50</definedName>
    <definedName name="PNLDTITFACO">#REF!</definedName>
    <definedName name="PNLDTLM">#REF!</definedName>
    <definedName name="PNLDTMbud">#REF!</definedName>
    <definedName name="PNLDTMC">'[25]P&amp;LDetail'!$A$19</definedName>
    <definedName name="PNLDTPackMat">#REF!</definedName>
    <definedName name="PNLDTPBIT">#REF!</definedName>
    <definedName name="PNLDTPBT">#REF!</definedName>
    <definedName name="PNLDTPBTp">#REF!</definedName>
    <definedName name="PNLDTPrice">'[25]P&amp;LDetail'!$A$54</definedName>
    <definedName name="PNLDTRM">'[25]P&amp;LDetail'!$A$12</definedName>
    <definedName name="PNLDTSBud">#REF!</definedName>
    <definedName name="PNLDTSGA">'[25]P&amp;LDetail'!$A$46</definedName>
    <definedName name="PNLDTTC">'[25]P&amp;LDetail'!$A$32</definedName>
    <definedName name="PNLDTVA">#REF!</definedName>
    <definedName name="PNLDTWar">#REF!</definedName>
    <definedName name="PNLTDTCOGS">'[43]P&amp;LDetail'!$A$68</definedName>
    <definedName name="Point">[144]Points!$B$4:$I$9</definedName>
    <definedName name="pole_an">'[26]détail 29-6'!$C$1</definedName>
    <definedName name="Pos_BU1">#REF!</definedName>
    <definedName name="Pos_BU2">#REF!</definedName>
    <definedName name="Pos_End">#REF!</definedName>
    <definedName name="Pos_FirstBU">#REF!</definedName>
    <definedName name="Pos_Total">#REF!</definedName>
    <definedName name="Pos_TtlEnd">#REF!</definedName>
    <definedName name="Posting_Date">#REF!</definedName>
    <definedName name="Posting_Period">#REF!</definedName>
    <definedName name="POT_AC">#REF!</definedName>
    <definedName name="PPEP_Criticality">[28]Link!#REF!</definedName>
    <definedName name="PPL">#REF!</definedName>
    <definedName name="PQAVG">OFFSET([122]SWDA!$O$60,,[122]SWDA!$C$58,,[122]SWDA!$C$59)</definedName>
    <definedName name="PQFCST">OFFSET([122]SWDA!$O$69,,[122]SWDA!$C$58,,[122]SWDA!$C$59)</definedName>
    <definedName name="PQMM3">OFFSET([122]SWDA!$O$61,,[122]SWDA!$C$58,,[122]SWDA!$C$59)</definedName>
    <definedName name="PQSWDA">OFFSET([122]SWDA!$O$68,,[122]SWDA!$C$58,,[122]SWDA!$C$59)</definedName>
    <definedName name="PQTEND">OFFSET([122]SWDA!$O$63,,[122]SWDA!$C$58,,[122]SWDA!$C$59)</definedName>
    <definedName name="PRATIO">#REF!</definedName>
    <definedName name="PRDump">#REF!</definedName>
    <definedName name="PRDump.">#REF!</definedName>
    <definedName name="PressFit">[30]Tables!$A$73</definedName>
    <definedName name="PREVIOUS_YEAR">'[69]0 - INFORMATIONS'!$D$9</definedName>
    <definedName name="_xlnm.Print_Area">#REF!</definedName>
    <definedName name="Print_Area.">#REF!</definedName>
    <definedName name="Print_Area..">#REF!</definedName>
    <definedName name="PRINT_AREA_MI">#REF!</definedName>
    <definedName name="PRINT_AREA_MI.">#REF!</definedName>
    <definedName name="Print_Titles_MI">'[1]96PROP'!$A$618:$IV$621</definedName>
    <definedName name="Prix_unitaire">[74]Modèle!$C$53</definedName>
    <definedName name="pro" hidden="1">{"","","'Curves'!$V$3","'Curves'!$W$3","","","","","",""}</definedName>
    <definedName name="PROBLEM_CRITICAL">#REF!</definedName>
    <definedName name="PROBLEM_ELN_CLOSED">#REF!</definedName>
    <definedName name="PROBLEM_ELN_DETECTED">#REF!</definedName>
    <definedName name="PROBLEM_ELN_MANAGED">#REF!</definedName>
    <definedName name="PROBLEM_PROJECT_CLOSED">#REF!</definedName>
    <definedName name="PROBLEM_PROJECT_DETECTED">#REF!</definedName>
    <definedName name="PROBLEM_PROJECT_MANAGED">#REF!</definedName>
    <definedName name="PROBLEM_SW_CLOSED">#REF!</definedName>
    <definedName name="PROBLEM_SW_DETECTED">#REF!</definedName>
    <definedName name="PROBLEM_SW_MANAGED">#REF!</definedName>
    <definedName name="prod">#REF!</definedName>
    <definedName name="ProdCtl">[30]Tables!$A$109</definedName>
    <definedName name="ProdManager">[30]Tables!$A$103</definedName>
    <definedName name="ProdSuperV">[30]Tables!$A$104</definedName>
    <definedName name="produce">OFFSET([64]!sell,,-1)</definedName>
    <definedName name="productivity" hidden="1">{"Curves","Chart 3","Curves Graphique 3"}</definedName>
    <definedName name="Products_SWDA">'[145]SWDA data &amp; gap'!$A$56:$DQ$107</definedName>
    <definedName name="Produits">#REF!</definedName>
    <definedName name="PROFIT">#REF!</definedName>
    <definedName name="Profit_Loss">#REF!</definedName>
    <definedName name="Profit_Loss.">#REF!</definedName>
    <definedName name="ProfitA">#REF!</definedName>
    <definedName name="ProfitA.">#REF!</definedName>
    <definedName name="ProfitA..">#REF!</definedName>
    <definedName name="Prog_1_high">#REF!</definedName>
    <definedName name="Prog_1_low">'[27]datasheet to l_q'!$C$11</definedName>
    <definedName name="Prog_2_high">#REF!</definedName>
    <definedName name="Prog_2_low">'[27]datasheet to l_q'!$C$12</definedName>
    <definedName name="Project_Life">'[146]Project Info'!$C$19</definedName>
    <definedName name="Project_Life.">'[147]Project Info'!$C$19</definedName>
    <definedName name="ProjectName">[25]INPUTS!$C$11</definedName>
    <definedName name="Proto">#REF!</definedName>
    <definedName name="Prototype">#REF!</definedName>
    <definedName name="Provisions_disponibles_Aleas___Garantie___Autres">#REF!</definedName>
    <definedName name="PTAX">[133]Contents!#REF!</definedName>
    <definedName name="PTHHLSatff">[30]Tables!$A$85</definedName>
    <definedName name="Purc_high">#REF!</definedName>
    <definedName name="Purch_low">'[27]datasheet to l_q'!$C$9</definedName>
    <definedName name="PUSCORE">[29]ATT5!#REF!</definedName>
    <definedName name="py">#REF!</definedName>
    <definedName name="Q_Cplt">'[148]Carat Parameters'!$U$2</definedName>
    <definedName name="Q_社員一覧表">#REF!</definedName>
    <definedName name="Q1_OG_Receivables_Values">#REF!</definedName>
    <definedName name="Q1QTY">#REF!</definedName>
    <definedName name="Q1TO">#REF!</definedName>
    <definedName name="Q2QTY">#REF!</definedName>
    <definedName name="Q2TO">#REF!</definedName>
    <definedName name="Q3QTY">#REF!</definedName>
    <definedName name="Q3TO">#REF!</definedName>
    <definedName name="Q4QTY">#REF!</definedName>
    <definedName name="Q4TO">#REF!</definedName>
    <definedName name="Q5QTY">#REF!</definedName>
    <definedName name="Q5TO">#REF!</definedName>
    <definedName name="QASampling">[30]Tables!$A$66</definedName>
    <definedName name="QATech">[30]Tables!$A$95</definedName>
    <definedName name="QCStaff">[30]Tables!$A$87</definedName>
    <definedName name="QCTime">[30]Tables!$A$62</definedName>
    <definedName name="QQ">#REF!</definedName>
    <definedName name="qryExcelPriceBook">#REF!</definedName>
    <definedName name="qryExcelPriceBook.">#REF!</definedName>
    <definedName name="QTECUT">#REF!</definedName>
    <definedName name="QTECUT2">#REF!</definedName>
    <definedName name="QTECUT3">#REF!</definedName>
    <definedName name="Quality_eng_1_high">#REF!</definedName>
    <definedName name="Quality_eng_1_low">'[27]datasheet to l_q'!$D$123</definedName>
    <definedName name="Quality_eng_10_high">#REF!</definedName>
    <definedName name="Quality_eng_10_low">'[27]datasheet to l_q'!$M$123</definedName>
    <definedName name="Quality_eng_11_high">#REF!</definedName>
    <definedName name="Quality_eng_11_low">'[27]datasheet to l_q'!$N$123</definedName>
    <definedName name="Quality_eng_2_high">#REF!</definedName>
    <definedName name="Quality_eng_2_low">'[27]datasheet to l_q'!$E$123</definedName>
    <definedName name="Quality_eng_3_high">#REF!</definedName>
    <definedName name="Quality_eng_3_low">'[27]datasheet to l_q'!$F$123</definedName>
    <definedName name="Quality_eng_4_high">#REF!</definedName>
    <definedName name="Quality_eng_4_low">'[27]datasheet to l_q'!$G$123</definedName>
    <definedName name="Quality_eng_5_high">#REF!</definedName>
    <definedName name="Quality_eng_5_low">'[27]datasheet to l_q'!$H$123</definedName>
    <definedName name="Quality_eng_6_high">#REF!</definedName>
    <definedName name="Quality_eng_6_low">'[27]datasheet to l_q'!$I$123</definedName>
    <definedName name="Quality_eng_7_high">#REF!</definedName>
    <definedName name="Quality_eng_7_low">'[27]datasheet to l_q'!$J$123</definedName>
    <definedName name="Quality_eng_8_high">#REF!</definedName>
    <definedName name="Quality_eng_8_low">'[27]datasheet to l_q'!$K$123</definedName>
    <definedName name="Quality_eng_9_high">#REF!</definedName>
    <definedName name="Quality_eng_9_low">'[27]datasheet to l_q'!$L$123</definedName>
    <definedName name="Quality_eng_low">'[27]datasheet to l_q'!#REF!</definedName>
    <definedName name="QualityEng">[30]Tables!$A$108</definedName>
    <definedName name="Quarter">'[148]Carat Parameters'!$U$1</definedName>
    <definedName name="Quarters">[148]Qs!$A$1:$B$21</definedName>
    <definedName name="Quotation">#REF!</definedName>
    <definedName name="Quotation..">#REF!</definedName>
    <definedName name="QuotationSummary">#REF!</definedName>
    <definedName name="Quote">#REF!</definedName>
    <definedName name="QuoteNumber">[25]INPUTS!$C$16</definedName>
    <definedName name="R_bar">[61]UCL数据!#REF!</definedName>
    <definedName name="R_column">OFFSET([61]UCL数据!#REF!,0,0,COUNT([61]UCL数据!#REF!)+1,1)</definedName>
    <definedName name="R_oo_detail">#REF!</definedName>
    <definedName name="RADIALE">#REF!</definedName>
    <definedName name="RAM_1">#REF!</definedName>
    <definedName name="RAM_2">#REF!</definedName>
    <definedName name="RAM_7">#REF!</definedName>
    <definedName name="RAM_8">#REF!</definedName>
    <definedName name="rate">#REF!</definedName>
    <definedName name="Rate04">#REF!</definedName>
    <definedName name="rate1">#REF!</definedName>
    <definedName name="raw_material_quote">[74]Modèle!$C$34</definedName>
    <definedName name="RawAgencyPrice">#REF!</definedName>
    <definedName name="RawAgencyprice.">#REF!</definedName>
    <definedName name="RBB_6">[120]PR961!#REF!</definedName>
    <definedName name="RBData">#REF!</definedName>
    <definedName name="RBData.">#REF!</definedName>
    <definedName name="RCOA">#REF!</definedName>
    <definedName name="rd">#REF!</definedName>
    <definedName name="Réalisé1">#REF!</definedName>
    <definedName name="RéaliséGlobal">[149]RéaliséGlobal!$A$6:$R$607</definedName>
    <definedName name="Receivables">'[35]Q2 OG Trade Receivables'!$A$1:$IV$65536</definedName>
    <definedName name="Receivables_1206">'[150]OG Trade Receivables Values'!$A$1:$IV$65536</definedName>
    <definedName name="ref">#REF!</definedName>
    <definedName name="Rep_Curr">#REF!</definedName>
    <definedName name="REPAIR">#REF!</definedName>
    <definedName name="REPAIR..">#REF!</definedName>
    <definedName name="REPORT">[151]calcsheet!#REF!</definedName>
    <definedName name="REPORTPRINT">#REF!</definedName>
    <definedName name="REPVolSelect">'[43]REPORTING '!$C$10</definedName>
    <definedName name="REQ_PROGRESS_START_DATE">#REF!</definedName>
    <definedName name="REQ_STABLE_START_DATE">#REF!</definedName>
    <definedName name="REQ_START_DATE">#REF!</definedName>
    <definedName name="RES_SA_nvle___CA_réalisé_x__tx_SA___tx_ajusté">#REF!</definedName>
    <definedName name="RES_SA_nvle___CA_réalisé_x__tx_SA03___tx_ajusté">#REF!</definedName>
    <definedName name="RES_SA_préc.__CA_réalisé_x__tx_à_fin___tx_comptable">#REF!</definedName>
    <definedName name="Reselects">#REF!</definedName>
    <definedName name="Reselects.">#REF!</definedName>
    <definedName name="ressort">[26]synthèse!$B$16</definedName>
    <definedName name="RestoreYN">#REF!</definedName>
    <definedName name="revisionlog">#REF!</definedName>
    <definedName name="REVPIE">#REF!</definedName>
    <definedName name="ReworkStaff">[30]Tables!$A$84</definedName>
    <definedName name="RF_Products">[145]RF!$A$56:$Y$107</definedName>
    <definedName name="RF_Total">[145]RF!$A$2:$Y$53</definedName>
    <definedName name="RISK_CRITICAL">#REF!</definedName>
    <definedName name="RISK_ELN_CLOSED">#REF!</definedName>
    <definedName name="RISK_ELN_DETECTED">#REF!</definedName>
    <definedName name="RISK_ELN_MANAGED">#REF!</definedName>
    <definedName name="RISK_PROJECT_CLOSED">#REF!</definedName>
    <definedName name="RISK_PROJECT_DETECTED">#REF!</definedName>
    <definedName name="RISK_PROJECT_MANAGED">#REF!</definedName>
    <definedName name="RISK_SW_CLOSED">#REF!</definedName>
    <definedName name="RISK_SW_DETECTED">#REF!</definedName>
    <definedName name="RISK_SW_MANAGED">#REF!</definedName>
    <definedName name="RMb">[45]Currency!$B$5</definedName>
    <definedName name="rmcAccount">4810</definedName>
    <definedName name="rmcApplication">"MC3"</definedName>
    <definedName name="rmcCategory">"LASTYR"</definedName>
    <definedName name="rmcFrequency">"YTD"</definedName>
    <definedName name="rmcName">"SCHCAT"</definedName>
    <definedName name="RMCOptions">"*000000000000000"</definedName>
    <definedName name="rmcPeriod">9312</definedName>
    <definedName name="Roulage" hidden="1">{"'ID(2)'!$E$1:$N$4"}</definedName>
    <definedName name="RPL_12_B">[105]PR孔!#REF!</definedName>
    <definedName name="RPL_12_B2">[105]PR孔!#REF!</definedName>
    <definedName name="RPL_13">#REF!</definedName>
    <definedName name="RPL_14">#REF!</definedName>
    <definedName name="RPL_15">[105]PR孔!#REF!</definedName>
    <definedName name="RPL_16">#REF!</definedName>
    <definedName name="RPL_21">#REF!</definedName>
    <definedName name="RPL_22">#REF!</definedName>
    <definedName name="RPL_23">[105]PR孔!#REF!</definedName>
    <definedName name="RPL_24">#REF!</definedName>
    <definedName name="rr" hidden="1">{"Portada",#N/A,FALSE,"Pres";"PL",#N/A,FALSE,"P&amp;L";"SFC",#N/A,FALSE,"SFC";"CE",#N/A,FALSE,"Capital Employed";"M+1",#N/A,FALSE,"Prev. (M+1)";"TRI",#N/A,FALSE,"Prev. Trim."}</definedName>
    <definedName name="rs">#REF!</definedName>
    <definedName name="RSP_8">#REF!</definedName>
    <definedName name="RTM_3">#REF!</definedName>
    <definedName name="RTM_4">#REF!</definedName>
    <definedName name="RTM_5">#REF!</definedName>
    <definedName name="RTM_6">#REF!</definedName>
    <definedName name="RunRatesTemplate">#REF!</definedName>
    <definedName name="RYK_1">#REF!</definedName>
    <definedName name="RYK_2">#REF!</definedName>
    <definedName name="RYK_5">#REF!</definedName>
    <definedName name="RYK_6">#REF!</definedName>
    <definedName name="S">{"GRAF. C.A.",#N/A,TRUE,"GRAFICOS";"GRAF. VOLUM.",#N/A,TRUE,"GRAFICOS";"GRAF. M.B.",#N/A,TRUE,"GRAFICOS"}</definedName>
    <definedName name="S_T_Incidence_ajusté">#REF!</definedName>
    <definedName name="s8sc105">'[152]Possible Scenario'!$N$23</definedName>
    <definedName name="s8sc106">'[152]Possible Scenario'!$O$23</definedName>
    <definedName name="s8sc107">'[152]Possible Scenario'!$P$23</definedName>
    <definedName name="s8sc108">'[152]Possible Scenario'!$Q$23</definedName>
    <definedName name="s8sc109">'[152]Possible Scenario'!$R$23</definedName>
    <definedName name="s8sc205">'[152]Possible Scenario'!$N$50</definedName>
    <definedName name="s8sc206">'[152]Possible Scenario'!$O$50</definedName>
    <definedName name="s8sc207">'[152]Possible Scenario'!$P$50</definedName>
    <definedName name="s8sc208">'[152]Possible Scenario'!$Q$50</definedName>
    <definedName name="s8sc209">'[152]Possible Scenario'!$R$50</definedName>
    <definedName name="s8sc305">'[152]Possible Scenario'!$N$64</definedName>
    <definedName name="s8sc306">'[152]Possible Scenario'!$O$64</definedName>
    <definedName name="s8sc307">'[152]Possible Scenario'!$P$64</definedName>
    <definedName name="s8sc308">'[152]Possible Scenario'!$Q$64</definedName>
    <definedName name="s8sc309">'[152]Possible Scenario'!$R$64</definedName>
    <definedName name="s8sc402">'[152]Possible Scenario'!#REF!</definedName>
    <definedName name="s8sc403">'[152]Possible Scenario'!#REF!</definedName>
    <definedName name="s8sc405">'[152]Possible Scenario'!$N$78</definedName>
    <definedName name="s8sc406">'[152]Possible Scenario'!$O$78</definedName>
    <definedName name="s8sc407">'[152]Possible Scenario'!$P$78</definedName>
    <definedName name="s8sc408">'[152]Possible Scenario'!$Q$78</definedName>
    <definedName name="s8sc409">'[152]Possible Scenario'!$R$78</definedName>
    <definedName name="sada">[153]Canada!$A$30:$G$683</definedName>
    <definedName name="Salaried_Headcount">#REF!</definedName>
    <definedName name="Sales">'[150]YTD OG Sales Analysis'!$A$1:$IV$65536</definedName>
    <definedName name="SALESPLAN">#REF!</definedName>
    <definedName name="SALESPLAN.">#REF!</definedName>
    <definedName name="Sample">OFFSET([61]UCL数据!#REF!,0,0,COUNTA([61]UCL数据!#REF!),1)</definedName>
    <definedName name="san">#REF!</definedName>
    <definedName name="SAPBEXhrIndnt" hidden="1">2</definedName>
    <definedName name="SAPBEXrevision" hidden="1">3</definedName>
    <definedName name="SAPBEXsysID" hidden="1">"PR5"</definedName>
    <definedName name="SAPBEXwbID" hidden="1">"3ZFRKXPNQBV8WAPGMG6ZM64HH"</definedName>
    <definedName name="SBN_1007">#REF!</definedName>
    <definedName name="SBN_1008">[116]pr11!#REF!</definedName>
    <definedName name="SBN_1009">#REF!</definedName>
    <definedName name="SBN_1011">#REF!</definedName>
    <definedName name="SBN_1011_1">#REF!</definedName>
    <definedName name="SBN_1012_1">#REF!</definedName>
    <definedName name="SBN_1017">#REF!</definedName>
    <definedName name="SBN_1021">#REF!</definedName>
    <definedName name="SBN_1028">#REF!</definedName>
    <definedName name="SBN_1029">#REF!</definedName>
    <definedName name="SBN_114">[120]PR961!#REF!</definedName>
    <definedName name="SBN_126">#REF!</definedName>
    <definedName name="SBN_131">#REF!</definedName>
    <definedName name="SBN_132">#REF!</definedName>
    <definedName name="SBN_139_1">#REF!</definedName>
    <definedName name="SBN_142">#REF!</definedName>
    <definedName name="SBN_142_1">#REF!</definedName>
    <definedName name="SBN_143_1">#REF!</definedName>
    <definedName name="SBN_144_1A">[120]PR961!#REF!</definedName>
    <definedName name="SBN_148">#REF!</definedName>
    <definedName name="SBN_154">#REF!</definedName>
    <definedName name="SBN_160">#REF!</definedName>
    <definedName name="SBN_169_1">#REF!</definedName>
    <definedName name="SBN_174">#REF!</definedName>
    <definedName name="SBN_176">#REF!</definedName>
    <definedName name="SBN_180">#REF!</definedName>
    <definedName name="SBN_180_1">#REF!</definedName>
    <definedName name="SBN_185">#REF!</definedName>
    <definedName name="SBN_187">#REF!</definedName>
    <definedName name="SBN_191_1">#REF!</definedName>
    <definedName name="SBN_194">#REF!</definedName>
    <definedName name="SBN_195_1">#REF!</definedName>
    <definedName name="SBN_205">#REF!</definedName>
    <definedName name="SBN_216">#REF!</definedName>
    <definedName name="SBN_381_3B_1">#REF!</definedName>
    <definedName name="SBN_381_4B_1">#REF!</definedName>
    <definedName name="SBN_397_3A_1">#REF!</definedName>
    <definedName name="SBN_397_4A_2">#REF!</definedName>
    <definedName name="SBN_449_2">#REF!</definedName>
    <definedName name="SBN_451_8">#REF!</definedName>
    <definedName name="SBN_451F">#REF!</definedName>
    <definedName name="SBN_452_1A">#REF!</definedName>
    <definedName name="SBN_452A">#REF!</definedName>
    <definedName name="SBN_452P_1">#REF!</definedName>
    <definedName name="SBN_452P_2">#REF!</definedName>
    <definedName name="SBN_456D3">#REF!</definedName>
    <definedName name="SBN_456H">#REF!</definedName>
    <definedName name="SBN_464">#REF!</definedName>
    <definedName name="SBN_466A">#REF!</definedName>
    <definedName name="SBN_466G2">#REF!</definedName>
    <definedName name="SBN_466M">#REF!</definedName>
    <definedName name="SBN_466N2">#REF!</definedName>
    <definedName name="SBN_466N2_1">#REF!</definedName>
    <definedName name="SBN_466T">#REF!</definedName>
    <definedName name="SBN_466V">#REF!</definedName>
    <definedName name="SBN_474A">#REF!</definedName>
    <definedName name="SBN_481B">#REF!</definedName>
    <definedName name="SBN_483B">#REF!</definedName>
    <definedName name="SBN_491">#REF!</definedName>
    <definedName name="SBN_491A">#REF!</definedName>
    <definedName name="SBN_491B">#REF!</definedName>
    <definedName name="SBN_491E">#REF!</definedName>
    <definedName name="SBN_491E2">#REF!</definedName>
    <definedName name="SBN_492_2">#REF!</definedName>
    <definedName name="SBN_492A">#REF!</definedName>
    <definedName name="SBN_492G">#REF!</definedName>
    <definedName name="SBN_494_1">#REF!</definedName>
    <definedName name="SBN_494G2">#REF!</definedName>
    <definedName name="SBN_495">#REF!</definedName>
    <definedName name="SBN_495_1">#REF!</definedName>
    <definedName name="SBN_495A">#REF!</definedName>
    <definedName name="SBN_496C">#REF!</definedName>
    <definedName name="SBN_496C_2">#REF!</definedName>
    <definedName name="SBN_497">[117]PR964!#REF!</definedName>
    <definedName name="SBN_501">#REF!</definedName>
    <definedName name="SBN_501A">#REF!</definedName>
    <definedName name="SBN_505">#REF!</definedName>
    <definedName name="SBN_505A">#REF!</definedName>
    <definedName name="SBN_557">#REF!</definedName>
    <definedName name="SBN_557A">#REF!</definedName>
    <definedName name="SBN_578">#REF!</definedName>
    <definedName name="SBN_582">#REF!</definedName>
    <definedName name="SBN_582_1">#REF!</definedName>
    <definedName name="SBN_582B">#REF!</definedName>
    <definedName name="SBN_585">#REF!</definedName>
    <definedName name="SBN_592">#REF!</definedName>
    <definedName name="SBN_593">#REF!</definedName>
    <definedName name="SBN_594">#REF!</definedName>
    <definedName name="SBN_597_1">#REF!</definedName>
    <definedName name="SBN_610">#REF!</definedName>
    <definedName name="SBN_610E_1">#REF!</definedName>
    <definedName name="SBN_630">#REF!</definedName>
    <definedName name="SBN_631">#REF!</definedName>
    <definedName name="SBN_702">#REF!</definedName>
    <definedName name="SBN_704F">#REF!</definedName>
    <definedName name="SBN_704K">#REF!</definedName>
    <definedName name="SBN_707">#REF!</definedName>
    <definedName name="SBN_708">#REF!</definedName>
    <definedName name="SBN_710S">#REF!</definedName>
    <definedName name="SBN_713">#REF!</definedName>
    <definedName name="SBN_714">#REF!</definedName>
    <definedName name="SCHCAN">[29]ATT5!#REF!</definedName>
    <definedName name="SCHMEX">[29]ATT5!#REF!</definedName>
    <definedName name="SCP_1MD">#REF!</definedName>
    <definedName name="SCP_2MD">#REF!</definedName>
    <definedName name="SCP_482">#REF!</definedName>
    <definedName name="SCP_496">#REF!</definedName>
    <definedName name="SCP_496B">#REF!</definedName>
    <definedName name="SCP_496C">#REF!</definedName>
    <definedName name="SCP_496D">#REF!</definedName>
    <definedName name="SCP_590">#REF!</definedName>
    <definedName name="SCP_610">#REF!</definedName>
    <definedName name="SCP_717">#REF!</definedName>
    <definedName name="SCP_718A_3">#REF!</definedName>
    <definedName name="SCP_718B">#REF!</definedName>
    <definedName name="SCP_719">#REF!</definedName>
    <definedName name="ScrapRate">[43]Tables!$A$145</definedName>
    <definedName name="SCS_18_1">#REF!</definedName>
    <definedName name="SCS_23_1">#REF!</definedName>
    <definedName name="SCS_2MD">#REF!</definedName>
    <definedName name="SCS_2MDAU">#REF!</definedName>
    <definedName name="SCS_397_1A">#REF!</definedName>
    <definedName name="SCS_448">#REF!</definedName>
    <definedName name="SCS_450_1">[105]PR孔!#REF!</definedName>
    <definedName name="SCS_451_6">#REF!</definedName>
    <definedName name="SCS_452">#REF!</definedName>
    <definedName name="SCS_452P">#REF!</definedName>
    <definedName name="SCS_452P_1">#REF!</definedName>
    <definedName name="SCS_454_1A">#REF!</definedName>
    <definedName name="SCS_456">#REF!</definedName>
    <definedName name="SCS_456D">#REF!</definedName>
    <definedName name="SCS_461">#REF!</definedName>
    <definedName name="SCS_462P">#REF!</definedName>
    <definedName name="SCS_464">#REF!</definedName>
    <definedName name="SCS_465">[34]PR孔!#REF!</definedName>
    <definedName name="SCS_466J">#REF!</definedName>
    <definedName name="SCS_466L">#REF!</definedName>
    <definedName name="SCS_466M2">#REF!</definedName>
    <definedName name="SCS_466P">#REF!</definedName>
    <definedName name="SCS_466U">#REF!</definedName>
    <definedName name="SCS_469A">[105]PR孔!#REF!</definedName>
    <definedName name="SCS_470">#REF!</definedName>
    <definedName name="SCS_470A">#REF!</definedName>
    <definedName name="SCS_473A">#REF!</definedName>
    <definedName name="SCS_473B">#REF!</definedName>
    <definedName name="SCS_474B">#REF!</definedName>
    <definedName name="SCS_476A">#REF!</definedName>
    <definedName name="SCS_481_1">#REF!</definedName>
    <definedName name="SCS_482">[105]PR孔!#REF!</definedName>
    <definedName name="SCS_483A">#REF!</definedName>
    <definedName name="SCS_491J">#REF!</definedName>
    <definedName name="SCS_494">#REF!</definedName>
    <definedName name="SCS_495">#REF!</definedName>
    <definedName name="SCS_496_1">[116]PR10!#REF!</definedName>
    <definedName name="SCS_496B2">#REF!</definedName>
    <definedName name="SCS_500">#REF!</definedName>
    <definedName name="SCS_501">#REF!</definedName>
    <definedName name="SCS_502">#REF!</definedName>
    <definedName name="SCS_502B">[34]PR孔!#REF!</definedName>
    <definedName name="SCS_503">#REF!</definedName>
    <definedName name="SCS_504E">#REF!</definedName>
    <definedName name="SCS_508">#REF!</definedName>
    <definedName name="SCS_509">#REF!</definedName>
    <definedName name="SCS_510">[105]PR孔!#REF!</definedName>
    <definedName name="SCS_511">[105]PR孔!#REF!</definedName>
    <definedName name="SCS_554">#REF!</definedName>
    <definedName name="SCS_555">#REF!</definedName>
    <definedName name="SCS_556">#REF!</definedName>
    <definedName name="SCS_557">#REF!</definedName>
    <definedName name="SCS_577">#REF!</definedName>
    <definedName name="SCS_578">#REF!</definedName>
    <definedName name="SCS_581">#REF!</definedName>
    <definedName name="SCS_582">#REF!</definedName>
    <definedName name="SCS_585">#REF!</definedName>
    <definedName name="SCS_590">#REF!</definedName>
    <definedName name="SCS_592">#REF!</definedName>
    <definedName name="SCS_593">#REF!</definedName>
    <definedName name="SCS_593A">#REF!</definedName>
    <definedName name="SCS_594">#REF!</definedName>
    <definedName name="SCS_610">#REF!</definedName>
    <definedName name="SCS_610A">#REF!</definedName>
    <definedName name="SCS_610E">#REF!</definedName>
    <definedName name="SCS_610E_1">#REF!</definedName>
    <definedName name="SCS_631">#REF!</definedName>
    <definedName name="SCS_702">#REF!</definedName>
    <definedName name="SCS_704">#REF!</definedName>
    <definedName name="SCS_704M">[117]PR964!#REF!</definedName>
    <definedName name="SCS_705">#REF!</definedName>
    <definedName name="SCS_707">#REF!</definedName>
    <definedName name="SCS_708">#REF!</definedName>
    <definedName name="SCS_709">#REF!</definedName>
    <definedName name="SCS_710">#REF!</definedName>
    <definedName name="SCS_713">#REF!</definedName>
    <definedName name="SCS_714">#REF!</definedName>
    <definedName name="SCS_715">#REF!</definedName>
    <definedName name="SCS_715_1">#REF!</definedName>
    <definedName name="SCS_716">#REF!</definedName>
    <definedName name="SCS_720">#REF!</definedName>
    <definedName name="SCV_1003">#REF!</definedName>
    <definedName name="SCV_1007">#REF!</definedName>
    <definedName name="SCV_1009">[120]PR961!#REF!</definedName>
    <definedName name="SCV_1012">#REF!</definedName>
    <definedName name="SCV_1016">[120]PR961!#REF!</definedName>
    <definedName name="SCV_102">[120]PR961!#REF!</definedName>
    <definedName name="SCV_105">#REF!</definedName>
    <definedName name="SCV_132">#REF!</definedName>
    <definedName name="SCV_139_2">#REF!</definedName>
    <definedName name="SCV_145">[116]pri966!#REF!</definedName>
    <definedName name="SCV_146">#REF!</definedName>
    <definedName name="SCV_148">#REF!</definedName>
    <definedName name="SCV_163">#REF!</definedName>
    <definedName name="SCV_167">#REF!</definedName>
    <definedName name="SCV_173">#REF!</definedName>
    <definedName name="SCV_175">#REF!</definedName>
    <definedName name="SCV_178">#REF!</definedName>
    <definedName name="SCV_180">#REF!</definedName>
    <definedName name="SCV_180_1">#REF!</definedName>
    <definedName name="SCV_188">[105]PR孔!#REF!</definedName>
    <definedName name="SCV_192_1">#REF!</definedName>
    <definedName name="SCV_205">#REF!</definedName>
    <definedName name="SCV_206">#REF!</definedName>
    <definedName name="SCV_208">#REF!</definedName>
    <definedName name="SCV_2MD_1">#REF!</definedName>
    <definedName name="SCV_496">#REF!</definedName>
    <definedName name="SCV_497">#REF!</definedName>
    <definedName name="SCV_590">#REF!</definedName>
    <definedName name="SCV_596">#REF!</definedName>
    <definedName name="SCV_597">#REF!</definedName>
    <definedName name="SCV_610A">#REF!</definedName>
    <definedName name="SCV_610E">#REF!</definedName>
    <definedName name="SCV_610G">#REF!</definedName>
    <definedName name="SCV_630">#REF!</definedName>
    <definedName name="SCV_631">#REF!</definedName>
    <definedName name="SCV_704">#REF!</definedName>
    <definedName name="SCV_715">#REF!</definedName>
    <definedName name="SCV_720">#REF!</definedName>
    <definedName name="SCV_92">#REF!</definedName>
    <definedName name="sd" hidden="1">#REF!</definedName>
    <definedName name="sda">[153]HongKong!$A$30:$G$584</definedName>
    <definedName name="sdas">[153]Indonésie!$A$30:$G$261</definedName>
    <definedName name="SDC">[100]Importing!$T$5</definedName>
    <definedName name="sdfsdf">'[37]C1 BOM'!#REF!</definedName>
    <definedName name="sds">[153]Inde!$A$30:$G$840</definedName>
    <definedName name="sdsds">[153]Japon!$A$30:$G$367</definedName>
    <definedName name="sections">#REF!</definedName>
    <definedName name="seg">'[154]Ord-Input'!#REF!</definedName>
    <definedName name="SEJ_Spot_PL">#REF!</definedName>
    <definedName name="SELA">#REF!</definedName>
    <definedName name="select">OFFSET([64]!sell,,-4)</definedName>
    <definedName name="Selection_All_Printout">[44]Paramètres!$L$4</definedName>
    <definedName name="Selection_Budget_Year">[44]Paramètres!$C$18</definedName>
    <definedName name="Selection_Display_Currency">[44]Paramètres!$C$14</definedName>
    <definedName name="Selection_Display_Entity">[44]Paramètres!$C$15</definedName>
    <definedName name="Selection_Display_Month">[44]Paramètres!$C$13</definedName>
    <definedName name="Selection_Display_Year">[44]Paramètres!$C$12</definedName>
    <definedName name="Selection_Entity">[44]Paramètres!$C$3</definedName>
    <definedName name="Selection_Input_Month">[44]Paramètres!$C$9</definedName>
    <definedName name="Selection_Input_Year">[44]Paramètres!$C$8</definedName>
    <definedName name="Selection_Option_Alert">[44]Paramètres!$D$22</definedName>
    <definedName name="Selection_Option_Restore">[44]Paramètres!$D$21</definedName>
    <definedName name="Selection_Report_Printout">[44]Paramètres!$L$5:$L$24</definedName>
    <definedName name="Selection_Summary">[44]Paramètres!$E$3:$E$5</definedName>
    <definedName name="sell">OFFSET(#REF!,,,COUNT(#REF!))</definedName>
    <definedName name="sem_an">[26]synthèse!$B$28</definedName>
    <definedName name="SetUpTime">[43]Tables!$F$223</definedName>
    <definedName name="SFL_1001">#REF!</definedName>
    <definedName name="SFL_1002_1S">#REF!</definedName>
    <definedName name="SFL_1004_1">#REF!</definedName>
    <definedName name="SFL_1004_2">#REF!</definedName>
    <definedName name="SFL_1004_4">#REF!</definedName>
    <definedName name="SFL_1010">#REF!</definedName>
    <definedName name="SFL_1011">#REF!</definedName>
    <definedName name="SFL_1015_1">#REF!</definedName>
    <definedName name="SFL_1026">#REF!</definedName>
    <definedName name="SFL_1027">#REF!</definedName>
    <definedName name="SFL_1033_4">#REF!</definedName>
    <definedName name="SFL_1038_6">#REF!</definedName>
    <definedName name="SFL_1052">#REF!</definedName>
    <definedName name="SFL_1059_1">#REF!</definedName>
    <definedName name="SFL_1061">#REF!</definedName>
    <definedName name="SFL_1062_1">#REF!</definedName>
    <definedName name="SFL_1063">#REF!</definedName>
    <definedName name="SFL_1065">#REF!</definedName>
    <definedName name="SFL_1066_1">#REF!</definedName>
    <definedName name="SFL_1066_2">#REF!</definedName>
    <definedName name="SFL_1076">#REF!</definedName>
    <definedName name="SFL_1077">#REF!</definedName>
    <definedName name="SFL_1085">#REF!</definedName>
    <definedName name="SFL_1088">#REF!</definedName>
    <definedName name="SFL_1093">#REF!</definedName>
    <definedName name="SFL_1107_1">#REF!</definedName>
    <definedName name="SFL_1108">#REF!</definedName>
    <definedName name="SFL_1113_2">#REF!</definedName>
    <definedName name="SFL_1114">#REF!</definedName>
    <definedName name="SFL_1117">#REF!</definedName>
    <definedName name="SFL_1119">#REF!</definedName>
    <definedName name="SFL_1119_1">#REF!</definedName>
    <definedName name="SFL_1120">#REF!</definedName>
    <definedName name="SFL_1120_1">#REF!</definedName>
    <definedName name="SFL_1132">#REF!</definedName>
    <definedName name="SFL_1133">#REF!</definedName>
    <definedName name="SFL_1136">#REF!</definedName>
    <definedName name="SFL_277">#REF!</definedName>
    <definedName name="SFL_277_1">#REF!</definedName>
    <definedName name="SFL_277_2">#REF!</definedName>
    <definedName name="SFL_277_3S">#REF!</definedName>
    <definedName name="SFL_277_4">#REF!</definedName>
    <definedName name="SFL_277_5">#REF!</definedName>
    <definedName name="SFL_284_3">#REF!</definedName>
    <definedName name="SFL_289_2">#REF!</definedName>
    <definedName name="SFP_582">#REF!</definedName>
    <definedName name="SFP_582_1">#REF!</definedName>
    <definedName name="SFP_707">#REF!</definedName>
    <definedName name="SGA">#REF!</definedName>
    <definedName name="SGAFACTOR">#REF!</definedName>
    <definedName name="SGD">'[36]EX RATE'!$B$2:$M$2</definedName>
    <definedName name="Share_Data">#REF!,#REF!</definedName>
    <definedName name="Share_Data.">#REF!,#REF!</definedName>
    <definedName name="SHFIAJD" hidden="1">{"Curves","Chart 3","Curves Graphique 3"}</definedName>
    <definedName name="shift">[155]!shift</definedName>
    <definedName name="ShiftpDay">[30]Tables!$A$172</definedName>
    <definedName name="Short_Nesting_Quantity">#REF!</definedName>
    <definedName name="Side_Buffer2">#REF!</definedName>
    <definedName name="SIG_CONTROLE" hidden="1">#REF!</definedName>
    <definedName name="SIG_DERNIERECOLONNE" hidden="1">#REF!</definedName>
    <definedName name="SIG_LG11_firstLine" hidden="1">#REF!</definedName>
    <definedName name="SIG_LG11_H349" hidden="1">#REF!</definedName>
    <definedName name="SIG_LG11_H353" hidden="1">#REF!</definedName>
    <definedName name="SIG_LG11_H354" hidden="1">#REF!</definedName>
    <definedName name="SIG_LG11_H357" hidden="1">#REF!</definedName>
    <definedName name="SIG_LG11_H358" hidden="1">#REF!</definedName>
    <definedName name="SIG_LG11_H359" hidden="1">#REF!</definedName>
    <definedName name="SIG_LG11_H388" hidden="1">#REF!</definedName>
    <definedName name="SIG_LG11_H395" hidden="1">#REF!</definedName>
    <definedName name="SIG_LG11_IsControlOK" hidden="1">#REF!</definedName>
    <definedName name="SIG_LG11_lastLine" hidden="1">#REF!</definedName>
    <definedName name="SIG_LG11_ListeRangeMontant" hidden="1">#REF!</definedName>
    <definedName name="SIG_LG11_TITLECOL" hidden="1">#REF!</definedName>
    <definedName name="SIG_LG11_TITLELINE" hidden="1">#REF!</definedName>
    <definedName name="SIG_PTBD_LG11" hidden="1">#REF!</definedName>
    <definedName name="SIG_PTBD_SEC3905" hidden="1">#REF!</definedName>
    <definedName name="SIG_PTBD_SES864" hidden="1">#REF!</definedName>
    <definedName name="SIG_PTBD_SES874" hidden="1">#REF!</definedName>
    <definedName name="SIG_PTBD_STC1010" hidden="1">#REF!</definedName>
    <definedName name="SIG_PTBD_STL2010" hidden="1">#REF!</definedName>
    <definedName name="SIG_PTHG_LG11" hidden="1">#REF!</definedName>
    <definedName name="SIG_PTHG_SEC3905" hidden="1">#REF!</definedName>
    <definedName name="SIG_PTHG_SES864" hidden="1">#REF!</definedName>
    <definedName name="SIG_PTHG_SES874" hidden="1">#REF!</definedName>
    <definedName name="SIG_PTHG_STC1010" hidden="1">#REF!</definedName>
    <definedName name="SIG_PTHG_STL2010" hidden="1">#REF!</definedName>
    <definedName name="SIG_SEC3905_firstLine" hidden="1">#REF!</definedName>
    <definedName name="SIG_SEC3905_H0001" hidden="1">#REF!</definedName>
    <definedName name="SIG_SEC3905_H0002" hidden="1">#REF!</definedName>
    <definedName name="SIG_SEC3905_H0003" hidden="1">#REF!</definedName>
    <definedName name="SIG_SEC3905_H0004" hidden="1">#REF!</definedName>
    <definedName name="SIG_SEC3905_H0005" hidden="1">#REF!</definedName>
    <definedName name="SIG_SEC3905_IsControlOK" hidden="1">#REF!</definedName>
    <definedName name="SIG_SEC3905_lastLine" hidden="1">#REF!</definedName>
    <definedName name="SIG_SEC3905_TITLELINE" hidden="1">#REF!</definedName>
    <definedName name="SIG_SEG_H001">#REF!</definedName>
    <definedName name="SIG_SEG_H002">#REF!</definedName>
    <definedName name="SIG_SEG_H003">#REF!</definedName>
    <definedName name="SIG_SEG_H004">#REF!</definedName>
    <definedName name="SIG_SEG_H007">#REF!</definedName>
    <definedName name="SIG_SES864_firstLine" hidden="1">#REF!</definedName>
    <definedName name="SIG_SES864_H0001" hidden="1">#REF!</definedName>
    <definedName name="SIG_SES864_H0002" hidden="1">#REF!</definedName>
    <definedName name="SIG_SES864_H0003" hidden="1">#REF!</definedName>
    <definedName name="SIG_SES864_H0004" hidden="1">#REF!</definedName>
    <definedName name="SIG_SES864_H0005" hidden="1">#REF!</definedName>
    <definedName name="SIG_SES864_IsControlOK" hidden="1">#REF!</definedName>
    <definedName name="SIG_SES864_lastLine" hidden="1">#REF!</definedName>
    <definedName name="SIG_SES864_TITLELINE" hidden="1">#REF!</definedName>
    <definedName name="SIG_SES874_firstLine" hidden="1">#REF!</definedName>
    <definedName name="SIG_SES874_H0001" hidden="1">#REF!</definedName>
    <definedName name="SIG_SES874_H0002" hidden="1">#REF!</definedName>
    <definedName name="SIG_SES874_H0003" hidden="1">#REF!</definedName>
    <definedName name="SIG_SES874_H0004" hidden="1">#REF!</definedName>
    <definedName name="SIG_SES874_H0005" hidden="1">#REF!</definedName>
    <definedName name="SIG_SES874_IsControlOK" hidden="1">#REF!</definedName>
    <definedName name="SIG_SES874_lastLine" hidden="1">#REF!</definedName>
    <definedName name="SIG_SES874_TITLELINE" hidden="1">#REF!</definedName>
    <definedName name="SIG_STC1010_firstLine" hidden="1">#REF!</definedName>
    <definedName name="SIG_STC1010_H001" hidden="1">#REF!</definedName>
    <definedName name="SIG_STC1010_H002" hidden="1">#REF!</definedName>
    <definedName name="SIG_STC1010_H003" hidden="1">#REF!</definedName>
    <definedName name="SIG_STC1010_H004" hidden="1">#REF!</definedName>
    <definedName name="SIG_STC1010_H005" hidden="1">#REF!</definedName>
    <definedName name="SIG_STC1010_IsControlOK" hidden="1">#REF!</definedName>
    <definedName name="SIG_STC1010_lastLine" hidden="1">#REF!</definedName>
    <definedName name="SIG_STC1010_TITLELINE" hidden="1">#REF!</definedName>
    <definedName name="SIG_STC1050_H001">#REF!</definedName>
    <definedName name="SIG_STC1050_H006">#REF!</definedName>
    <definedName name="SIG_STL2010_firstLine" hidden="1">#REF!</definedName>
    <definedName name="SIG_STL2010_H001" hidden="1">#REF!</definedName>
    <definedName name="SIG_STL2010_H002" hidden="1">#REF!</definedName>
    <definedName name="SIG_STL2010_H003" hidden="1">#REF!</definedName>
    <definedName name="SIG_STL2010_H004" hidden="1">#REF!</definedName>
    <definedName name="SIG_STL2010_H005" hidden="1">#REF!</definedName>
    <definedName name="SIG_STL2010_IsControlOK" hidden="1">#REF!</definedName>
    <definedName name="SIG_STL2010_lastLine" hidden="1">#REF!</definedName>
    <definedName name="SIG_STL2010_TITLELINE" hidden="1">#REF!</definedName>
    <definedName name="sigma_indiv">[61]UCL数据!$D$40</definedName>
    <definedName name="sigma_R_bar">[61]UCL数据!#REF!</definedName>
    <definedName name="sigma_samples">[61]UCL数据!#REF!</definedName>
    <definedName name="sigma_X_bar">[61]UCL数据!#REF!</definedName>
    <definedName name="SIL_20">#REF!</definedName>
    <definedName name="SIN_193_2">#REF!</definedName>
    <definedName name="SIN_452">#REF!</definedName>
    <definedName name="SIN_466">#REF!</definedName>
    <definedName name="SIN_466B">#REF!</definedName>
    <definedName name="SIN_476">#REF!</definedName>
    <definedName name="SIN_494">[34]PR孔!#REF!</definedName>
    <definedName name="SIN_494D">#REF!</definedName>
    <definedName name="SIN_500">#REF!</definedName>
    <definedName name="SIN_502">#REF!</definedName>
    <definedName name="SIN_504">#REF!</definedName>
    <definedName name="SIN_506">[34]PR孔!#REF!</definedName>
    <definedName name="SIN_582">#REF!</definedName>
    <definedName name="SIN_707">#REF!</definedName>
    <definedName name="SIN_708">[34]PR孔!#REF!</definedName>
    <definedName name="SIN_709">#REF!</definedName>
    <definedName name="SIN_710">#REF!</definedName>
    <definedName name="SIN_713">[34]PR孔!#REF!</definedName>
    <definedName name="SIN_714">#REF!</definedName>
    <definedName name="SIN_716">#REF!</definedName>
    <definedName name="sing">'[156]Prod cost Analysis Mold SSIC'!$C$10</definedName>
    <definedName name="SIP">#REF!</definedName>
    <definedName name="SIT2X">'[30]INPUTS-Specials'!$A$14</definedName>
    <definedName name="SIT2X1">'[30]INPUTS-Specials'!$A$15</definedName>
    <definedName name="SIT2X2">'[30]INPUTS-Specials'!$A$16</definedName>
    <definedName name="SIT3X">'[30]INPUTS-Specials'!$A$17</definedName>
    <definedName name="SIT3X1">'[30]INPUTS-Specials'!$A$18</definedName>
    <definedName name="SIT3X2">'[30]INPUTS-Specials'!$A$19</definedName>
    <definedName name="SITAI">'[43]INPUTS-Specials'!$A$20</definedName>
    <definedName name="SITAI1">'[43]INPUTS-Specials'!$A$21</definedName>
    <definedName name="SITAOI">'[30]INPUTS-Specials'!$A$22</definedName>
    <definedName name="SITAOI1">'[30]INPUTS-Specials'!$A$23</definedName>
    <definedName name="SITAOI2">'[30]INPUTS-Specials'!$A$24</definedName>
    <definedName name="SITBGA">'[30]INPUTS-Specials'!$A$25</definedName>
    <definedName name="SITBGA1">'[30]INPUTS-Specials'!$A$26</definedName>
    <definedName name="SITBGA2">'[30]INPUTS-Specials'!$A$27</definedName>
    <definedName name="SITBGA3">'[30]INPUTS-Specials'!$A$28</definedName>
    <definedName name="SITBI">'[30]INPUTS-Specials'!$A$29</definedName>
    <definedName name="SITBI1">'[30]INPUTS-Specials'!$A$30</definedName>
    <definedName name="SITBI2">'[30]INPUTS-Specials'!$A$31</definedName>
    <definedName name="SITBraC">'[25]INPUTS-Specials'!$A$73</definedName>
    <definedName name="SITBraR">'[25]INPUTS-Specials'!$A$72</definedName>
    <definedName name="SITBraRD">'[25]INPUTS-Specials'!$A$74</definedName>
    <definedName name="SITCC">'[30]INPUTS-Specials'!$A$32</definedName>
    <definedName name="SITCC1">'[30]INPUTS-Specials'!$A$33</definedName>
    <definedName name="SITCC2">'[30]INPUTS-Specials'!$A$34</definedName>
    <definedName name="SITDEP">'[30]INPUTS-Specials'!$A$35</definedName>
    <definedName name="SITDEP1">'[30]INPUTS-Specials'!$A$36</definedName>
    <definedName name="SITDEP2">'[30]INPUTS-Specials'!$A$37</definedName>
    <definedName name="SiteTable">[25]Tables!$B$168:$Y$210</definedName>
    <definedName name="SITFPR">'[30]INPUTS-Specials'!$A$38</definedName>
    <definedName name="SITFPR1">'[30]INPUTS-Specials'!$A$39</definedName>
    <definedName name="SITFPR2">'[30]INPUTS-Specials'!$A$40</definedName>
    <definedName name="SITGL">'[30]INPUTS-Specials'!$A$41</definedName>
    <definedName name="SITLHI">'[30]INPUTS-Specials'!$A$42</definedName>
    <definedName name="SITM20">'[30]INPUTS-Specials'!$A$43</definedName>
    <definedName name="SITM201">'[30]INPUTS-Specials'!$A$44</definedName>
    <definedName name="SITM202">'[30]INPUTS-Specials'!$A$45</definedName>
    <definedName name="SITM203">'[30]INPUTS-Specials'!$A$46</definedName>
    <definedName name="SITM50">'[30]INPUTS-Specials'!$A$47</definedName>
    <definedName name="SITM501">'[30]INPUTS-Specials'!$A$48</definedName>
    <definedName name="SITM502">'[30]INPUTS-Specials'!$A$49</definedName>
    <definedName name="SITM503">'[30]INPUTS-Specials'!$A$50</definedName>
    <definedName name="SITM60">'[30]INPUTS-Specials'!$A$51</definedName>
    <definedName name="SITM601">'[30]INPUTS-Specials'!$A$52</definedName>
    <definedName name="SITM602">'[30]INPUTS-Specials'!$A$53</definedName>
    <definedName name="SITM603">'[30]INPUTS-Specials'!$A$54</definedName>
    <definedName name="SITOAP">'[30]INPUTS-Specials'!$A$68</definedName>
    <definedName name="SITOCT">'[30]INPUTS-Specials'!$A$69</definedName>
    <definedName name="SITOEC">'[30]INPUTS-Specials'!$A$67</definedName>
    <definedName name="SITOTHER">'[30]INPUTS-Specials'!$A$66</definedName>
    <definedName name="SITPFI">'[30]INPUTS-Specials'!$A$55</definedName>
    <definedName name="SITPFI1">'[30]INPUTS-Specials'!$A$56</definedName>
    <definedName name="SITPFI2">'[30]INPUTS-Specials'!$A$57</definedName>
    <definedName name="SITUND">'[30]INPUTS-Specials'!$A$58</definedName>
    <definedName name="SITUND1">'[30]INPUTS-Specials'!$A$59</definedName>
    <definedName name="SITUND2">'[30]INPUTS-Specials'!$A$60</definedName>
    <definedName name="SITWSO">'[30]INPUTS-Specials'!$A$61</definedName>
    <definedName name="SITWSO1">'[30]INPUTS-Specials'!$A$62</definedName>
    <definedName name="SITWSO2">'[30]INPUTS-Specials'!$A$63</definedName>
    <definedName name="SITYN">'[25]INPUTS-Specials'!#REF!</definedName>
    <definedName name="skp">#REF!</definedName>
    <definedName name="smt_program">[137]tool_cost_jabil!$B$9</definedName>
    <definedName name="SMT_TR_1_high">#REF!</definedName>
    <definedName name="SMT_TR_1_low">'[27]datasheet to l_q'!$C$20</definedName>
    <definedName name="SMT_TR_2_high">#REF!</definedName>
    <definedName name="SMT_TR_2_low">'[27]datasheet to l_q'!$C$31</definedName>
    <definedName name="SMT_TR_high">'[27]datasheet to h_q'!#REF!</definedName>
    <definedName name="SMT_TR_highű">'[27]datasheet to h_q'!#REF!</definedName>
    <definedName name="SMT_TR_low">'[27]datasheet to l_q'!#REF!</definedName>
    <definedName name="SMTAdmRate">[30]Tables!$A$99</definedName>
    <definedName name="SMTEng">[30]Tables!$A$106</definedName>
    <definedName name="SMTI1">'[4]work center summary'!$M$15</definedName>
    <definedName name="SMTI2">'[4]work center summary'!$N$15</definedName>
    <definedName name="SMTL1">'[4]work center summary'!$M$14</definedName>
    <definedName name="SMTL2">'[4]work center summary'!$N$14</definedName>
    <definedName name="SMTLIRatio">[30]Tables!$A$48</definedName>
    <definedName name="SMTTech">[30]Tables!$A$94</definedName>
    <definedName name="SNA">#REF!</definedName>
    <definedName name="solectrontest">#REF!</definedName>
    <definedName name="SORT">#REF!</definedName>
    <definedName name="source">#REF!</definedName>
    <definedName name="Sourcing_Region">[28]Link!$L$3:$L$14</definedName>
    <definedName name="SPC_452">#REF!</definedName>
    <definedName name="SPC_483">#REF!</definedName>
    <definedName name="SPC_483A">#REF!</definedName>
    <definedName name="SPC_492_2">#REF!</definedName>
    <definedName name="SPC_593">#REF!</definedName>
    <definedName name="SPC_704">#REF!</definedName>
    <definedName name="SPC_704_1">[34]PR孔!#REF!</definedName>
    <definedName name="SPC_705">#REF!</definedName>
    <definedName name="SPC_705_1">[34]PR孔!#REF!</definedName>
    <definedName name="SPC_705_2">#REF!</definedName>
    <definedName name="SPC_705A_1">[105]PR孔!#REF!</definedName>
    <definedName name="SPC_707">#REF!</definedName>
    <definedName name="SPC_715">#REF!</definedName>
    <definedName name="SPC_715_1">#REF!</definedName>
    <definedName name="SpecInpTable">'[25]INPUTS-Specials'!$B$10:$J$75</definedName>
    <definedName name="SPeriod">'[92]Entity List'!$C$1:$C$13</definedName>
    <definedName name="SPL_1058_1">#REF!</definedName>
    <definedName name="SPL_1063">#REF!</definedName>
    <definedName name="SPL_1063_1">#REF!</definedName>
    <definedName name="SPL_1068">#REF!</definedName>
    <definedName name="SPL_1075">#REF!</definedName>
    <definedName name="SPL_1081">#REF!</definedName>
    <definedName name="SPL_1081_1">#REF!</definedName>
    <definedName name="SPL_1096">#REF!</definedName>
    <definedName name="SPL_1097">#REF!</definedName>
    <definedName name="SPL_1100_1">#REF!</definedName>
    <definedName name="SPL_1100_2">#REF!</definedName>
    <definedName name="SPL_1103">#REF!</definedName>
    <definedName name="SPL_1166">#REF!</definedName>
    <definedName name="SPL_1186">#REF!</definedName>
    <definedName name="SPL_1187">#REF!</definedName>
    <definedName name="SPL_1188">#REF!</definedName>
    <definedName name="SPL_1189">#REF!</definedName>
    <definedName name="SPL_1191">[105]PR孔!#REF!</definedName>
    <definedName name="SPL_1192">#REF!</definedName>
    <definedName name="SPL_1193">#REF!</definedName>
    <definedName name="SPL_416">#REF!</definedName>
    <definedName name="SPL_416_1">#REF!</definedName>
    <definedName name="SPL_437_1">#REF!</definedName>
    <definedName name="SPL_465">#REF!</definedName>
    <definedName name="SPL_482_1">#REF!</definedName>
    <definedName name="SPL_482_2">#REF!</definedName>
    <definedName name="SPL_555">#REF!</definedName>
    <definedName name="SPL_582">#REF!</definedName>
    <definedName name="SPL_707">#REF!</definedName>
    <definedName name="SPL_713">#REF!</definedName>
    <definedName name="SPL_714">#REF!</definedName>
    <definedName name="SQDINV">[29]ATT5!#REF!</definedName>
    <definedName name="SrManpMonth">[30]Tables!$A$184</definedName>
    <definedName name="sss">[153]Corée!$A$30:$G$263</definedName>
    <definedName name="sssssss">1-'[23]Mth-Vana'!$I$12</definedName>
    <definedName name="ssssssss" hidden="1">{"Drawing&amp;Homo.result",#N/A,FALSE,"Greco Hom. and BOM"}</definedName>
    <definedName name="sssssssssssss">[153]Mexique!$A$30:$G$540</definedName>
    <definedName name="ssssssssssssss">[153]NZelande!$A$30:$G$439</definedName>
    <definedName name="sssssssssssssssss">[153]Philippines!$A$30:$G$102</definedName>
    <definedName name="STAGE">OFFSET(#REF!,NUM,0,1,1)</definedName>
    <definedName name="start">#REF!</definedName>
    <definedName name="StartValue">0.00548593707629565</definedName>
    <definedName name="station1_bom">'[79]C1 Line Qual. Sample'!$E$5:$BP$12</definedName>
    <definedName name="station1_bom_pack">'[79]C1 Line Qual. Sample'!$BR$5:$BS$12</definedName>
    <definedName name="station1_bom_store">'[79]C1 Line Qual. Sample'!$BU$5:$BZ$12</definedName>
    <definedName name="station10_bom">'[157]C1 Line Qual. Sample'!#REF!</definedName>
    <definedName name="station10_bom_pack">'[157]C1 Line Qual. Sample'!#REF!</definedName>
    <definedName name="station10_bom_store">'[157]C1 Line Qual. Sample'!#REF!</definedName>
    <definedName name="station11_bom">'[157]C1 Line Qual. Sample'!#REF!</definedName>
    <definedName name="station11_bom_pack">'[157]C1 Line Qual. Sample'!#REF!</definedName>
    <definedName name="station11_bom_store">'[157]C1 Line Qual. Sample'!#REF!</definedName>
    <definedName name="station12_bom">'[157]C1 Line Qual. Sample'!#REF!</definedName>
    <definedName name="station12_bom_pack">'[157]C1 Line Qual. Sample'!#REF!</definedName>
    <definedName name="station12_bom_store">'[157]C1 Line Qual. Sample'!#REF!</definedName>
    <definedName name="station13_bom">'[157]C1 Line Qual. Sample'!#REF!</definedName>
    <definedName name="station13_bom_pack">'[157]C1 Line Qual. Sample'!#REF!</definedName>
    <definedName name="station13_bom_store">'[157]C1 Line Qual. Sample'!#REF!</definedName>
    <definedName name="station2_bom">'[79]C1 Line Qual. Sample'!$E$14:$BP$21</definedName>
    <definedName name="station2_bom_pack">'[79]C1 Line Qual. Sample'!$BR$14:$BS$21</definedName>
    <definedName name="station2_bom_store">'[79]C1 Line Qual. Sample'!$BU$14:$BZ$21</definedName>
    <definedName name="station3_bom">'[79]C1 Line Qual. Sample'!$E$23:$BP$31</definedName>
    <definedName name="station3_bom_pack">'[79]C1 Line Qual. Sample'!$BR$23:$BS$31</definedName>
    <definedName name="station3_bom_store">'[79]C1 Line Qual. Sample'!$BU$23:$BZ$31</definedName>
    <definedName name="station4_bom">'[79]C1 Line Qual. Sample'!$E$33:$BP$33</definedName>
    <definedName name="station4_bom_pack">'[79]C1 Line Qual. Sample'!$BR$33:$BS$33</definedName>
    <definedName name="station4_bom_store">'[79]C1 Line Qual. Sample'!$BU$33:$BZ$33</definedName>
    <definedName name="station5_bom">'[79]C1 Line Qual. Sample'!$E$35:$BP$35</definedName>
    <definedName name="station5_bom_pack">'[79]C1 Line Qual. Sample'!$BR$35:$BS$35</definedName>
    <definedName name="station5_bom_store">'[79]C1 Line Qual. Sample'!$BU$35:$BZ$35</definedName>
    <definedName name="station6_bom">'[79]C1 Line Qual. Sample'!$E$37:$BP$43</definedName>
    <definedName name="station6_bom_pack">'[79]C1 Line Qual. Sample'!$BR$37:$BS$43</definedName>
    <definedName name="station6_bom_store">'[79]C1 Line Qual. Sample'!$BU$37:$BZ$43</definedName>
    <definedName name="station7_bom">'[79]C1 Line Qual. Sample'!$E$45:$BP$45</definedName>
    <definedName name="station7_bom_pack">'[79]C1 Line Qual. Sample'!$BR$45:$BS$45</definedName>
    <definedName name="station7_bom_store">'[79]C1 Line Qual. Sample'!$BU$45:$BZ$45</definedName>
    <definedName name="station8_bom">'[79]C1 Line Qual. Sample'!$E$47:$BP$47</definedName>
    <definedName name="station8_bom_pack">'[79]C1 Line Qual. Sample'!$BR$47:$BS$47</definedName>
    <definedName name="station8_bom_store">'[79]C1 Line Qual. Sample'!$BU$47:$BZ$47</definedName>
    <definedName name="station9_bom">'[79]C1 Line Qual. Sample'!$E$49:$BP$55</definedName>
    <definedName name="station9_bom_pack">'[79]C1 Line Qual. Sample'!$BR$49:$BS$55</definedName>
    <definedName name="station9_bom_store">'[79]C1 Line Qual. Sample'!$BU$49:$BZ$55</definedName>
    <definedName name="statUS">#REF!</definedName>
    <definedName name="StepValue">0.00163887365802351</definedName>
    <definedName name="STFD">[43]Tables!$A$216</definedName>
    <definedName name="STGtNRate">[110]Tables!$A$198</definedName>
    <definedName name="STM_1001">#REF!</definedName>
    <definedName name="STM_1001_1">#REF!</definedName>
    <definedName name="STM_1002">#REF!</definedName>
    <definedName name="STM_1003">#REF!</definedName>
    <definedName name="STM_1006">#REF!</definedName>
    <definedName name="STM_1007">#REF!</definedName>
    <definedName name="STM_1008">#REF!</definedName>
    <definedName name="STM_1009">#REF!</definedName>
    <definedName name="STM_1010">[34]PR孔!#REF!</definedName>
    <definedName name="STM_1011">#REF!</definedName>
    <definedName name="STM_1013">#REF!</definedName>
    <definedName name="STM_1015">#REF!</definedName>
    <definedName name="STM_1016">#REF!</definedName>
    <definedName name="STM_1017">#REF!</definedName>
    <definedName name="STM_1018">#REF!</definedName>
    <definedName name="STM_1019">[105]PR孔!#REF!</definedName>
    <definedName name="STM_1021">#REF!</definedName>
    <definedName name="STM_1022">#REF!</definedName>
    <definedName name="STM_1023">#REF!</definedName>
    <definedName name="STM_1024">#REF!</definedName>
    <definedName name="STM_1025">#REF!</definedName>
    <definedName name="STM_1026">[34]PR孔!#REF!</definedName>
    <definedName name="STM_1029_1">#REF!</definedName>
    <definedName name="STM_165_1">#REF!</definedName>
    <definedName name="STM_165_2AU">#REF!</definedName>
    <definedName name="STM_165_3">#REF!</definedName>
    <definedName name="STM_166">#REF!</definedName>
    <definedName name="STM_166_1">#REF!</definedName>
    <definedName name="STM_166_2S">#REF!</definedName>
    <definedName name="STM_168_1">#REF!</definedName>
    <definedName name="STM_172_1">#REF!</definedName>
    <definedName name="STM_174">[34]PR孔!#REF!</definedName>
    <definedName name="STM_174_1S">#REF!</definedName>
    <definedName name="STM_176_1">#REF!</definedName>
    <definedName name="STM_177_1">#REF!</definedName>
    <definedName name="STM_177_2">#REF!</definedName>
    <definedName name="STM_177_2S">#REF!</definedName>
    <definedName name="STM_180">#REF!</definedName>
    <definedName name="STM_182_1">#REF!</definedName>
    <definedName name="STM_188H">[109]外!#REF!</definedName>
    <definedName name="STM_188HX">#REF!</definedName>
    <definedName name="STM_189">#REF!</definedName>
    <definedName name="STM_190">#REF!</definedName>
    <definedName name="STM_191_1">#REF!</definedName>
    <definedName name="STM_191_2">#REF!</definedName>
    <definedName name="STM_195_1">#REF!</definedName>
    <definedName name="STM_197">#REF!</definedName>
    <definedName name="STM_197_1">#REF!</definedName>
    <definedName name="STM_198">[34]PR孔!#REF!</definedName>
    <definedName name="STM_1MD">#REF!</definedName>
    <definedName name="STM_204">#REF!</definedName>
    <definedName name="STM_205">#REF!</definedName>
    <definedName name="STM_209_1">#REF!</definedName>
    <definedName name="STM_209_2">#REF!</definedName>
    <definedName name="STM_217">#REF!</definedName>
    <definedName name="STM_218">#REF!</definedName>
    <definedName name="STM_219">#REF!</definedName>
    <definedName name="STM_220">#REF!</definedName>
    <definedName name="STM_222">#REF!</definedName>
    <definedName name="STM_224">#REF!</definedName>
    <definedName name="STM_225">#REF!</definedName>
    <definedName name="STM_226">#REF!</definedName>
    <definedName name="STM_226_1">#REF!</definedName>
    <definedName name="STM_227">#REF!</definedName>
    <definedName name="STM_228">#REF!</definedName>
    <definedName name="STM_229">#REF!</definedName>
    <definedName name="STM_230">#REF!</definedName>
    <definedName name="STM_235">#REF!</definedName>
    <definedName name="STM_236">#REF!</definedName>
    <definedName name="STM_237_1">#REF!</definedName>
    <definedName name="STM_238">#REF!</definedName>
    <definedName name="STM_241">#REF!</definedName>
    <definedName name="STM_241_1">#REF!</definedName>
    <definedName name="STM_243">#REF!</definedName>
    <definedName name="STM_246">#REF!</definedName>
    <definedName name="STM_248">#REF!</definedName>
    <definedName name="STM_249">#REF!</definedName>
    <definedName name="STM_251">[34]PR孔!#REF!</definedName>
    <definedName name="STM_253">[34]PR孔!#REF!</definedName>
    <definedName name="STM_254">[34]PR孔!#REF!</definedName>
    <definedName name="STM_259">#REF!</definedName>
    <definedName name="STM_260">#REF!</definedName>
    <definedName name="STM_261">#REF!</definedName>
    <definedName name="STM_263M">#REF!</definedName>
    <definedName name="STM_264">#REF!</definedName>
    <definedName name="STM_265">#REF!</definedName>
    <definedName name="STM_266">#REF!</definedName>
    <definedName name="STM_267">#REF!</definedName>
    <definedName name="STM_269">#REF!</definedName>
    <definedName name="STM_270">#REF!</definedName>
    <definedName name="STM_271">#REF!</definedName>
    <definedName name="STM_272">#REF!</definedName>
    <definedName name="STM_273">#REF!</definedName>
    <definedName name="STM_2MD">#REF!</definedName>
    <definedName name="STM_2MD_1">#REF!</definedName>
    <definedName name="STM_452G_1A">[34]PR孔!#REF!</definedName>
    <definedName name="STM_452G_2A">[34]PR孔!#REF!</definedName>
    <definedName name="STM_452P_1">[34]PR孔!#REF!</definedName>
    <definedName name="STM_452P_2">[34]PR孔!#REF!</definedName>
    <definedName name="STM_456_1">[34]PR孔!#REF!</definedName>
    <definedName name="STM_459_1">[34]PR孔!#REF!</definedName>
    <definedName name="STM_468">[34]PR孔!#REF!</definedName>
    <definedName name="STM_472_1A">[34]PR孔!#REF!</definedName>
    <definedName name="STM_481B_1">[34]PR孔!#REF!</definedName>
    <definedName name="STM_496">#REF!</definedName>
    <definedName name="STM_496B">#REF!</definedName>
    <definedName name="STM_496D">#REF!</definedName>
    <definedName name="STM_497">[34]PR孔!#REF!</definedName>
    <definedName name="STM_504E">[34]PR孔!#REF!</definedName>
    <definedName name="STM_506">[34]PR孔!#REF!</definedName>
    <definedName name="STM_582">[34]PR孔!#REF!</definedName>
    <definedName name="STM_582D">#REF!</definedName>
    <definedName name="STM_596">#REF!</definedName>
    <definedName name="STM_597">#REF!</definedName>
    <definedName name="STM_605">#REF!</definedName>
    <definedName name="STM_610">[105]PR孔!#REF!</definedName>
    <definedName name="STM_630_1">#REF!</definedName>
    <definedName name="STM_631">#REF!</definedName>
    <definedName name="STM_704">[105]PR孔!#REF!</definedName>
    <definedName name="STM_704M">[105]PR孔!#REF!</definedName>
    <definedName name="STM_705">[105]PR孔!#REF!</definedName>
    <definedName name="STM_707">#REF!</definedName>
    <definedName name="STM_709">[34]PR孔!#REF!</definedName>
    <definedName name="STM_710">#REF!</definedName>
    <definedName name="STM_713">#REF!</definedName>
    <definedName name="STM_714">#REF!</definedName>
    <definedName name="STM_715">[105]PR孔!#REF!</definedName>
    <definedName name="STM_716">[34]PR孔!#REF!</definedName>
    <definedName name="STM_717">#REF!</definedName>
    <definedName name="STM_718A">#REF!</definedName>
    <definedName name="STM_718B">#REF!</definedName>
    <definedName name="STM_719A">#REF!</definedName>
    <definedName name="STM_719B">#REF!</definedName>
    <definedName name="STM_720">#REF!</definedName>
    <definedName name="STREAM">#REF!</definedName>
    <definedName name="STREAM.">#REF!</definedName>
    <definedName name="StructAttachCode">#REF!</definedName>
    <definedName name="StructAttachID">#REF!</definedName>
    <definedName name="StructAttachParentID">#REF!</definedName>
    <definedName name="StructCode">#REF!</definedName>
    <definedName name="StructCTEntity">#REF!</definedName>
    <definedName name="StructCTFilter">#REF!</definedName>
    <definedName name="StructHeader">#REF!</definedName>
    <definedName name="StructIsNode">#REF!</definedName>
    <definedName name="StructLevel">#REF!</definedName>
    <definedName name="StructOrder">#REF!</definedName>
    <definedName name="StructParentCode">#REF!</definedName>
    <definedName name="SU_Debt_Instrument_1">[158]Summary!$A$6</definedName>
    <definedName name="SU_Debt_Instrument_2">[158]Summary!$A$7</definedName>
    <definedName name="SU_Subordinated_Instrument_1">[158]Summary!$A$9</definedName>
    <definedName name="SU_Subordinated_Instrument_2">[158]Summary!$A$10</definedName>
    <definedName name="Sub_Total">#REF!</definedName>
    <definedName name="SUM">[159]Sum!$A$5:$W$293</definedName>
    <definedName name="SUMM">[160]Summ!$B$5:$D$321</definedName>
    <definedName name="Summary" hidden="1">{"MONTHPLAN",#N/A,FALSE,"DETAIL REPORT";"MONTHPRIOR",#N/A,FALSE,"DETAIL REPORT";"YTDPLAN",#N/A,FALSE,"DETAIL REPORT";"YTDPRIOR",#N/A,FALSE,"DETAIL REPORT"}</definedName>
    <definedName name="Summary_2API">[44]Paramètres!$E$4</definedName>
    <definedName name="Summary_Carat">[44]Paramètres!$E$5</definedName>
    <definedName name="Summary_Entity">[44]Paramètres!$E$3</definedName>
    <definedName name="SuperpMonth">[30]Tables!$A$180</definedName>
    <definedName name="SW_BOX_CPU">#REF!</definedName>
    <definedName name="SW_BOX_E2PROM">#REF!</definedName>
    <definedName name="SW_BOX_FLASH">#REF!</definedName>
    <definedName name="SW_BOX_LINES">#REF!</definedName>
    <definedName name="SW_BOX_PILE">#REF!</definedName>
    <definedName name="SW_BOX_RAM">#REF!</definedName>
    <definedName name="SW_E2PROM">[76]Configuration!#REF!</definedName>
    <definedName name="SW_FLASH">[76]Configuration!#REF!</definedName>
    <definedName name="SW_MISC_DATA">#REF!</definedName>
    <definedName name="SW_RAM">[76]Configuration!#REF!</definedName>
    <definedName name="SW_REQ_START_DATE">#REF!</definedName>
    <definedName name="SW_STACK">[76]Configuration!#REF!</definedName>
    <definedName name="SWDA_Products_Orders_M">[100]Explanation!$C$55:$DR$55</definedName>
    <definedName name="SWDA_Products_Orders_Q">[100]Explanation!$C$62:$DR$62</definedName>
    <definedName name="SWDA_Total_Orders">'[145]SWDA data &amp; gap'!$A$2:$DQ$53</definedName>
    <definedName name="SWDA_Total_Orders_M">[100]Explanation!$C$51:$DR$51</definedName>
    <definedName name="SWDA_Total_Orders_Q">[100]Explanation!$C$60:$DR$60</definedName>
    <definedName name="t">[161]WELCOME!$H$5</definedName>
    <definedName name="TAB">#REF!</definedName>
    <definedName name="Tab1.">#REF!</definedName>
    <definedName name="tablabnorge">'[162]lab norge'!$B$36:$M$78</definedName>
    <definedName name="TABLE">#REF!</definedName>
    <definedName name="Table1">#REF!</definedName>
    <definedName name="Table1.">#REF!</definedName>
    <definedName name="Tâches">#REF!</definedName>
    <definedName name="TâchesSIversPDA">#REF!</definedName>
    <definedName name="TAN">#REF!</definedName>
    <definedName name="Taux_2">#REF!</definedName>
    <definedName name="taux_de_profit">[74]Modèle!$C$16</definedName>
    <definedName name="Tax">#REF!</definedName>
    <definedName name="TBU">[29]ATT5!#REF!</definedName>
    <definedName name="TCV_1">#REF!</definedName>
    <definedName name="TechpHrs">[30]Tables!$A$178</definedName>
    <definedName name="TempsRestant">'[47]REC-EDIT'!$A$8</definedName>
    <definedName name="TempsTotal">'[47]REC-EDIT'!$A$6</definedName>
    <definedName name="TEST">#REF!</definedName>
    <definedName name="TEST..">#REF!</definedName>
    <definedName name="Test_doc_low">'[27]datasheet to l_q'!#REF!</definedName>
    <definedName name="TEST0">[6]XBTGK5330!#REF!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2">#REF!</definedName>
    <definedName name="TEST25">[163]Variance!#REF!</definedName>
    <definedName name="TEST26">[163]Variance!#REF!</definedName>
    <definedName name="TEST27">[163]Variance!#REF!</definedName>
    <definedName name="TEST28">[163]Variance!#REF!</definedName>
    <definedName name="TEST3">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Eng">[30]Tables!$A$107</definedName>
    <definedName name="TESTHKEY">#REF!</definedName>
    <definedName name="TESTKEYS">[6]XBTGK5330!#REF!</definedName>
    <definedName name="TESTRATE">#REF!</definedName>
    <definedName name="TESTVKEY">#REF!</definedName>
    <definedName name="tête">#REF!</definedName>
    <definedName name="tf">#REF!</definedName>
    <definedName name="TH">#REF!</definedName>
    <definedName name="thi" hidden="1">{"'Leading KPI'!$A$1:$P$33","'Leading KPI'!$A$1:$P$33"}</definedName>
    <definedName name="TITI">#REF!</definedName>
    <definedName name="TITI1">'[164]EDC-DAS'!#REF!</definedName>
    <definedName name="TITLELINE">#REF!</definedName>
    <definedName name="TITRE">#REF!</definedName>
    <definedName name="TMAVG">OFFSET([122]SWDA!$O$55,,[122]SWDA!$D$58,,[122]SWDA!$D$59)</definedName>
    <definedName name="TMFCST">OFFSET([122]SWDA!$O$57,,[122]SWDA!$D$58,,[122]SWDA!$D$59)</definedName>
    <definedName name="TMMM3">OFFSET([122]SWDA!$O$56,,[122]SWDA!$D$58,,[122]SWDA!$D$59)</definedName>
    <definedName name="TMSWDA">OFFSET([122]SWDA!$O$54,,[122]SWDA!$D$58,,[122]SWDA!$D$59)</definedName>
    <definedName name="TMTEND">OFFSET([122]SWDA!$O$57,,[122]SWDA!$D$58,,[122]SWDA!$D$59)</definedName>
    <definedName name="TO">#REF!</definedName>
    <definedName name="Tooling">[28]Link!$H$3:$H$6</definedName>
    <definedName name="TOP">#REF!</definedName>
    <definedName name="TOP1..">#REF!</definedName>
    <definedName name="TOPFINAL">#REF!</definedName>
    <definedName name="TOPFINAL..">#REF!</definedName>
    <definedName name="TOPFRAMES">#REF!</definedName>
    <definedName name="TOPFRAMES..">#REF!</definedName>
    <definedName name="TOPHOURS">#REF!</definedName>
    <definedName name="TOPHOURS..">#REF!</definedName>
    <definedName name="TOPTOTAL">#REF!</definedName>
    <definedName name="TOPTOTAL..">#REF!</definedName>
    <definedName name="TOPUNITS">#REF!</definedName>
    <definedName name="TOPUNITS.">#REF!</definedName>
    <definedName name="TOTAL">[21]Synthèse!#REF!</definedName>
    <definedName name="Total_Basecost">'[104]Base Costs'!$C$6:$AE$50</definedName>
    <definedName name="Total_BU">#REF!</definedName>
    <definedName name="TOTAL_C1">#REF!</definedName>
    <definedName name="TOTAL_C2">[21]Synthèse!#REF!</definedName>
    <definedName name="Total_CAht_F_E__net_BFA___yc_PTT">'[18]INDIC-08'!#REF!</definedName>
    <definedName name="total_cout">[74]Modèle!$F$51</definedName>
    <definedName name="Total_GSNA">#REF!</definedName>
    <definedName name="Total_Headcount">#REF!</definedName>
    <definedName name="TotalAVR">[47]Data!$B$8:$F$9</definedName>
    <definedName name="TotalEXT">[47]Data!$B$5:$L$6</definedName>
    <definedName name="TotalREL">[47]Data!$B$2:$L$3</definedName>
    <definedName name="toto">#REF!</definedName>
    <definedName name="TPQ.3">#REF!</definedName>
    <definedName name="TQAVG">OFFSET([122]SWDA!$O$55,,[122]SWDA!$C$58,,[122]SWDA!$C$59)</definedName>
    <definedName name="TQFCST">OFFSET([122]SWDA!$O$57,,[122]SWDA!$C$58,,[122]SWDA!$C$59)</definedName>
    <definedName name="TQMM3">OFFSET([122]SWDA!$O$56,,[122]SWDA!$C$58,,[122]SWDA!$C$59)</definedName>
    <definedName name="TQSWDA">OFFSET([122]SWDA!$O$66,,[122]SWDA!$C$58,,[122]SWDA!$C$59)</definedName>
    <definedName name="TQTEND">OFFSET([122]SWDA!$O$58,,[122]SWDA!$C$58,,[122]SWDA!$C$59)</definedName>
    <definedName name="trace2">#REF!</definedName>
    <definedName name="Transfer_Type">[28]Link!$P$3:$P$14</definedName>
    <definedName name="Tray_Column">#REF!</definedName>
    <definedName name="Tray_Length">#REF!</definedName>
    <definedName name="Tray_Row">#REF!</definedName>
    <definedName name="Tray_Width">#REF!</definedName>
    <definedName name="TSEL">#REF!</definedName>
    <definedName name="tsic">'[165]detail BOM cost Analysis'!#REF!</definedName>
    <definedName name="TSIJ">#REF!</definedName>
    <definedName name="TT">#REF!</definedName>
    <definedName name="TWD">'[57]BS Currencies'!$B$8</definedName>
    <definedName name="TWDis">'[57]IS Currencies'!$B$8</definedName>
    <definedName name="TxCE">#REF!</definedName>
    <definedName name="TxCET">#REF!</definedName>
    <definedName name="TxEURRMB">'[166]Product costs'!$W$37</definedName>
    <definedName name="ty" hidden="1">{"'Leading KPI'!$A$1:$P$33","'Leading KPI'!$A$1:$P$33"}</definedName>
    <definedName name="type">[47]Fichiers!$HN$2</definedName>
    <definedName name="UCL_column_1">OFFSET([61]UCL数据!#REF!,0,0,COUNT([61]UCL数据!#REF!),1)</definedName>
    <definedName name="UCL_column_2">OFFSET([61]UCL数据!#REF!,0,0,COUNT([61]UCL数据!#REF!),1)</definedName>
    <definedName name="UCL_column_3">OFFSET([61]UCL数据!$D$45,0,0,COUNT([61]UCL数据!$D$45:$D$70),1)</definedName>
    <definedName name="UCL_column_4">OFFSET([61]UCL数据!$H$45,0,0,COUNT([61]UCL数据!$H$45:$H$70),1)</definedName>
    <definedName name="uesd">'[167]SPB &amp; pricesUSD'!#REF!</definedName>
    <definedName name="Underfill">[30]Tables!$A$74</definedName>
    <definedName name="unique">#REF!</definedName>
    <definedName name="unit_Raw_mat">[74]Modèle!$C$9</definedName>
    <definedName name="UNITES_INDUSTRIELLES">[168]BDusine!$L$1:$AN$301,[168]BDusine!$BV$1:$CB$301,[168]BDusine!$BH$1:$BQ$301</definedName>
    <definedName name="UNITS">#REF!</definedName>
    <definedName name="UNITS.">#REF!</definedName>
    <definedName name="Units_On_Pallet">#REF!</definedName>
    <definedName name="urate">[13]Legend!$B$12</definedName>
    <definedName name="US">[169]Price!$C$41</definedName>
    <definedName name="US_AOC">#REF!</definedName>
    <definedName name="uscore">[29]ATT5!#REF!</definedName>
    <definedName name="USD">#REF!</definedName>
    <definedName name="USD_N">#REF!</definedName>
    <definedName name="USDis">'[57]IS Currencies'!$B$4</definedName>
    <definedName name="User_Type">[44]Paramètres!$E$37</definedName>
    <definedName name="USL">#REF!</definedName>
    <definedName name="UsRate">[170]Legend!$B$12</definedName>
    <definedName name="ValA1010">#REF!</definedName>
    <definedName name="ValA1050">#REF!</definedName>
    <definedName name="ValA1070">#REF!</definedName>
    <definedName name="ValA2040">#REF!</definedName>
    <definedName name="ValA2050">#REF!</definedName>
    <definedName name="ValA2070">#REF!</definedName>
    <definedName name="ValA2950">#REF!</definedName>
    <definedName name="ValA3075">#REF!</definedName>
    <definedName name="ValA4010">#REF!</definedName>
    <definedName name="ValA4030">#REF!</definedName>
    <definedName name="ValA4930">#REF!</definedName>
    <definedName name="ValA5010">#REF!</definedName>
    <definedName name="ValA5020">#REF!</definedName>
    <definedName name="ValA5910">#REF!</definedName>
    <definedName name="ValA5920">#REF!</definedName>
    <definedName name="ValA6010">#REF!</definedName>
    <definedName name="ValA6030">#REF!</definedName>
    <definedName name="ValA6050">#REF!</definedName>
    <definedName name="ValA6910">#REF!</definedName>
    <definedName name="ValA6930">#REF!</definedName>
    <definedName name="ValA6950">#REF!</definedName>
    <definedName name="ValA7010">#REF!</definedName>
    <definedName name="ValA7030">#REF!</definedName>
    <definedName name="ValA7070">#REF!</definedName>
    <definedName name="ValA7910">#REF!</definedName>
    <definedName name="ValA7930">#REF!</definedName>
    <definedName name="ValA8070">#REF!</definedName>
    <definedName name="ValA8970">#REF!</definedName>
    <definedName name="ValC1170">#REF!</definedName>
    <definedName name="ValC1430">#REF!</definedName>
    <definedName name="ValC1450">#REF!</definedName>
    <definedName name="ValC1470">#REF!</definedName>
    <definedName name="ValC1610">#REF!</definedName>
    <definedName name="ValC1630">#REF!</definedName>
    <definedName name="ValC1640">#REF!</definedName>
    <definedName name="ValC1650">#REF!</definedName>
    <definedName name="ValC1660">#REF!</definedName>
    <definedName name="ValC1670">#REF!</definedName>
    <definedName name="ValC1710">#REF!</definedName>
    <definedName name="ValC1750">#REF!</definedName>
    <definedName name="ValC1770">#REF!</definedName>
    <definedName name="ValC1910">#REF!</definedName>
    <definedName name="ValP1010">#REF!</definedName>
    <definedName name="ValP1030">#REF!</definedName>
    <definedName name="ValP1050">#REF!</definedName>
    <definedName name="ValP1070">#REF!</definedName>
    <definedName name="ValP2010">#REF!</definedName>
    <definedName name="ValP2070">#REF!</definedName>
    <definedName name="ValP3010">#REF!</definedName>
    <definedName name="ValP3030">#REF!</definedName>
    <definedName name="ValP3060">#REF!</definedName>
    <definedName name="ValP3070">#REF!</definedName>
    <definedName name="ValP4050">#REF!</definedName>
    <definedName name="ValP4070">#REF!</definedName>
    <definedName name="ValP5010">#REF!</definedName>
    <definedName name="ValP5030">#REF!</definedName>
    <definedName name="ValP6010">#REF!</definedName>
    <definedName name="ValP6020">#REF!</definedName>
    <definedName name="ValP6050">#REF!</definedName>
    <definedName name="ValP6080">#REF!</definedName>
    <definedName name="ValR1510">#REF!</definedName>
    <definedName name="ValR1530">#REF!</definedName>
    <definedName name="ValR1610">#REF!</definedName>
    <definedName name="ValR1630">#REF!</definedName>
    <definedName name="ValR1640">#REF!</definedName>
    <definedName name="ValR1650">#REF!</definedName>
    <definedName name="ValR1660">#REF!</definedName>
    <definedName name="ValR1670">#REF!</definedName>
    <definedName name="ValR1710">#REF!</definedName>
    <definedName name="ValR1750">#REF!</definedName>
    <definedName name="ValR1770">#REF!</definedName>
    <definedName name="VAN">[19]current!$W$83:$AI$83</definedName>
    <definedName name="VARIAT_GLOBALE___incidence_compt___variat_res_ou___res_sa_préc">#REF!</definedName>
    <definedName name="VARIAT_RES___Res_SA_nvle___Res_SA_préc.">#REF!</definedName>
    <definedName name="vbh">#REF!</definedName>
    <definedName name="VCD">#REF!</definedName>
    <definedName name="VerifDev">[171]CME_200503!$F$7:$I$209</definedName>
    <definedName name="vol">(1-'[86]Mth-Vana'!$I$24)</definedName>
    <definedName name="VOLANL">#REF!</definedName>
    <definedName name="VOLUME">#REF!</definedName>
    <definedName name="volume_à_livrer">[74]Modèle!$C$15</definedName>
    <definedName name="W">#REF!</definedName>
    <definedName name="WACC">#REF!</definedName>
    <definedName name="WarrantyMths">[43]Tables!$A$142</definedName>
    <definedName name="WarrantyRRate">[43]Tables!$A$144</definedName>
    <definedName name="wave1component">#REF!</definedName>
    <definedName name="wave1runrate">#REF!</definedName>
    <definedName name="WaveSolderST">[30]Tables!$A$86</definedName>
    <definedName name="WaveTech">[30]Tables!$A$96</definedName>
    <definedName name="WaveThres">[43]Tables!$A$55</definedName>
    <definedName name="WaveTime">[30]Tables!$A$61</definedName>
    <definedName name="WBN_111K">[116]price967!#REF!</definedName>
    <definedName name="WBN_127_1">#REF!</definedName>
    <definedName name="WBN_156">#REF!</definedName>
    <definedName name="WBN_167">#REF!</definedName>
    <definedName name="WBN_178_2">#REF!</definedName>
    <definedName name="WBN_52">#REF!</definedName>
    <definedName name="WCV_118">#REF!</definedName>
    <definedName name="WCV_184">#REF!</definedName>
    <definedName name="WCV_19">#REF!</definedName>
    <definedName name="WCV_38">#REF!</definedName>
    <definedName name="WCV_38_2">#REF!</definedName>
    <definedName name="WCV_38_3">#REF!</definedName>
    <definedName name="WCV_38_5">#REF!</definedName>
    <definedName name="WCV_51">#REF!</definedName>
    <definedName name="WCV_60">#REF!</definedName>
    <definedName name="WCV_61">#REF!</definedName>
    <definedName name="WD_Sensitivity">[100]Importing!$D$8:$D$44</definedName>
    <definedName name="WFL_1016">#REF!</definedName>
    <definedName name="WFL_1060">#REF!</definedName>
    <definedName name="WFL_1090">#REF!</definedName>
    <definedName name="WFL_1096">#REF!</definedName>
    <definedName name="WFL_11W">#REF!</definedName>
    <definedName name="WFL_1224">#REF!</definedName>
    <definedName name="WFL_126_1W">#REF!</definedName>
    <definedName name="WFL_130_1">#REF!</definedName>
    <definedName name="WFL_161_3">#REF!</definedName>
    <definedName name="WFL_161_5">#REF!</definedName>
    <definedName name="WFL_175_2">#REF!</definedName>
    <definedName name="WFL_196">#REF!</definedName>
    <definedName name="WFL_220_1">#REF!</definedName>
    <definedName name="WFL_220_2">#REF!</definedName>
    <definedName name="WFL_222">#REF!</definedName>
    <definedName name="WFL_226">#REF!</definedName>
    <definedName name="WFL_227">#REF!</definedName>
    <definedName name="WFL_234">#REF!</definedName>
    <definedName name="WFL_235">#REF!</definedName>
    <definedName name="WFL_243">#REF!</definedName>
    <definedName name="WFL_293">#REF!</definedName>
    <definedName name="WFL_72_3">#REF!</definedName>
    <definedName name="WFL_72_4">#REF!</definedName>
    <definedName name="whi" hidden="1">{"Drawing&amp;Homo.result",#N/A,FALSE,"Greco Hom. and BOM"}</definedName>
    <definedName name="Who_Pays">[71]Source!$B$2:$B$23</definedName>
    <definedName name="Width">2</definedName>
    <definedName name="WireRate">[30]Tables!$A$76</definedName>
    <definedName name="WIRING">#REF!</definedName>
    <definedName name="WIRING..">#REF!</definedName>
    <definedName name="WORK1">#REF!</definedName>
    <definedName name="WORK2">#REF!</definedName>
    <definedName name="WORK3">#REF!</definedName>
    <definedName name="WorkingLocation">[62]Space!$S$2:$S$63</definedName>
    <definedName name="WPL_105">#REF!</definedName>
    <definedName name="WPL_109_1">#REF!</definedName>
    <definedName name="WPL_111_1">#REF!</definedName>
    <definedName name="WPL_1131">#REF!</definedName>
    <definedName name="WPL_1131H">#REF!</definedName>
    <definedName name="WPL_114_2">#REF!</definedName>
    <definedName name="WPL_114_3">#REF!</definedName>
    <definedName name="WPL_1142">#REF!</definedName>
    <definedName name="WPL_1142HAU">#REF!</definedName>
    <definedName name="WPL_1143">#REF!</definedName>
    <definedName name="WPL_1143HAU">#REF!</definedName>
    <definedName name="WPL_1146">#REF!</definedName>
    <definedName name="WPL_1161">#REF!</definedName>
    <definedName name="WPL_1161HAU">#REF!</definedName>
    <definedName name="WPL_1162">#REF!</definedName>
    <definedName name="WPL_1162HAU">#REF!</definedName>
    <definedName name="WPL_1163">#REF!</definedName>
    <definedName name="WPL_1163HAU">#REF!</definedName>
    <definedName name="WPL_1166">#REF!</definedName>
    <definedName name="WPL_1166HAU">#REF!</definedName>
    <definedName name="WPL_1167">#REF!</definedName>
    <definedName name="WPL_1167HAU">#REF!</definedName>
    <definedName name="WPL_1202">#REF!</definedName>
    <definedName name="WPL_1202H">#REF!</definedName>
    <definedName name="WPL_1203">[34]PR孔!#REF!</definedName>
    <definedName name="WPL_1203H">#REF!</definedName>
    <definedName name="WPL_1225">#REF!</definedName>
    <definedName name="WPL_1225H">#REF!</definedName>
    <definedName name="WPL_1226">#REF!</definedName>
    <definedName name="WPL_1226H">#REF!</definedName>
    <definedName name="WPL_1229">#REF!</definedName>
    <definedName name="WPL_1230">#REF!</definedName>
    <definedName name="WPL_1230H">#REF!</definedName>
    <definedName name="WPL_1234">#REF!</definedName>
    <definedName name="WPL_1234H">[128]外!#REF!</definedName>
    <definedName name="WPL_1235">#REF!</definedName>
    <definedName name="WPL_1235H">[128]外!#REF!</definedName>
    <definedName name="WPL_130_4">#REF!</definedName>
    <definedName name="WPL_141">#REF!</definedName>
    <definedName name="WPL_149_1">#REF!</definedName>
    <definedName name="WPL_150_1">#REF!</definedName>
    <definedName name="WPL_151_1">#REF!</definedName>
    <definedName name="WPL_178">#REF!</definedName>
    <definedName name="WPL_196">#REF!</definedName>
    <definedName name="WPL_196H">#REF!</definedName>
    <definedName name="WPL_197">#REF!</definedName>
    <definedName name="WPL_197_1">#REF!</definedName>
    <definedName name="WPL_206">#REF!</definedName>
    <definedName name="WPL_207">#REF!</definedName>
    <definedName name="WPL_240">#REF!</definedName>
    <definedName name="WPL_241">[34]PR孔!#REF!</definedName>
    <definedName name="WPL_306HAU">#REF!</definedName>
    <definedName name="WPL_371">[34]PR孔!#REF!</definedName>
    <definedName name="WPL_409_1">#REF!</definedName>
    <definedName name="WPL_409_1HPAU">[128]外!#REF!</definedName>
    <definedName name="WPL_423">#REF!</definedName>
    <definedName name="WPL_423HAU">#REF!</definedName>
    <definedName name="WPL_424">[34]PR孔!#REF!</definedName>
    <definedName name="WPL_424HAU">#REF!</definedName>
    <definedName name="WPL_450_1">#REF!</definedName>
    <definedName name="WPL_450_1HPAU">#REF!</definedName>
    <definedName name="WPL_48_1X">#REF!</definedName>
    <definedName name="WPL_75">#REF!</definedName>
    <definedName name="WPL_75_15">#REF!</definedName>
    <definedName name="WPL_75_17">#REF!</definedName>
    <definedName name="WPL_75_19">#REF!</definedName>
    <definedName name="WPL_75_23">#REF!</definedName>
    <definedName name="WPL_75_25A">#REF!</definedName>
    <definedName name="WPL_75_26">#REF!</definedName>
    <definedName name="WPL_75_9">#REF!</definedName>
    <definedName name="WPL_85_16">#REF!</definedName>
    <definedName name="WPL_85_17">#REF!</definedName>
    <definedName name="WrkDaypWeek">[25]Tables!$A$170</definedName>
    <definedName name="WrkDperWkM">[30]Tables!$A$171</definedName>
    <definedName name="wrn.ANOC." hidden="1">{"MONTHPLAN",#N/A,FALSE,"DETAIL REPORT";"MONTHPRIOR",#N/A,FALSE,"DETAIL REPORT";"YTDPLAN",#N/A,FALSE,"DETAIL REPORT";"YTDPRIOR",#N/A,FALSE,"DETAIL REPORT"}</definedName>
    <definedName name="wrn.BCFE." hidden="1">{#N/A,#N/A,FALSE,"PAF";#N/A,#N/A,FALSE,"Cash Flow";#N/A,#N/A,FALSE,"Capital";#N/A,#N/A,FALSE,"Expense(1)";#N/A,#N/A,FALSE,"Expense(2)";#N/A,#N/A,FALSE,"Benefit(1)";#N/A,#N/A,FALSE,"Benefit(2)";#N/A,#N/A,FALSE,"People"}</definedName>
    <definedName name="wrn.CARAT." hidden="1">{"volu carat",#N/A,FALSE,"VOLUMEN";"cta global acumul carat",#N/A,FALSE,"CTA_GLOBAL_ACUMUL";"efectivos",#N/A,FALSE,"EFECTIVOS";"bfr carat",#N/A,FALSE,"BFR_CAPITAUX ";"volu carat acu",#N/A,FALSE,"VOLUMEN";"efectivos acu",#N/A,FALSE,"EFECTIVOS"}</definedName>
    <definedName name="wrn.Cash._.Flow." hidden="1">{#N/A,#N/A,FALSE,"Cash Flow"}</definedName>
    <definedName name="wrn.COMPLET." hidden="1">{"HIPOTESIS",#N/A,FALSE,"INDUSTRIAL";"CUADRO",#N/A,FALSE,"INDUSTRIAL";"HIPOTESIS",#N/A,FALSE,"COMERCIAL";"CUADRO",#N/A,FALSE,"COMERCIAL"}</definedName>
    <definedName name="wrn.COMPLETO." hidden="1">{"EUNEA",#N/A,TRUE,"EUNEA";"HIMEL",#N/A,TRUE,"HIMEL";"S_E_E",#N/A,TRUE,"S_E_E";"MESA",#N/A,TRUE,"MESA";"CEVELSA",#N/A,TRUE,"CEVELSA";"POVELSA",#N/A,TRUE,"POVELSA";"TELEMECA",#N/A,TRUE,"TELEMECA";"ESPAÑA",#N/A,TRUE,"ESPAÑA";"PORTUGAL",#N/A,TRUE,"PORTUGAL";"ESPAÑA_FF",#N/A,TRUE,"IBERICO";"PORTUGAL_FF",#N/A,TRUE,"IBERICO";"IBERICO_FF",#N/A,TRUE,"IBERICO"}</definedName>
    <definedName name="wrn.CTA_EXPLOT_ACUM." hidden="1">{"VOLUMEN ACUMULADO",#N/A,FALSE,"VOLUMEN";"cta global acu",#N/A,FALSE,"CTA_GLOBAL_ACUMUL";"app nac acu",#N/A,FALSE,"CTA.EXP. ACUMULADA";"app exp acu 1",#N/A,FALSE,"CTA.EXP. ACUMULADA";"app exp acu 2",#N/A,FALSE,"CTA.EXP. ACUMULADA";"piezas 1 acu",#N/A,FALSE,"CTA.EXP. ACUMULADA";"piezas 2 acu",#N/A,FALSE,"CTA.EXP. ACUMULADA"}</definedName>
    <definedName name="wrn.CTA_EXPLOT_COMPLETA." hidden="1">{"cta global",#N/A,FALSE,"CTA_GLOBAL_MENS";"VOLUMEN MENSUAL",#N/A,FALSE,"VOLUMEN";"cta global acu",#N/A,FALSE,"CTA_GLOBAL_ACUMUL";"VOLUMEN ACUMULADO",#N/A,FALSE,"VOLUMEN";"app nac",#N/A,FALSE,"CTA.EXP. MENSUAL";"app exp 1",#N/A,FALSE,"CTA.EXP. MENSUAL";"app exp 2",#N/A,FALSE,"CTA.EXP. MENSUAL";"piezas 1",#N/A,FALSE,"CTA.EXP. MENSUAL";"piezas 2",#N/A,FALSE,"CTA.EXP. MENSUAL";"app nac acu",#N/A,FALSE,"CTA.EXP. ACUMULADA";"app exp acu 1",#N/A,FALSE,"CTA.EXP. ACUMULADA";"app exp acu 2",#N/A,FALSE,"CTA.EXP. ACUMULADA";"piezas 1 acu",#N/A,FALSE,"CTA.EXP. ACUMULADA";"piezas 2 acu",#N/A,FALSE,"CTA.EXP. ACUMULADA"}</definedName>
    <definedName name="wrn.CTA_EXPLOT_MES." hidden="1">{"cta global",#N/A,FALSE,"CTA_GLOBAL_MENS";"VOLUMEN MENSUAL",#N/A,FALSE,"VOLUMEN";"app nac",#N/A,FALSE,"CTA.EXP. MENSUAL";"app exp 1",#N/A,FALSE,"CTA.EXP. MENSUAL";"app exp 2",#N/A,FALSE,"CTA.EXP. MENSUAL";"piezas 1",#N/A,FALSE,"CTA.EXP. MENSUAL";"piezas 2",#N/A,FALSE,"CTA.EXP. MENSUAL"}</definedName>
    <definedName name="wrn.Drawing._.and._.Homo.result." hidden="1">{"Drawing&amp;Homo.result",#N/A,FALSE,"Greco Hom. and BOM"}</definedName>
    <definedName name="wrn.GRAFICOS." hidden="1">{"GRAF. C.A.",#N/A,TRUE,"GRAFICOS";"GRAF. VOLUM.",#N/A,TRUE,"GRAFICOS";"GRAF. M.B.",#N/A,TRUE,"GRAFICOS"}</definedName>
    <definedName name="wrn.Informe._.Mensual." hidden="1">{"Portada",#N/A,TRUE,"Pres";"Cpte Résultat Mois M",#N/A,TRUE,"Cpte Résultat Mois M";"Coûts Structure",#N/A,TRUE,"Coûts Structure";"Capitaux Engagés",#N/A,TRUE,"Capitaux Engagés";"Effectifs",#N/A,TRUE,"Effectifs";"Prev. (M+1)",#N/A,TRUE,"Prev. (M+1)";"Prev. Trim.",#N/A,TRUE,"Prev. Trim.";"Graphs",#N/A,TRUE,"Graphs"}</definedName>
    <definedName name="wrn.Informe._.Trimestral." hidden="1">{"Portada",#N/A,TRUE,"Pres";"Cpte Résultat Mois M",#N/A,TRUE,"Cpte Résultat Mois M";"Coûts Structure",#N/A,TRUE,"Coûts Structure";"Capitaux Engagés",#N/A,TRUE,"Capitaux Engagés";"Effectifs",#N/A,TRUE,"Effectifs";"Prev. (M+1)",#N/A,TRUE,"Prev. (M+1)";"Prev. Trim.",#N/A,TRUE,"Prev. Trim.";"Prev. Fin Année",#N/A,TRUE,"Prev. Fin Année";"MAP",#N/A,TRUE,"MAP";"Graphs",#N/A,TRUE,"Graphs"}</definedName>
    <definedName name="wrn.Measurements." hidden="1">{#N/A,#N/A,FALSE,"Sales";#N/A,#N/A,FALSE,"CM";#N/A,#N/A,FALSE,"CM%";#N/A,#N/A,FALSE,"VCC";#N/A,#N/A,FALSE,"Hourly W &amp; F";#N/A,#N/A,FALSE,"Other Var. Cost";#N/A,#N/A,FALSE,"Std Hours";#N/A,#N/A,FALSE,"Base Cost";#N/A,#N/A,FALSE,"Net Inventory";#N/A,#N/A,FALSE,"Salaried HC";#N/A,#N/A,FALSE,"Hourly HC";#N/A,#N/A,FALSE,"Cust. Service";#N/A,#N/A,FALSE,"Claims";#N/A,#N/A,FALSE,"Safety"}</definedName>
    <definedName name="wrn.Mensual." hidden="1">{"Portada",#N/A,FALSE,"Pres";"PL",#N/A,FALSE,"P&amp;L";"SFC",#N/A,FALSE,"SFC";"CE",#N/A,FALSE,"Capital Employed";"M+1",#N/A,FALSE,"Prev. (M+1)";"TRI",#N/A,FALSE,"Prev. Trim."}</definedName>
    <definedName name="wrn.OTROS_DATOS." hidden="1">{"DIV_COEF (DIVISAS-COEF.)",#N/A,TRUE,"DIVISAS-COEF.";"ECART PRIX PIEZAS",#N/A,TRUE,"PIEZAS";"ECART PRIX PIEZAS ACU",#N/A,TRUE,"PIEZAS";"CA_POR_DIVISAS (PIEZAS)",#N/A,TRUE,"PIEZAS";"efectivos",#N/A,TRUE,"EFECTIVOS";"REPORTIN",#N/A,TRUE,"REPORTIN";"efectivos acu",#N/A,TRUE,"EFECTIVOS"}</definedName>
    <definedName name="wrn.PAF." hidden="1">{#N/A,#N/A,FALSE,"PAF"}</definedName>
    <definedName name="wrn.TOTAL_FF." hidden="1">{"ESPAÑA_FF",#N/A,FALSE,"IBERICO";"PORTUGAL_FF",#N/A,FALSE,"IBERICO";"IBERICO_FF",#N/A,FALSE,"IBERICO"}</definedName>
    <definedName name="wrn.Trimestral." hidden="1">{"Portada",#N/A,FALSE,"Pres";"PL",#N/A,FALSE,"P&amp;L";"SFC",#N/A,FALSE,"SFC";"CE",#N/A,FALSE,"Capital Employed";"M+1",#N/A,FALSE,"Prev. (M+1)";"TRI",#N/A,FALSE,"Prev. Trim.";"YEF",#N/A,FALSE,"Prev. Fin Année"}</definedName>
    <definedName name="wrn.UNITARIOS_ACU." hidden="1">{"unit acu",#N/A,FALSE,"UNIT-ACUMULADO";"unit exp acu 1",#N/A,FALSE,"UNIT-ACUMULADO";"unit exp acu 2",#N/A,FALSE,"UNIT-ACUMULADO"}</definedName>
    <definedName name="wrn.UNITARIOS_COMPLETO." hidden="1">{"unit nac",#N/A,FALSE,"UNIT-MENSUAL";"unit exp 1",#N/A,FALSE,"UNIT-MENSUAL";"unit exp 2",#N/A,FALSE,"UNIT-MENSUAL";"unit acu",#N/A,FALSE,"UNIT-ACUMULADO";"app exp acu 1",#N/A,FALSE,"UNIT-ACUMULADO";"app exp acu 2",#N/A,FALSE,"UNIT-ACUMULADO"}</definedName>
    <definedName name="wrn.UNITARIOS_MES." hidden="1">{"unit nac",#N/A,FALSE,"UNIT-MENSUAL";"unit exp 1",#N/A,FALSE,"UNIT-MENSUAL";"unit exp 2",#N/A,FALSE,"UNIT-MENSUAL"}</definedName>
    <definedName name="WSE_12">#REF!</definedName>
    <definedName name="WTable">[25]WarrantyDetail!$B$11:$J$24</definedName>
    <definedName name="WTWarranty">[25]WarrantyDetail!$A$23</definedName>
    <definedName name="ww" hidden="1">{"'ID(2)'!$E$1:$N$4"}</definedName>
    <definedName name="x">#REF!</definedName>
    <definedName name="X_2bar">[61]UCL数据!#REF!</definedName>
    <definedName name="X_bar">[129]Date!$J$41</definedName>
    <definedName name="X_bar_column_1">OFFSET([61]UCL数据!#REF!,0,0,COUNT([61]UCL数据!#REF!)+1,1)</definedName>
    <definedName name="xcfg">'[54]EDC-DAS'!#REF!</definedName>
    <definedName name="xirunfeg">'[172]cycle time '!#REF!</definedName>
    <definedName name="XRay2D">[30]Tables!$A$71</definedName>
    <definedName name="XrayRate">[30]Tables!$A$70</definedName>
    <definedName name="xx">#REF!</definedName>
    <definedName name="xxxx">#REF!</definedName>
    <definedName name="Y_indicate">[173]!Y_indicate</definedName>
    <definedName name="YCE_1G">[128]外!#REF!</definedName>
    <definedName name="YCE_1X">#REF!</definedName>
    <definedName name="Year">'[92]Entity List'!$B$1:$B$3</definedName>
    <definedName name="YEAR1">[100]Importing!$F$11</definedName>
    <definedName name="YEAR2">[100]Importing!$G$11</definedName>
    <definedName name="yen2004">#REF!</definedName>
    <definedName name="yen2005">#REF!</definedName>
    <definedName name="yes">#REF!</definedName>
    <definedName name="Yes_No">[28]Link!$V$3:$V$5</definedName>
    <definedName name="YPL_1G">[128]外!#REF!</definedName>
    <definedName name="YPL_1X">#REF!</definedName>
    <definedName name="YPL_2X">[34]PR孔!#REF!</definedName>
    <definedName name="YRCY">#REF!</definedName>
    <definedName name="YRLY">#REF!</definedName>
    <definedName name="YST_1X">[34]PR孔!#REF!</definedName>
    <definedName name="YTD">'[92]Entity List'!$D$2:$D$17</definedName>
    <definedName name="YTD1">[140]WELCOME!$H$5</definedName>
    <definedName name="Yuan">[26]synthèse!$B$2</definedName>
    <definedName name="yy" hidden="1">{"'ID(2)'!$E$1:$N$4"}</definedName>
    <definedName name="yyy">#REF!</definedName>
    <definedName name="yyyy">'[164]EDC-DAS'!#REF!</definedName>
    <definedName name="z">[174]OUVC!$A$1:$IV$65536</definedName>
    <definedName name="ZBB_3">#REF!</definedName>
    <definedName name="ZBB_4">#REF!</definedName>
    <definedName name="ZCE_3">#REF!</definedName>
    <definedName name="ZCE_3A">#REF!</definedName>
    <definedName name="ZCE_4">#REF!</definedName>
    <definedName name="ZCE_4A">#REF!</definedName>
    <definedName name="ZCE_5">#REF!</definedName>
    <definedName name="ZCE_6">#REF!</definedName>
    <definedName name="ZCS_L_1A">[116]pri966!#REF!</definedName>
    <definedName name="ZCS_R_1A">[116]pri966!#REF!</definedName>
    <definedName name="ZCS_TM_1">#REF!</definedName>
    <definedName name="zero">'[175]Cost comparison sheet'!$F$52:$G$62,'[175]Cost comparison sheet'!$F$65:$G$77,'[175]Cost comparison sheet'!$F$79,'[175]Cost comparison sheet'!$G$79,'[175]Cost comparison sheet'!$F$87:$G$87,'[175]Cost comparison sheet'!$I$52:$I$62,'[175]Cost comparison sheet'!$I$65:$I$77</definedName>
    <definedName name="zero2">'[175]Cost comparison sheet'!$F$13:$F$45,'[175]Cost comparison sheet'!$I$13:$I$45</definedName>
    <definedName name="zero4">'[175]Cost comparison sheet'!$D$13:$D$44,'[175]Cost comparison sheet'!$G$13:$G$44,'[175]Cost comparison sheet'!$D$47,'[175]Cost comparison sheet'!$G$47,'[175]Cost comparison sheet'!$F$93,'[175]Cost comparison sheet'!$G$93,'[175]Cost comparison sheet'!$I$93</definedName>
    <definedName name="zero4b">'[175]Unit price breakdown'!$C$8:$D$13,'[175]Unit price breakdown'!$C$15:$D$18,'[175]Unit price breakdown'!$C$20:$D$22,'[175]Unit price breakdown'!$C$24:$D$25,'[175]Unit price breakdown'!$C$27:$E$27</definedName>
    <definedName name="zerobis">'[175]Cost comparison sheet'!$J$45,'[175]Cost comparison sheet'!$J$62,'[175]Cost comparison sheet'!$J$77,'[175]Cost comparison sheet'!$J$83,'[175]Cost comparison sheet'!$J$85,'[175]Cost comparison sheet'!$J$90</definedName>
    <definedName name="ZFL_2">#REF!</definedName>
    <definedName name="Zone_bloc_1">#REF!</definedName>
    <definedName name="Zone_Bloc_1_Q1">#REF!</definedName>
    <definedName name="Zone_Bloc_1_Q1bis">#REF!,#REF!</definedName>
    <definedName name="Zone_bloc_1_Q2">#REF!,#REF!</definedName>
    <definedName name="Zone_bloc_1_Q3">#REF!,#REF!</definedName>
    <definedName name="Zone_Bloc_1_Q5">#REF!,#REF!</definedName>
    <definedName name="Zone_Bloc_2">#REF!,#REF!</definedName>
    <definedName name="Zone_Bloc_2_Q1">#REF!,#REF!</definedName>
    <definedName name="Zone_Bloc_2_Q14">#REF!,#REF!</definedName>
    <definedName name="Zone_Bloc_2_Q3">#REF!,#REF!</definedName>
    <definedName name="Zone_Bloc_2_Q5">#REF!,#REF!</definedName>
    <definedName name="Zone_Bloc_3_Q1">#REF!,#REF!</definedName>
    <definedName name="Zone_Bloc_3_Q2">#REF!,#REF!</definedName>
    <definedName name="Zone_Bloc_3_Q3">#REF!,#REF!</definedName>
    <definedName name="Zone_Bloc_3_Q5">#REF!,#REF!</definedName>
    <definedName name="Zone_Bloc_4_Q1">#REF!,#REF!</definedName>
    <definedName name="Zone_Bloc_4_Q2">#REF!,#REF!</definedName>
    <definedName name="Zone_Bloc_4_Q3">#REF!,#REF!</definedName>
    <definedName name="Zone_Bloc_4_Q5">#REF!,#REF!</definedName>
    <definedName name="Zone_bloc_A">#REF!</definedName>
    <definedName name="Zone_Bloc_B">#REF!,#REF!</definedName>
    <definedName name="Zone_Chassis_1_Q1">#REF!,#REF!</definedName>
    <definedName name="Zone_Chassis_1_Q2">#REF!,#REF!</definedName>
    <definedName name="Zone_Chassis_2_Q1">#REF!,#REF!</definedName>
    <definedName name="Zone_Chassis_2_Q2">#REF!,#REF!</definedName>
    <definedName name="Zone_Chassis_2_Q3">#REF!,#REF!</definedName>
    <definedName name="Zone_Chassis_2_Q7">#REF!,#REF!</definedName>
    <definedName name="Zone_Chassis_3_Q1">#REF!,#REF!</definedName>
    <definedName name="Zone_Chassis_3_Q2">#REF!,#REF!</definedName>
    <definedName name="Zone_Chassis_3_Q3">#REF!,#REF!</definedName>
    <definedName name="Zone_Chassis_4_Q1">#REF!,#REF!</definedName>
    <definedName name="Zone_Chassis_4_Q2">#REF!,#REF!</definedName>
    <definedName name="Zone_impres_MI">#REF!</definedName>
    <definedName name="Zone_Racco_1_Q1">#REF!,#REF!</definedName>
    <definedName name="Zone_Racco_1_Q2">#REF!,#REF!</definedName>
    <definedName name="Zone_Racco_1_Q3">#REF!,#REF!</definedName>
    <definedName name="Zone_Racco_1_Q5">#REF!,#REF!</definedName>
    <definedName name="Zone1_Bloc_Q1">#REF!</definedName>
    <definedName name="Zone1_Bloc_Q2">#REF!,#REF!</definedName>
    <definedName name="Zone1_Chassis_Q1">#REF!</definedName>
    <definedName name="Zone1_Chassis_Q2">#REF!,#REF!</definedName>
    <definedName name="Zone2_Chassis_Q1">#REF!</definedName>
    <definedName name="Zone2_Chassis_Q2">#REF!,#REF!</definedName>
    <definedName name="Zone3_Bloc_Q1">#REF!</definedName>
    <definedName name="Zone3_Bloc_Q2">#REF!,#REF!</definedName>
    <definedName name="ZPL_1">#REF!</definedName>
    <definedName name="ZPL_10">#REF!</definedName>
    <definedName name="ZPL_10HPN">#REF!</definedName>
    <definedName name="ZPL_10HPPD">#REF!</definedName>
    <definedName name="ZPL_11">#REF!</definedName>
    <definedName name="ZPL_11HN">[105]外!#REF!</definedName>
    <definedName name="ZPL_11HPD">#REF!</definedName>
    <definedName name="ZPL_5">[105]PR孔!#REF!</definedName>
    <definedName name="ZPL_5HN">[105]外!#REF!</definedName>
    <definedName name="ZPL_5HPN">#REF!</definedName>
    <definedName name="ZPL_5HPPD">[128]外!#REF!</definedName>
    <definedName name="ZPL_9HPPD">[128]外!#REF!</definedName>
    <definedName name="ZRS_2">#REF!</definedName>
    <definedName name="ZSP_2">#REF!</definedName>
    <definedName name="ZSP_4">#REF!</definedName>
    <definedName name="ZSP_7B">#REF!</definedName>
    <definedName name="ZSP_7P">#REF!</definedName>
    <definedName name="ZTI_2">#REF!</definedName>
    <definedName name="ZTI_5">#REF!</definedName>
    <definedName name="ZTM_1">#REF!</definedName>
    <definedName name="ZTM_1_1">#REF!</definedName>
    <definedName name="ZTM_2">#REF!</definedName>
    <definedName name="ZTM_4">#REF!</definedName>
    <definedName name="zzz" hidden="1">#REF!</definedName>
    <definedName name="zzzRequeteRTEOD">#REF!</definedName>
    <definedName name="zzzRequeteRTEOD_CE">[176]RTE05!#REF!</definedName>
    <definedName name="バート月額単価">#REF!</definedName>
    <definedName name="ボタン12_Click">[173]!ボタン12_Click</definedName>
    <definedName name="ボタン13_Click">[173]!ボタン13_Click</definedName>
    <definedName name="部門マスター">#REF!</definedName>
    <definedName name="材料">[34]PR孔!#REF!</definedName>
    <definedName name="材料单价">[105]PR孔!#REF!</definedName>
    <definedName name="产品单价">[34]PR孔!#REF!</definedName>
    <definedName name="기안갑">#REF!</definedName>
    <definedName name="기안을">#REF!</definedName>
    <definedName name="个品名称">#REF!</definedName>
    <definedName name="検索条件保存キャンセルボタン">[65]!検索条件保存キャンセルボタン</definedName>
    <definedName name="検索条件選択キャンセルボタン">[65]!検索条件選択キャンセルボタン</definedName>
    <definedName name="勘定科目マスター">#REF!</definedName>
    <definedName name="连若数">[105]PR孔!#REF!</definedName>
    <definedName name="毛重">[34]PR孔!#REF!</definedName>
    <definedName name="男子社員単価">#REF!</definedName>
    <definedName name="年俸ﾃｰﾌﾞﾙ_5e">#REF!</definedName>
    <definedName name="女子単価">#REF!</definedName>
    <definedName name="女子社員＿単価">#REF!</definedName>
    <definedName name="女子社員単価">#REF!</definedName>
    <definedName name="品名">#REF!</definedName>
    <definedName name="ㅁ1">#REF!</definedName>
    <definedName name="ㅁ2">#REF!</definedName>
    <definedName name="一覧ダイ初期化">[173]!一覧ダイ初期化</definedName>
  </definedNames>
  <calcPr calcId="125725"/>
</workbook>
</file>

<file path=xl/calcChain.xml><?xml version="1.0" encoding="utf-8"?>
<calcChain xmlns="http://schemas.openxmlformats.org/spreadsheetml/2006/main">
  <c r="E2" i="14"/>
  <c r="Q22" i="13"/>
  <c r="M22" s="1"/>
  <c r="Q23"/>
  <c r="M23" s="1"/>
  <c r="Q24"/>
  <c r="M24" s="1"/>
  <c r="Q25"/>
  <c r="M25" s="1"/>
  <c r="Q26"/>
  <c r="M26" s="1"/>
  <c r="Q27"/>
  <c r="M27" s="1"/>
  <c r="Q28"/>
  <c r="M28" s="1"/>
  <c r="Q29"/>
  <c r="M29" s="1"/>
  <c r="Q30"/>
  <c r="M30" s="1"/>
  <c r="Q31"/>
  <c r="M31" s="1"/>
  <c r="Q32"/>
  <c r="M32" s="1"/>
  <c r="Q33"/>
  <c r="M33" s="1"/>
  <c r="Q34"/>
  <c r="M34" s="1"/>
  <c r="Q35"/>
  <c r="M35" s="1"/>
  <c r="Q36"/>
  <c r="M36" s="1"/>
  <c r="Q37"/>
  <c r="M37" s="1"/>
  <c r="Q38"/>
  <c r="M38" s="1"/>
  <c r="Q39"/>
  <c r="M39" s="1"/>
  <c r="Q40"/>
  <c r="M40" s="1"/>
  <c r="Q41"/>
  <c r="M41" s="1"/>
  <c r="Q42"/>
  <c r="M42" s="1"/>
  <c r="Q43"/>
  <c r="M43" s="1"/>
  <c r="Q44"/>
  <c r="M44" s="1"/>
  <c r="Q45"/>
  <c r="M45" s="1"/>
  <c r="Q46"/>
  <c r="M46" s="1"/>
  <c r="Q47"/>
  <c r="M47" s="1"/>
  <c r="Q48"/>
  <c r="M48" s="1"/>
  <c r="Q49"/>
  <c r="M49" s="1"/>
  <c r="Q50"/>
  <c r="M50" s="1"/>
  <c r="Q51"/>
  <c r="M51" s="1"/>
  <c r="Q52"/>
  <c r="M52" s="1"/>
  <c r="Q53"/>
  <c r="M53" s="1"/>
  <c r="Q54"/>
  <c r="M54" s="1"/>
  <c r="Q55"/>
  <c r="M55" s="1"/>
  <c r="Q56"/>
  <c r="M56" s="1"/>
  <c r="Q57"/>
  <c r="M57" s="1"/>
  <c r="Q58"/>
  <c r="M58" s="1"/>
  <c r="Q59"/>
  <c r="M59" s="1"/>
  <c r="Q60"/>
  <c r="M60" s="1"/>
  <c r="Q61"/>
  <c r="M61" s="1"/>
  <c r="Q21"/>
  <c r="M21" s="1"/>
  <c r="T61" l="1"/>
  <c r="S61" s="1"/>
  <c r="T22"/>
  <c r="S22" s="1"/>
  <c r="T26"/>
  <c r="S26" s="1"/>
  <c r="T30"/>
  <c r="S30" s="1"/>
  <c r="T34"/>
  <c r="S34" s="1"/>
  <c r="T38"/>
  <c r="S38" s="1"/>
  <c r="T42"/>
  <c r="S42" s="1"/>
  <c r="T46"/>
  <c r="S46" s="1"/>
  <c r="T49"/>
  <c r="S49" s="1"/>
  <c r="T51"/>
  <c r="S51" s="1"/>
  <c r="T53"/>
  <c r="S53" s="1"/>
  <c r="T55"/>
  <c r="S55" s="1"/>
  <c r="T57"/>
  <c r="S57" s="1"/>
  <c r="T59"/>
  <c r="S59" s="1"/>
  <c r="T21"/>
  <c r="S21" s="1"/>
  <c r="T24"/>
  <c r="S24" s="1"/>
  <c r="T28"/>
  <c r="S28" s="1"/>
  <c r="T32"/>
  <c r="S32" s="1"/>
  <c r="T36"/>
  <c r="S36" s="1"/>
  <c r="T40"/>
  <c r="S40" s="1"/>
  <c r="T44"/>
  <c r="S44" s="1"/>
  <c r="T48"/>
  <c r="S48" s="1"/>
  <c r="T50"/>
  <c r="S50" s="1"/>
  <c r="T52"/>
  <c r="S52" s="1"/>
  <c r="T54"/>
  <c r="S54" s="1"/>
  <c r="T56"/>
  <c r="S56" s="1"/>
  <c r="T58"/>
  <c r="S58" s="1"/>
  <c r="T60"/>
  <c r="S60" s="1"/>
  <c r="T47"/>
  <c r="S47" s="1"/>
  <c r="T45"/>
  <c r="S45" s="1"/>
  <c r="T43"/>
  <c r="S43" s="1"/>
  <c r="T41"/>
  <c r="S41" s="1"/>
  <c r="T39"/>
  <c r="S39" s="1"/>
  <c r="T37"/>
  <c r="S37" s="1"/>
  <c r="T35"/>
  <c r="S35" s="1"/>
  <c r="T33"/>
  <c r="S33" s="1"/>
  <c r="T31"/>
  <c r="S31" s="1"/>
  <c r="T29"/>
  <c r="S29" s="1"/>
  <c r="T27"/>
  <c r="S27" s="1"/>
  <c r="T25"/>
  <c r="S25" s="1"/>
  <c r="T23"/>
  <c r="S23" s="1"/>
  <c r="E63" i="15"/>
  <c r="E64"/>
  <c r="E65"/>
  <c r="E51"/>
  <c r="E52"/>
  <c r="E53"/>
  <c r="E54"/>
  <c r="E55"/>
  <c r="E56"/>
  <c r="E57"/>
  <c r="E58"/>
  <c r="E59"/>
  <c r="E60"/>
  <c r="E61"/>
  <c r="E62"/>
  <c r="E40"/>
  <c r="E41"/>
  <c r="E42"/>
  <c r="E43"/>
  <c r="E44"/>
  <c r="E45"/>
  <c r="E46"/>
  <c r="E47"/>
  <c r="E48"/>
  <c r="E49"/>
  <c r="E50"/>
  <c r="E33"/>
  <c r="E34"/>
  <c r="E35"/>
  <c r="E36"/>
  <c r="E37"/>
  <c r="E38"/>
  <c r="E39"/>
  <c r="E26"/>
  <c r="E27"/>
  <c r="E28"/>
  <c r="E29"/>
  <c r="E30"/>
  <c r="E31"/>
  <c r="E32"/>
  <c r="E25"/>
  <c r="E66" l="1"/>
  <c r="H155" s="1"/>
  <c r="B92"/>
  <c r="H148"/>
  <c r="G148"/>
  <c r="F148"/>
  <c r="E148"/>
  <c r="D148"/>
  <c r="C148"/>
  <c r="B148"/>
  <c r="A148"/>
  <c r="H141"/>
  <c r="G141"/>
  <c r="F141"/>
  <c r="E141"/>
  <c r="D141"/>
  <c r="C141"/>
  <c r="B141"/>
  <c r="A141"/>
  <c r="H134"/>
  <c r="G134"/>
  <c r="F134"/>
  <c r="E134"/>
  <c r="D134"/>
  <c r="D127"/>
  <c r="E127"/>
  <c r="C134"/>
  <c r="H127"/>
  <c r="G127"/>
  <c r="F127"/>
  <c r="C127"/>
  <c r="B127"/>
  <c r="A127"/>
  <c r="H120"/>
  <c r="G120"/>
  <c r="F120"/>
  <c r="E120"/>
  <c r="D120"/>
  <c r="C120"/>
  <c r="B120"/>
  <c r="A120"/>
  <c r="H113"/>
  <c r="G113"/>
  <c r="F113"/>
  <c r="E113"/>
  <c r="D113"/>
  <c r="C113"/>
  <c r="B113"/>
  <c r="A113"/>
  <c r="H106"/>
  <c r="G106"/>
  <c r="F106"/>
  <c r="E106"/>
  <c r="D106"/>
  <c r="C106"/>
  <c r="B106"/>
  <c r="A106"/>
  <c r="G99"/>
  <c r="H99"/>
  <c r="F99"/>
  <c r="E99"/>
  <c r="D99"/>
  <c r="C99"/>
  <c r="B99"/>
  <c r="A99"/>
  <c r="H92"/>
  <c r="G92"/>
  <c r="F92"/>
  <c r="D92"/>
  <c r="C92"/>
  <c r="A92"/>
  <c r="H85"/>
  <c r="G85"/>
  <c r="F85"/>
  <c r="E85"/>
  <c r="D85"/>
  <c r="C85"/>
  <c r="B85"/>
  <c r="A85"/>
  <c r="E92"/>
  <c r="H78"/>
  <c r="G78"/>
  <c r="F78"/>
  <c r="E78"/>
  <c r="D78"/>
  <c r="C78"/>
  <c r="B78"/>
  <c r="A78"/>
  <c r="H71"/>
  <c r="G71"/>
  <c r="D71"/>
  <c r="E71"/>
  <c r="C71"/>
  <c r="B71"/>
  <c r="A71"/>
  <c r="H157" l="1"/>
  <c r="H161"/>
  <c r="H165"/>
  <c r="H169"/>
  <c r="H173"/>
  <c r="H177"/>
  <c r="H181"/>
  <c r="H185"/>
  <c r="H189"/>
  <c r="H193"/>
  <c r="H163"/>
  <c r="H171"/>
  <c r="H179"/>
  <c r="H191"/>
  <c r="H162"/>
  <c r="H170"/>
  <c r="H178"/>
  <c r="H186"/>
  <c r="H194"/>
  <c r="H156"/>
  <c r="H160"/>
  <c r="H164"/>
  <c r="H168"/>
  <c r="H172"/>
  <c r="H176"/>
  <c r="H180"/>
  <c r="H184"/>
  <c r="H188"/>
  <c r="H192"/>
  <c r="H159"/>
  <c r="H167"/>
  <c r="H175"/>
  <c r="H183"/>
  <c r="H187"/>
  <c r="H195"/>
  <c r="H158"/>
  <c r="H166"/>
  <c r="H174"/>
  <c r="H182"/>
  <c r="H190"/>
  <c r="AS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25"/>
  <c r="AG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25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W25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F66"/>
  <c r="U66" l="1"/>
  <c r="L157" s="1"/>
  <c r="Y66"/>
  <c r="AO66"/>
  <c r="Q155" s="1"/>
  <c r="AG66"/>
  <c r="I66"/>
  <c r="AS66"/>
  <c r="R155" s="1"/>
  <c r="AW66"/>
  <c r="S155" s="1"/>
  <c r="AK66"/>
  <c r="P155" s="1"/>
  <c r="Q66"/>
  <c r="M66"/>
  <c r="J155" s="1"/>
  <c r="AC66"/>
  <c r="AI35"/>
  <c r="AJ35" s="1"/>
  <c r="AE63"/>
  <c r="AF63" s="1"/>
  <c r="AI28"/>
  <c r="AJ28" s="1"/>
  <c r="AI64"/>
  <c r="AJ64" s="1"/>
  <c r="AI60"/>
  <c r="AJ60" s="1"/>
  <c r="AI56"/>
  <c r="AJ56" s="1"/>
  <c r="AI52"/>
  <c r="AJ52" s="1"/>
  <c r="AI48"/>
  <c r="AJ48" s="1"/>
  <c r="AI44"/>
  <c r="AJ44" s="1"/>
  <c r="AI40"/>
  <c r="AJ40" s="1"/>
  <c r="AI36"/>
  <c r="AJ36" s="1"/>
  <c r="AI32"/>
  <c r="AJ32" s="1"/>
  <c r="AI29"/>
  <c r="AJ29" s="1"/>
  <c r="AI65"/>
  <c r="AJ65" s="1"/>
  <c r="AI61"/>
  <c r="AJ61" s="1"/>
  <c r="AI57"/>
  <c r="AJ57" s="1"/>
  <c r="AI53"/>
  <c r="AJ53" s="1"/>
  <c r="AI49"/>
  <c r="AJ49" s="1"/>
  <c r="AI45"/>
  <c r="AJ45" s="1"/>
  <c r="AI41"/>
  <c r="AJ41" s="1"/>
  <c r="AI37"/>
  <c r="AJ37" s="1"/>
  <c r="AI33"/>
  <c r="AJ33" s="1"/>
  <c r="AI30"/>
  <c r="AJ30" s="1"/>
  <c r="AI26"/>
  <c r="AJ26" s="1"/>
  <c r="AI62"/>
  <c r="AJ62" s="1"/>
  <c r="AI58"/>
  <c r="AJ58" s="1"/>
  <c r="AI54"/>
  <c r="AJ54" s="1"/>
  <c r="AI50"/>
  <c r="AJ50" s="1"/>
  <c r="AI46"/>
  <c r="AJ46" s="1"/>
  <c r="AI42"/>
  <c r="AJ42" s="1"/>
  <c r="AI38"/>
  <c r="AJ38" s="1"/>
  <c r="AI34"/>
  <c r="AJ34" s="1"/>
  <c r="AI31"/>
  <c r="AJ31" s="1"/>
  <c r="AI27"/>
  <c r="AJ27" s="1"/>
  <c r="AI63"/>
  <c r="AJ63" s="1"/>
  <c r="AI59"/>
  <c r="AJ59" s="1"/>
  <c r="AI55"/>
  <c r="AJ55" s="1"/>
  <c r="AI51"/>
  <c r="AJ51" s="1"/>
  <c r="AI47"/>
  <c r="AJ47" s="1"/>
  <c r="AI43"/>
  <c r="AJ43" s="1"/>
  <c r="AI39"/>
  <c r="AJ39" s="1"/>
  <c r="AI25"/>
  <c r="AE26"/>
  <c r="AF26" s="1"/>
  <c r="AE60"/>
  <c r="AF60" s="1"/>
  <c r="AE52"/>
  <c r="AF52" s="1"/>
  <c r="AE44"/>
  <c r="AF44" s="1"/>
  <c r="AE40"/>
  <c r="AF40" s="1"/>
  <c r="AE36"/>
  <c r="AF36" s="1"/>
  <c r="AE28"/>
  <c r="AF28" s="1"/>
  <c r="AE65"/>
  <c r="AF65" s="1"/>
  <c r="AE61"/>
  <c r="AF61" s="1"/>
  <c r="AE57"/>
  <c r="AF57" s="1"/>
  <c r="AE53"/>
  <c r="AF53" s="1"/>
  <c r="AE49"/>
  <c r="AF49" s="1"/>
  <c r="AE45"/>
  <c r="AF45" s="1"/>
  <c r="AE41"/>
  <c r="AF41" s="1"/>
  <c r="AE37"/>
  <c r="AF37" s="1"/>
  <c r="AE33"/>
  <c r="AF33" s="1"/>
  <c r="AE29"/>
  <c r="AF29" s="1"/>
  <c r="AE59"/>
  <c r="AF59" s="1"/>
  <c r="AE55"/>
  <c r="AF55" s="1"/>
  <c r="AE51"/>
  <c r="AF51" s="1"/>
  <c r="AE47"/>
  <c r="AF47" s="1"/>
  <c r="AE43"/>
  <c r="AF43" s="1"/>
  <c r="AE39"/>
  <c r="AF39" s="1"/>
  <c r="AE35"/>
  <c r="AF35" s="1"/>
  <c r="AE31"/>
  <c r="AF31" s="1"/>
  <c r="AE27"/>
  <c r="AF27" s="1"/>
  <c r="AE64"/>
  <c r="AF64" s="1"/>
  <c r="AE56"/>
  <c r="AF56" s="1"/>
  <c r="AE48"/>
  <c r="AF48" s="1"/>
  <c r="AE32"/>
  <c r="AF32" s="1"/>
  <c r="AE25"/>
  <c r="AE62"/>
  <c r="AF62" s="1"/>
  <c r="AE58"/>
  <c r="AF58" s="1"/>
  <c r="AE54"/>
  <c r="AF54" s="1"/>
  <c r="AE50"/>
  <c r="AF50" s="1"/>
  <c r="AE46"/>
  <c r="AF46" s="1"/>
  <c r="AE42"/>
  <c r="AF42" s="1"/>
  <c r="AE38"/>
  <c r="AF38" s="1"/>
  <c r="AE34"/>
  <c r="AF34" s="1"/>
  <c r="AE30"/>
  <c r="AF30" s="1"/>
  <c r="AA29"/>
  <c r="AB29" s="1"/>
  <c r="AA65"/>
  <c r="AB65" s="1"/>
  <c r="AA49"/>
  <c r="AB49" s="1"/>
  <c r="AA33"/>
  <c r="AB33" s="1"/>
  <c r="AA27"/>
  <c r="AB27" s="1"/>
  <c r="AA57"/>
  <c r="AB57" s="1"/>
  <c r="AA41"/>
  <c r="AB41" s="1"/>
  <c r="AA58"/>
  <c r="AB58" s="1"/>
  <c r="AA53"/>
  <c r="AB53" s="1"/>
  <c r="AA37"/>
  <c r="AB37" s="1"/>
  <c r="AA61"/>
  <c r="AB61" s="1"/>
  <c r="AA45"/>
  <c r="AB45" s="1"/>
  <c r="AA25"/>
  <c r="AA50"/>
  <c r="AB50" s="1"/>
  <c r="AA42"/>
  <c r="AB42" s="1"/>
  <c r="AA34"/>
  <c r="AB34" s="1"/>
  <c r="AA26"/>
  <c r="AB26" s="1"/>
  <c r="AA64"/>
  <c r="AB64" s="1"/>
  <c r="AA60"/>
  <c r="AB60" s="1"/>
  <c r="AA56"/>
  <c r="AB56" s="1"/>
  <c r="AA52"/>
  <c r="AB52" s="1"/>
  <c r="AA48"/>
  <c r="AB48" s="1"/>
  <c r="AA44"/>
  <c r="AB44" s="1"/>
  <c r="AA40"/>
  <c r="AB40" s="1"/>
  <c r="AA36"/>
  <c r="AB36" s="1"/>
  <c r="AA32"/>
  <c r="AB32" s="1"/>
  <c r="AA28"/>
  <c r="AB28" s="1"/>
  <c r="AA62"/>
  <c r="AB62" s="1"/>
  <c r="AA54"/>
  <c r="AB54" s="1"/>
  <c r="AA46"/>
  <c r="AB46" s="1"/>
  <c r="AA38"/>
  <c r="AB38" s="1"/>
  <c r="AA30"/>
  <c r="AB30" s="1"/>
  <c r="AA63"/>
  <c r="AB63" s="1"/>
  <c r="AA59"/>
  <c r="AB59" s="1"/>
  <c r="AA55"/>
  <c r="AB55" s="1"/>
  <c r="AA51"/>
  <c r="AB51" s="1"/>
  <c r="AA47"/>
  <c r="AB47" s="1"/>
  <c r="AA43"/>
  <c r="AB43" s="1"/>
  <c r="AA39"/>
  <c r="AB39" s="1"/>
  <c r="AA35"/>
  <c r="AB35" s="1"/>
  <c r="AA31"/>
  <c r="AB31" s="1"/>
  <c r="G25"/>
  <c r="H25" s="1"/>
  <c r="AU25"/>
  <c r="AQ25"/>
  <c r="S54"/>
  <c r="T54" s="1"/>
  <c r="W63"/>
  <c r="X63" s="1"/>
  <c r="S34"/>
  <c r="T34" s="1"/>
  <c r="S26"/>
  <c r="T26" s="1"/>
  <c r="AQ26"/>
  <c r="AR26" s="1"/>
  <c r="AQ33"/>
  <c r="AR33" s="1"/>
  <c r="AQ43"/>
  <c r="AR43" s="1"/>
  <c r="AQ52"/>
  <c r="AR52" s="1"/>
  <c r="AQ34"/>
  <c r="AR34" s="1"/>
  <c r="AQ44"/>
  <c r="AR44" s="1"/>
  <c r="AQ51"/>
  <c r="AR51" s="1"/>
  <c r="AQ60"/>
  <c r="AR60" s="1"/>
  <c r="AQ59"/>
  <c r="AR59" s="1"/>
  <c r="K31"/>
  <c r="L31" s="1"/>
  <c r="K32"/>
  <c r="L32" s="1"/>
  <c r="K39"/>
  <c r="L39" s="1"/>
  <c r="K41"/>
  <c r="L41" s="1"/>
  <c r="K50"/>
  <c r="L50" s="1"/>
  <c r="K57"/>
  <c r="L57" s="1"/>
  <c r="K58"/>
  <c r="L58" s="1"/>
  <c r="K65"/>
  <c r="L65" s="1"/>
  <c r="G44"/>
  <c r="H44" s="1"/>
  <c r="K29"/>
  <c r="L29" s="1"/>
  <c r="K30"/>
  <c r="L30" s="1"/>
  <c r="S32"/>
  <c r="T32" s="1"/>
  <c r="AQ32"/>
  <c r="AR32" s="1"/>
  <c r="K40"/>
  <c r="L40" s="1"/>
  <c r="K49"/>
  <c r="L49" s="1"/>
  <c r="AQ31"/>
  <c r="AR31" s="1"/>
  <c r="K37"/>
  <c r="L37" s="1"/>
  <c r="K38"/>
  <c r="L38" s="1"/>
  <c r="AQ39"/>
  <c r="AR39" s="1"/>
  <c r="S40"/>
  <c r="T40" s="1"/>
  <c r="AQ40"/>
  <c r="AR40" s="1"/>
  <c r="K42"/>
  <c r="L42" s="1"/>
  <c r="K47"/>
  <c r="L47" s="1"/>
  <c r="K48"/>
  <c r="L48" s="1"/>
  <c r="AQ49"/>
  <c r="AR49" s="1"/>
  <c r="AQ50"/>
  <c r="AR50" s="1"/>
  <c r="K55"/>
  <c r="L55" s="1"/>
  <c r="K56"/>
  <c r="L56" s="1"/>
  <c r="AQ57"/>
  <c r="AR57" s="1"/>
  <c r="AQ58"/>
  <c r="AR58" s="1"/>
  <c r="K63"/>
  <c r="L63" s="1"/>
  <c r="K64"/>
  <c r="L64" s="1"/>
  <c r="AQ65"/>
  <c r="AR65" s="1"/>
  <c r="AM50"/>
  <c r="AN50" s="1"/>
  <c r="K27"/>
  <c r="L27" s="1"/>
  <c r="K28"/>
  <c r="L28" s="1"/>
  <c r="AQ29"/>
  <c r="AR29" s="1"/>
  <c r="S30"/>
  <c r="T30" s="1"/>
  <c r="AQ30"/>
  <c r="AR30" s="1"/>
  <c r="K35"/>
  <c r="L35" s="1"/>
  <c r="K36"/>
  <c r="L36" s="1"/>
  <c r="AQ37"/>
  <c r="AR37" s="1"/>
  <c r="S38"/>
  <c r="T38" s="1"/>
  <c r="AQ38"/>
  <c r="AR38" s="1"/>
  <c r="AQ41"/>
  <c r="AR41" s="1"/>
  <c r="K43"/>
  <c r="L43" s="1"/>
  <c r="K45"/>
  <c r="L45" s="1"/>
  <c r="K46"/>
  <c r="L46" s="1"/>
  <c r="AQ47"/>
  <c r="AR47" s="1"/>
  <c r="AQ48"/>
  <c r="AR48" s="1"/>
  <c r="K53"/>
  <c r="L53" s="1"/>
  <c r="K54"/>
  <c r="L54" s="1"/>
  <c r="AQ55"/>
  <c r="AR55" s="1"/>
  <c r="AQ56"/>
  <c r="AR56" s="1"/>
  <c r="K61"/>
  <c r="L61" s="1"/>
  <c r="K62"/>
  <c r="L62" s="1"/>
  <c r="AQ63"/>
  <c r="AR63" s="1"/>
  <c r="AQ64"/>
  <c r="AR64" s="1"/>
  <c r="K25"/>
  <c r="L25" s="1"/>
  <c r="K26"/>
  <c r="L26" s="1"/>
  <c r="AQ27"/>
  <c r="AR27" s="1"/>
  <c r="S28"/>
  <c r="T28" s="1"/>
  <c r="AQ28"/>
  <c r="AR28" s="1"/>
  <c r="K33"/>
  <c r="L33" s="1"/>
  <c r="K34"/>
  <c r="L34" s="1"/>
  <c r="AQ35"/>
  <c r="AR35" s="1"/>
  <c r="S36"/>
  <c r="T36" s="1"/>
  <c r="AQ36"/>
  <c r="AR36" s="1"/>
  <c r="AQ42"/>
  <c r="AR42" s="1"/>
  <c r="K44"/>
  <c r="L44" s="1"/>
  <c r="AQ45"/>
  <c r="AR45" s="1"/>
  <c r="AQ46"/>
  <c r="AR46" s="1"/>
  <c r="K51"/>
  <c r="L51" s="1"/>
  <c r="K52"/>
  <c r="L52" s="1"/>
  <c r="AQ53"/>
  <c r="AR53" s="1"/>
  <c r="AQ54"/>
  <c r="AR54" s="1"/>
  <c r="K59"/>
  <c r="L59" s="1"/>
  <c r="K60"/>
  <c r="L60" s="1"/>
  <c r="AQ61"/>
  <c r="AR61" s="1"/>
  <c r="AQ62"/>
  <c r="AR62" s="1"/>
  <c r="G65"/>
  <c r="H65" s="1"/>
  <c r="G63"/>
  <c r="H63" s="1"/>
  <c r="G61"/>
  <c r="H61" s="1"/>
  <c r="G59"/>
  <c r="H59" s="1"/>
  <c r="G57"/>
  <c r="H57" s="1"/>
  <c r="G55"/>
  <c r="H55" s="1"/>
  <c r="G53"/>
  <c r="H53" s="1"/>
  <c r="G51"/>
  <c r="H51" s="1"/>
  <c r="G49"/>
  <c r="H49" s="1"/>
  <c r="G47"/>
  <c r="H47" s="1"/>
  <c r="G45"/>
  <c r="H45" s="1"/>
  <c r="G43"/>
  <c r="H43" s="1"/>
  <c r="G41"/>
  <c r="H41" s="1"/>
  <c r="G39"/>
  <c r="H39" s="1"/>
  <c r="G37"/>
  <c r="H37" s="1"/>
  <c r="G35"/>
  <c r="H35" s="1"/>
  <c r="G33"/>
  <c r="H33" s="1"/>
  <c r="G31"/>
  <c r="H31" s="1"/>
  <c r="G29"/>
  <c r="H29" s="1"/>
  <c r="G27"/>
  <c r="H27" s="1"/>
  <c r="O65"/>
  <c r="P65" s="1"/>
  <c r="O64"/>
  <c r="P64" s="1"/>
  <c r="O63"/>
  <c r="P63" s="1"/>
  <c r="O62"/>
  <c r="P62" s="1"/>
  <c r="O61"/>
  <c r="P61" s="1"/>
  <c r="O60"/>
  <c r="P60" s="1"/>
  <c r="O59"/>
  <c r="P59" s="1"/>
  <c r="O58"/>
  <c r="P58" s="1"/>
  <c r="O57"/>
  <c r="P57" s="1"/>
  <c r="O56"/>
  <c r="P56" s="1"/>
  <c r="O55"/>
  <c r="P55" s="1"/>
  <c r="O54"/>
  <c r="P54" s="1"/>
  <c r="O53"/>
  <c r="P53" s="1"/>
  <c r="O52"/>
  <c r="P52" s="1"/>
  <c r="O51"/>
  <c r="P51" s="1"/>
  <c r="O50"/>
  <c r="P50" s="1"/>
  <c r="O49"/>
  <c r="P49" s="1"/>
  <c r="O48"/>
  <c r="P48" s="1"/>
  <c r="O47"/>
  <c r="P47" s="1"/>
  <c r="O46"/>
  <c r="P46" s="1"/>
  <c r="O45"/>
  <c r="P45" s="1"/>
  <c r="O44"/>
  <c r="P44" s="1"/>
  <c r="O43"/>
  <c r="P43" s="1"/>
  <c r="O42"/>
  <c r="P42" s="1"/>
  <c r="O41"/>
  <c r="P41" s="1"/>
  <c r="O40"/>
  <c r="P40" s="1"/>
  <c r="O39"/>
  <c r="P39" s="1"/>
  <c r="O38"/>
  <c r="P38" s="1"/>
  <c r="O37"/>
  <c r="P37" s="1"/>
  <c r="O36"/>
  <c r="P36" s="1"/>
  <c r="O35"/>
  <c r="P35" s="1"/>
  <c r="O34"/>
  <c r="P34" s="1"/>
  <c r="O33"/>
  <c r="P33" s="1"/>
  <c r="O32"/>
  <c r="P32" s="1"/>
  <c r="O31"/>
  <c r="P31" s="1"/>
  <c r="O30"/>
  <c r="P30" s="1"/>
  <c r="O29"/>
  <c r="P29" s="1"/>
  <c r="O28"/>
  <c r="P28" s="1"/>
  <c r="O27"/>
  <c r="P27" s="1"/>
  <c r="O26"/>
  <c r="P26" s="1"/>
  <c r="O25"/>
  <c r="AM65"/>
  <c r="AN65" s="1"/>
  <c r="AM63"/>
  <c r="AN63" s="1"/>
  <c r="AM61"/>
  <c r="AN61" s="1"/>
  <c r="AM59"/>
  <c r="AN59" s="1"/>
  <c r="AM57"/>
  <c r="AN57" s="1"/>
  <c r="AM55"/>
  <c r="AN55" s="1"/>
  <c r="AM53"/>
  <c r="AN53" s="1"/>
  <c r="AM51"/>
  <c r="AN51" s="1"/>
  <c r="AM49"/>
  <c r="AN49" s="1"/>
  <c r="AM47"/>
  <c r="AN47" s="1"/>
  <c r="AM45"/>
  <c r="AN45" s="1"/>
  <c r="AM43"/>
  <c r="AN43" s="1"/>
  <c r="AM41"/>
  <c r="AN41" s="1"/>
  <c r="AM39"/>
  <c r="AN39" s="1"/>
  <c r="AM37"/>
  <c r="AN37" s="1"/>
  <c r="AM35"/>
  <c r="AN35" s="1"/>
  <c r="AM33"/>
  <c r="AN33" s="1"/>
  <c r="AM31"/>
  <c r="AN31" s="1"/>
  <c r="AM29"/>
  <c r="AN29" s="1"/>
  <c r="AM27"/>
  <c r="AN27" s="1"/>
  <c r="AM25"/>
  <c r="AU65"/>
  <c r="AV65" s="1"/>
  <c r="AU64"/>
  <c r="AV64" s="1"/>
  <c r="AU63"/>
  <c r="AV63" s="1"/>
  <c r="AU62"/>
  <c r="AV62" s="1"/>
  <c r="AU61"/>
  <c r="AV61" s="1"/>
  <c r="AU60"/>
  <c r="AV60" s="1"/>
  <c r="AU59"/>
  <c r="AV59" s="1"/>
  <c r="AU58"/>
  <c r="AV58" s="1"/>
  <c r="AU57"/>
  <c r="AV57" s="1"/>
  <c r="AU56"/>
  <c r="AV56" s="1"/>
  <c r="AU55"/>
  <c r="AV55" s="1"/>
  <c r="AU54"/>
  <c r="AV54" s="1"/>
  <c r="AU53"/>
  <c r="AV53" s="1"/>
  <c r="AU52"/>
  <c r="AV52" s="1"/>
  <c r="AU51"/>
  <c r="AV51" s="1"/>
  <c r="AU50"/>
  <c r="AV50" s="1"/>
  <c r="AU49"/>
  <c r="AV49" s="1"/>
  <c r="AU48"/>
  <c r="AV48" s="1"/>
  <c r="AU47"/>
  <c r="AV47" s="1"/>
  <c r="AU46"/>
  <c r="AV46" s="1"/>
  <c r="AU45"/>
  <c r="AV45" s="1"/>
  <c r="AU44"/>
  <c r="AV44" s="1"/>
  <c r="AU43"/>
  <c r="AV43" s="1"/>
  <c r="AU42"/>
  <c r="AV42" s="1"/>
  <c r="AU41"/>
  <c r="AV41" s="1"/>
  <c r="AU40"/>
  <c r="AV40" s="1"/>
  <c r="AU39"/>
  <c r="AV39" s="1"/>
  <c r="AU38"/>
  <c r="AV38" s="1"/>
  <c r="AU37"/>
  <c r="AV37" s="1"/>
  <c r="AU36"/>
  <c r="AV36" s="1"/>
  <c r="AU35"/>
  <c r="AV35" s="1"/>
  <c r="AU34"/>
  <c r="AV34" s="1"/>
  <c r="AU33"/>
  <c r="AV33" s="1"/>
  <c r="AU32"/>
  <c r="AV32" s="1"/>
  <c r="AU31"/>
  <c r="AV31" s="1"/>
  <c r="AU30"/>
  <c r="AV30" s="1"/>
  <c r="AU29"/>
  <c r="AV29" s="1"/>
  <c r="AU28"/>
  <c r="AV28" s="1"/>
  <c r="AU27"/>
  <c r="AV27" s="1"/>
  <c r="AU26"/>
  <c r="AV26" s="1"/>
  <c r="W45"/>
  <c r="X45" s="1"/>
  <c r="G48"/>
  <c r="H48" s="1"/>
  <c r="S50"/>
  <c r="T50" s="1"/>
  <c r="W53"/>
  <c r="X53" s="1"/>
  <c r="G56"/>
  <c r="H56" s="1"/>
  <c r="W25"/>
  <c r="G26"/>
  <c r="H26" s="1"/>
  <c r="AM26"/>
  <c r="AN26" s="1"/>
  <c r="W27"/>
  <c r="X27" s="1"/>
  <c r="G28"/>
  <c r="H28" s="1"/>
  <c r="AM28"/>
  <c r="AN28" s="1"/>
  <c r="W29"/>
  <c r="X29" s="1"/>
  <c r="G30"/>
  <c r="H30" s="1"/>
  <c r="AM30"/>
  <c r="AN30" s="1"/>
  <c r="W31"/>
  <c r="X31" s="1"/>
  <c r="G32"/>
  <c r="H32" s="1"/>
  <c r="AM32"/>
  <c r="AN32" s="1"/>
  <c r="W33"/>
  <c r="X33" s="1"/>
  <c r="G34"/>
  <c r="H34" s="1"/>
  <c r="AM34"/>
  <c r="AN34" s="1"/>
  <c r="W35"/>
  <c r="X35" s="1"/>
  <c r="G36"/>
  <c r="H36" s="1"/>
  <c r="AM36"/>
  <c r="AN36" s="1"/>
  <c r="W37"/>
  <c r="X37" s="1"/>
  <c r="G38"/>
  <c r="H38" s="1"/>
  <c r="AM38"/>
  <c r="AN38" s="1"/>
  <c r="W39"/>
  <c r="X39" s="1"/>
  <c r="G40"/>
  <c r="H40" s="1"/>
  <c r="AM40"/>
  <c r="AN40" s="1"/>
  <c r="W41"/>
  <c r="X41" s="1"/>
  <c r="G42"/>
  <c r="H42" s="1"/>
  <c r="AM42"/>
  <c r="AN42" s="1"/>
  <c r="W43"/>
  <c r="X43" s="1"/>
  <c r="G46"/>
  <c r="H46" s="1"/>
  <c r="S48"/>
  <c r="T48" s="1"/>
  <c r="AM48"/>
  <c r="AN48" s="1"/>
  <c r="W51"/>
  <c r="X51" s="1"/>
  <c r="G54"/>
  <c r="H54" s="1"/>
  <c r="S56"/>
  <c r="T56" s="1"/>
  <c r="AM56"/>
  <c r="AN56" s="1"/>
  <c r="G58"/>
  <c r="H58" s="1"/>
  <c r="W59"/>
  <c r="X59" s="1"/>
  <c r="S60"/>
  <c r="T60" s="1"/>
  <c r="AM60"/>
  <c r="AN60" s="1"/>
  <c r="G62"/>
  <c r="H62" s="1"/>
  <c r="S64"/>
  <c r="T64" s="1"/>
  <c r="AM64"/>
  <c r="AN64" s="1"/>
  <c r="W64"/>
  <c r="X64" s="1"/>
  <c r="W62"/>
  <c r="X62" s="1"/>
  <c r="W60"/>
  <c r="X60" s="1"/>
  <c r="W58"/>
  <c r="X58" s="1"/>
  <c r="W56"/>
  <c r="X56" s="1"/>
  <c r="W54"/>
  <c r="X54" s="1"/>
  <c r="W52"/>
  <c r="X52" s="1"/>
  <c r="W50"/>
  <c r="X50" s="1"/>
  <c r="W48"/>
  <c r="X48" s="1"/>
  <c r="W46"/>
  <c r="X46" s="1"/>
  <c r="W44"/>
  <c r="X44" s="1"/>
  <c r="W42"/>
  <c r="X42" s="1"/>
  <c r="W40"/>
  <c r="X40" s="1"/>
  <c r="W38"/>
  <c r="X38" s="1"/>
  <c r="W36"/>
  <c r="X36" s="1"/>
  <c r="W34"/>
  <c r="X34" s="1"/>
  <c r="W32"/>
  <c r="X32" s="1"/>
  <c r="W30"/>
  <c r="X30" s="1"/>
  <c r="W28"/>
  <c r="X28" s="1"/>
  <c r="W26"/>
  <c r="X26" s="1"/>
  <c r="S42"/>
  <c r="T42" s="1"/>
  <c r="S46"/>
  <c r="T46" s="1"/>
  <c r="AM46"/>
  <c r="AN46" s="1"/>
  <c r="W49"/>
  <c r="X49" s="1"/>
  <c r="G52"/>
  <c r="H52" s="1"/>
  <c r="AM54"/>
  <c r="AN54" s="1"/>
  <c r="S65"/>
  <c r="T65" s="1"/>
  <c r="S63"/>
  <c r="T63" s="1"/>
  <c r="S61"/>
  <c r="T61" s="1"/>
  <c r="S59"/>
  <c r="T59" s="1"/>
  <c r="S57"/>
  <c r="T57" s="1"/>
  <c r="S55"/>
  <c r="T55" s="1"/>
  <c r="S53"/>
  <c r="T53" s="1"/>
  <c r="S51"/>
  <c r="T51" s="1"/>
  <c r="S49"/>
  <c r="T49" s="1"/>
  <c r="S47"/>
  <c r="T47" s="1"/>
  <c r="S45"/>
  <c r="T45" s="1"/>
  <c r="S43"/>
  <c r="T43" s="1"/>
  <c r="S41"/>
  <c r="T41" s="1"/>
  <c r="S39"/>
  <c r="T39" s="1"/>
  <c r="S37"/>
  <c r="T37" s="1"/>
  <c r="S35"/>
  <c r="T35" s="1"/>
  <c r="S33"/>
  <c r="T33" s="1"/>
  <c r="S31"/>
  <c r="T31" s="1"/>
  <c r="S29"/>
  <c r="T29" s="1"/>
  <c r="S27"/>
  <c r="T27" s="1"/>
  <c r="S25"/>
  <c r="S44"/>
  <c r="T44" s="1"/>
  <c r="AM44"/>
  <c r="AN44" s="1"/>
  <c r="W47"/>
  <c r="X47" s="1"/>
  <c r="G50"/>
  <c r="H50" s="1"/>
  <c r="S52"/>
  <c r="T52" s="1"/>
  <c r="AM52"/>
  <c r="AN52" s="1"/>
  <c r="W55"/>
  <c r="X55" s="1"/>
  <c r="W57"/>
  <c r="X57" s="1"/>
  <c r="S58"/>
  <c r="T58" s="1"/>
  <c r="AM58"/>
  <c r="AN58" s="1"/>
  <c r="G60"/>
  <c r="H60" s="1"/>
  <c r="W61"/>
  <c r="X61" s="1"/>
  <c r="S62"/>
  <c r="T62" s="1"/>
  <c r="AM62"/>
  <c r="AN62" s="1"/>
  <c r="G64"/>
  <c r="H64" s="1"/>
  <c r="W65"/>
  <c r="X65" s="1"/>
  <c r="L192" l="1"/>
  <c r="L183"/>
  <c r="L174"/>
  <c r="L160"/>
  <c r="L176"/>
  <c r="L191"/>
  <c r="L178"/>
  <c r="L182"/>
  <c r="L187"/>
  <c r="L159"/>
  <c r="L180"/>
  <c r="L164"/>
  <c r="L186"/>
  <c r="L195"/>
  <c r="L163"/>
  <c r="L181"/>
  <c r="L165"/>
  <c r="L190"/>
  <c r="L162"/>
  <c r="L167"/>
  <c r="L184"/>
  <c r="L168"/>
  <c r="L194"/>
  <c r="L158"/>
  <c r="L171"/>
  <c r="L185"/>
  <c r="L169"/>
  <c r="L155"/>
  <c r="L193"/>
  <c r="L177"/>
  <c r="L161"/>
  <c r="L170"/>
  <c r="L175"/>
  <c r="L188"/>
  <c r="L172"/>
  <c r="L156"/>
  <c r="L166"/>
  <c r="L179"/>
  <c r="L189"/>
  <c r="L173"/>
  <c r="W66"/>
  <c r="N159"/>
  <c r="N163"/>
  <c r="N167"/>
  <c r="N171"/>
  <c r="N175"/>
  <c r="N179"/>
  <c r="N183"/>
  <c r="N187"/>
  <c r="N191"/>
  <c r="N195"/>
  <c r="N161"/>
  <c r="N169"/>
  <c r="N177"/>
  <c r="N189"/>
  <c r="N193"/>
  <c r="N156"/>
  <c r="N164"/>
  <c r="N172"/>
  <c r="N180"/>
  <c r="N188"/>
  <c r="N158"/>
  <c r="N162"/>
  <c r="N166"/>
  <c r="N170"/>
  <c r="N174"/>
  <c r="N178"/>
  <c r="N182"/>
  <c r="N186"/>
  <c r="N190"/>
  <c r="N194"/>
  <c r="N157"/>
  <c r="N165"/>
  <c r="N173"/>
  <c r="N181"/>
  <c r="N185"/>
  <c r="N160"/>
  <c r="N168"/>
  <c r="N176"/>
  <c r="N184"/>
  <c r="N192"/>
  <c r="M157"/>
  <c r="M161"/>
  <c r="M165"/>
  <c r="M169"/>
  <c r="M173"/>
  <c r="M177"/>
  <c r="M181"/>
  <c r="M185"/>
  <c r="M189"/>
  <c r="M193"/>
  <c r="M163"/>
  <c r="M171"/>
  <c r="M179"/>
  <c r="M187"/>
  <c r="M195"/>
  <c r="M158"/>
  <c r="M166"/>
  <c r="M174"/>
  <c r="M182"/>
  <c r="M190"/>
  <c r="M156"/>
  <c r="M160"/>
  <c r="M164"/>
  <c r="M168"/>
  <c r="M172"/>
  <c r="M176"/>
  <c r="M180"/>
  <c r="M184"/>
  <c r="M188"/>
  <c r="M192"/>
  <c r="M159"/>
  <c r="M167"/>
  <c r="M175"/>
  <c r="M183"/>
  <c r="M191"/>
  <c r="M162"/>
  <c r="M170"/>
  <c r="M178"/>
  <c r="M186"/>
  <c r="M194"/>
  <c r="O159"/>
  <c r="O163"/>
  <c r="O167"/>
  <c r="O171"/>
  <c r="O175"/>
  <c r="O179"/>
  <c r="O183"/>
  <c r="O187"/>
  <c r="O191"/>
  <c r="O195"/>
  <c r="O161"/>
  <c r="O169"/>
  <c r="O177"/>
  <c r="O185"/>
  <c r="O193"/>
  <c r="O160"/>
  <c r="O168"/>
  <c r="O176"/>
  <c r="O188"/>
  <c r="O158"/>
  <c r="O162"/>
  <c r="O166"/>
  <c r="O170"/>
  <c r="O174"/>
  <c r="O178"/>
  <c r="O182"/>
  <c r="O186"/>
  <c r="O190"/>
  <c r="O194"/>
  <c r="O157"/>
  <c r="O165"/>
  <c r="O173"/>
  <c r="O181"/>
  <c r="O189"/>
  <c r="O156"/>
  <c r="O164"/>
  <c r="O172"/>
  <c r="O180"/>
  <c r="O184"/>
  <c r="O192"/>
  <c r="AR25"/>
  <c r="AQ66"/>
  <c r="AJ25"/>
  <c r="AI66"/>
  <c r="P159"/>
  <c r="P163"/>
  <c r="P167"/>
  <c r="P171"/>
  <c r="P175"/>
  <c r="P179"/>
  <c r="P183"/>
  <c r="P187"/>
  <c r="P191"/>
  <c r="P195"/>
  <c r="P157"/>
  <c r="P161"/>
  <c r="P169"/>
  <c r="P177"/>
  <c r="P185"/>
  <c r="P193"/>
  <c r="P156"/>
  <c r="P164"/>
  <c r="P172"/>
  <c r="P180"/>
  <c r="P188"/>
  <c r="P158"/>
  <c r="P162"/>
  <c r="P166"/>
  <c r="P170"/>
  <c r="P174"/>
  <c r="P178"/>
  <c r="P182"/>
  <c r="P186"/>
  <c r="P190"/>
  <c r="P194"/>
  <c r="P165"/>
  <c r="P173"/>
  <c r="P181"/>
  <c r="P189"/>
  <c r="P160"/>
  <c r="P168"/>
  <c r="P176"/>
  <c r="P184"/>
  <c r="P192"/>
  <c r="R159"/>
  <c r="R163"/>
  <c r="R167"/>
  <c r="R171"/>
  <c r="R175"/>
  <c r="R179"/>
  <c r="R183"/>
  <c r="R187"/>
  <c r="R191"/>
  <c r="R195"/>
  <c r="R161"/>
  <c r="R169"/>
  <c r="R177"/>
  <c r="R185"/>
  <c r="R193"/>
  <c r="R156"/>
  <c r="R164"/>
  <c r="R172"/>
  <c r="R180"/>
  <c r="R188"/>
  <c r="R158"/>
  <c r="R162"/>
  <c r="R166"/>
  <c r="R170"/>
  <c r="R174"/>
  <c r="R178"/>
  <c r="R182"/>
  <c r="R186"/>
  <c r="R190"/>
  <c r="R194"/>
  <c r="R157"/>
  <c r="R165"/>
  <c r="R173"/>
  <c r="R181"/>
  <c r="R189"/>
  <c r="R160"/>
  <c r="R168"/>
  <c r="R176"/>
  <c r="R184"/>
  <c r="R192"/>
  <c r="M155"/>
  <c r="O155"/>
  <c r="K157"/>
  <c r="K161"/>
  <c r="K165"/>
  <c r="K169"/>
  <c r="K173"/>
  <c r="K177"/>
  <c r="K181"/>
  <c r="K185"/>
  <c r="K189"/>
  <c r="K193"/>
  <c r="K167"/>
  <c r="K175"/>
  <c r="K183"/>
  <c r="K195"/>
  <c r="K158"/>
  <c r="K166"/>
  <c r="K174"/>
  <c r="K182"/>
  <c r="K190"/>
  <c r="K156"/>
  <c r="K160"/>
  <c r="K164"/>
  <c r="K168"/>
  <c r="K172"/>
  <c r="K176"/>
  <c r="K180"/>
  <c r="K184"/>
  <c r="K188"/>
  <c r="K192"/>
  <c r="K159"/>
  <c r="K163"/>
  <c r="K171"/>
  <c r="K179"/>
  <c r="K187"/>
  <c r="K191"/>
  <c r="K162"/>
  <c r="K170"/>
  <c r="K178"/>
  <c r="K186"/>
  <c r="K194"/>
  <c r="I158"/>
  <c r="I162"/>
  <c r="I166"/>
  <c r="I170"/>
  <c r="I174"/>
  <c r="I178"/>
  <c r="I182"/>
  <c r="I186"/>
  <c r="I190"/>
  <c r="I194"/>
  <c r="I156"/>
  <c r="I164"/>
  <c r="I172"/>
  <c r="I180"/>
  <c r="I188"/>
  <c r="I163"/>
  <c r="I171"/>
  <c r="I179"/>
  <c r="I187"/>
  <c r="I195"/>
  <c r="I157"/>
  <c r="I161"/>
  <c r="I165"/>
  <c r="I169"/>
  <c r="I173"/>
  <c r="I177"/>
  <c r="I181"/>
  <c r="I185"/>
  <c r="I189"/>
  <c r="I193"/>
  <c r="I160"/>
  <c r="I168"/>
  <c r="I176"/>
  <c r="I184"/>
  <c r="I192"/>
  <c r="I159"/>
  <c r="I167"/>
  <c r="I175"/>
  <c r="I183"/>
  <c r="I191"/>
  <c r="AF25"/>
  <c r="AE66"/>
  <c r="J157"/>
  <c r="J161"/>
  <c r="J165"/>
  <c r="J169"/>
  <c r="J173"/>
  <c r="J177"/>
  <c r="J181"/>
  <c r="J185"/>
  <c r="J189"/>
  <c r="J193"/>
  <c r="J163"/>
  <c r="J171"/>
  <c r="J179"/>
  <c r="J187"/>
  <c r="J158"/>
  <c r="J166"/>
  <c r="J174"/>
  <c r="J182"/>
  <c r="J190"/>
  <c r="J156"/>
  <c r="J160"/>
  <c r="J164"/>
  <c r="J168"/>
  <c r="J172"/>
  <c r="J176"/>
  <c r="J180"/>
  <c r="J184"/>
  <c r="J188"/>
  <c r="J192"/>
  <c r="J159"/>
  <c r="J167"/>
  <c r="J175"/>
  <c r="J183"/>
  <c r="J191"/>
  <c r="J195"/>
  <c r="J162"/>
  <c r="J170"/>
  <c r="J178"/>
  <c r="J186"/>
  <c r="J194"/>
  <c r="AB25"/>
  <c r="AA66"/>
  <c r="Q159"/>
  <c r="Q163"/>
  <c r="Q167"/>
  <c r="Q171"/>
  <c r="Q175"/>
  <c r="Q179"/>
  <c r="Q183"/>
  <c r="Q187"/>
  <c r="Q191"/>
  <c r="Q195"/>
  <c r="Q161"/>
  <c r="Q169"/>
  <c r="Q181"/>
  <c r="Q189"/>
  <c r="Q156"/>
  <c r="Q164"/>
  <c r="Q172"/>
  <c r="Q184"/>
  <c r="Q192"/>
  <c r="Q158"/>
  <c r="Q162"/>
  <c r="Q166"/>
  <c r="Q170"/>
  <c r="Q174"/>
  <c r="Q178"/>
  <c r="Q182"/>
  <c r="Q186"/>
  <c r="Q190"/>
  <c r="Q194"/>
  <c r="Q157"/>
  <c r="Q165"/>
  <c r="Q173"/>
  <c r="Q177"/>
  <c r="Q185"/>
  <c r="Q193"/>
  <c r="Q160"/>
  <c r="Q168"/>
  <c r="Q176"/>
  <c r="Q180"/>
  <c r="Q188"/>
  <c r="AM66"/>
  <c r="AU66"/>
  <c r="N155"/>
  <c r="K155"/>
  <c r="I155"/>
  <c r="K66"/>
  <c r="AV25"/>
  <c r="X25"/>
  <c r="AN25"/>
  <c r="G66"/>
  <c r="T25"/>
  <c r="S66"/>
  <c r="O66"/>
  <c r="P25"/>
  <c r="H150" l="1"/>
  <c r="G140"/>
  <c r="B142"/>
  <c r="H136"/>
  <c r="G133"/>
  <c r="B134"/>
  <c r="B135" s="1"/>
  <c r="A134"/>
  <c r="H129"/>
  <c r="G126"/>
  <c r="B128"/>
  <c r="H122"/>
  <c r="B121"/>
  <c r="H115"/>
  <c r="G112"/>
  <c r="B114"/>
  <c r="C108"/>
  <c r="C101"/>
  <c r="F71"/>
  <c r="C94" l="1"/>
  <c r="C87"/>
  <c r="D80"/>
  <c r="D136"/>
  <c r="D108"/>
  <c r="C73"/>
  <c r="C80"/>
  <c r="D73"/>
  <c r="D101"/>
  <c r="F108"/>
  <c r="G101"/>
  <c r="G80"/>
  <c r="D94"/>
  <c r="G108"/>
  <c r="G70"/>
  <c r="F73"/>
  <c r="B79"/>
  <c r="B77" s="1"/>
  <c r="C77" s="1"/>
  <c r="D77" s="1"/>
  <c r="E77" s="1"/>
  <c r="B80"/>
  <c r="E102"/>
  <c r="A101"/>
  <c r="B107"/>
  <c r="B105" s="1"/>
  <c r="C105" s="1"/>
  <c r="D105" s="1"/>
  <c r="E105" s="1"/>
  <c r="B108"/>
  <c r="G77"/>
  <c r="F80"/>
  <c r="B86"/>
  <c r="B84" s="1"/>
  <c r="C84" s="1"/>
  <c r="D84" s="1"/>
  <c r="E84" s="1"/>
  <c r="B87"/>
  <c r="H94"/>
  <c r="E94"/>
  <c r="E109"/>
  <c r="A108"/>
  <c r="H73"/>
  <c r="E73"/>
  <c r="E88"/>
  <c r="A87"/>
  <c r="G84"/>
  <c r="F87"/>
  <c r="H101"/>
  <c r="E101"/>
  <c r="B94"/>
  <c r="G94"/>
  <c r="E74"/>
  <c r="A73"/>
  <c r="H87"/>
  <c r="E87"/>
  <c r="G98"/>
  <c r="F101"/>
  <c r="E81"/>
  <c r="A80"/>
  <c r="B72"/>
  <c r="B70" s="1"/>
  <c r="C70" s="1"/>
  <c r="D70" s="1"/>
  <c r="E70" s="1"/>
  <c r="B73"/>
  <c r="H80"/>
  <c r="E80"/>
  <c r="E95"/>
  <c r="A94"/>
  <c r="B100"/>
  <c r="B98" s="1"/>
  <c r="C98" s="1"/>
  <c r="D98" s="1"/>
  <c r="E98" s="1"/>
  <c r="B101"/>
  <c r="H108"/>
  <c r="E108"/>
  <c r="G87"/>
  <c r="G73"/>
  <c r="D87"/>
  <c r="F94"/>
  <c r="D115"/>
  <c r="D143"/>
  <c r="D129"/>
  <c r="D122"/>
  <c r="B133"/>
  <c r="C133" s="1"/>
  <c r="D133" s="1"/>
  <c r="E133" s="1"/>
  <c r="D150"/>
  <c r="E143"/>
  <c r="A150"/>
  <c r="E150"/>
  <c r="B112"/>
  <c r="C112" s="1"/>
  <c r="D112" s="1"/>
  <c r="E112" s="1"/>
  <c r="E130"/>
  <c r="E129"/>
  <c r="G136"/>
  <c r="C122"/>
  <c r="G122"/>
  <c r="E123"/>
  <c r="E122"/>
  <c r="C150"/>
  <c r="G150"/>
  <c r="B126"/>
  <c r="C126" s="1"/>
  <c r="D126" s="1"/>
  <c r="E126" s="1"/>
  <c r="B150"/>
  <c r="B140"/>
  <c r="C140" s="1"/>
  <c r="D140" s="1"/>
  <c r="E140" s="1"/>
  <c r="B93"/>
  <c r="B91" s="1"/>
  <c r="C91" s="1"/>
  <c r="D91" s="1"/>
  <c r="E91" s="1"/>
  <c r="A129"/>
  <c r="C136"/>
  <c r="C143"/>
  <c r="G105"/>
  <c r="B122"/>
  <c r="C129"/>
  <c r="G129"/>
  <c r="F129"/>
  <c r="E137"/>
  <c r="E136"/>
  <c r="H143"/>
  <c r="E144"/>
  <c r="A143"/>
  <c r="G91"/>
  <c r="B119"/>
  <c r="C119" s="1"/>
  <c r="D119" s="1"/>
  <c r="E119" s="1"/>
  <c r="F136"/>
  <c r="G143"/>
  <c r="B115"/>
  <c r="F115"/>
  <c r="C115"/>
  <c r="F150"/>
  <c r="G147"/>
  <c r="E116"/>
  <c r="A115"/>
  <c r="F122"/>
  <c r="G119"/>
  <c r="G115"/>
  <c r="E151"/>
  <c r="B149"/>
  <c r="B147" s="1"/>
  <c r="C147" s="1"/>
  <c r="D147" s="1"/>
  <c r="E147" s="1"/>
  <c r="E115"/>
  <c r="A122"/>
  <c r="B129"/>
  <c r="B136"/>
  <c r="B143"/>
  <c r="F143"/>
  <c r="A136"/>
  <c r="H22" i="13" l="1"/>
  <c r="H24" s="1"/>
  <c r="G22"/>
  <c r="F22"/>
  <c r="G21" s="1"/>
  <c r="E22"/>
  <c r="D22"/>
  <c r="C22"/>
  <c r="B22"/>
  <c r="B23" s="1"/>
  <c r="A22"/>
  <c r="Q62" l="1"/>
  <c r="R24" s="1"/>
  <c r="B21"/>
  <c r="C21" s="1"/>
  <c r="D21" s="1"/>
  <c r="E21" s="1"/>
  <c r="A24"/>
  <c r="E24"/>
  <c r="D24"/>
  <c r="B24"/>
  <c r="C24"/>
  <c r="G24"/>
  <c r="F24"/>
  <c r="E25"/>
  <c r="R48" l="1"/>
  <c r="R58"/>
  <c r="R31"/>
  <c r="R37"/>
  <c r="R47"/>
  <c r="R53"/>
  <c r="R26"/>
  <c r="R32"/>
  <c r="R42"/>
  <c r="R23"/>
  <c r="R57"/>
  <c r="R56"/>
  <c r="R40"/>
  <c r="R61"/>
  <c r="R45"/>
  <c r="R29"/>
  <c r="R50"/>
  <c r="R34"/>
  <c r="R55"/>
  <c r="R39"/>
  <c r="R21"/>
  <c r="R52"/>
  <c r="R36"/>
  <c r="R41"/>
  <c r="R25"/>
  <c r="R46"/>
  <c r="R30"/>
  <c r="R51"/>
  <c r="R35"/>
  <c r="R22"/>
  <c r="R60"/>
  <c r="R44"/>
  <c r="R28"/>
  <c r="R49"/>
  <c r="R33"/>
  <c r="R54"/>
  <c r="R38"/>
  <c r="R59"/>
  <c r="R43"/>
  <c r="R27"/>
  <c r="T62"/>
  <c r="U57" s="1"/>
  <c r="R62" l="1"/>
  <c r="U24"/>
  <c r="U34"/>
  <c r="U32"/>
  <c r="U47"/>
  <c r="U29"/>
  <c r="U31"/>
  <c r="U50"/>
  <c r="U48"/>
  <c r="U49"/>
  <c r="U45"/>
  <c r="U28"/>
  <c r="U44"/>
  <c r="U60"/>
  <c r="U27"/>
  <c r="U43"/>
  <c r="U59"/>
  <c r="U30"/>
  <c r="U46"/>
  <c r="U25"/>
  <c r="U41"/>
  <c r="U22"/>
  <c r="U40"/>
  <c r="U56"/>
  <c r="U53"/>
  <c r="U39"/>
  <c r="U55"/>
  <c r="U26"/>
  <c r="U42"/>
  <c r="U58"/>
  <c r="U37"/>
  <c r="U21"/>
  <c r="U36"/>
  <c r="U52"/>
  <c r="U23"/>
  <c r="U35"/>
  <c r="U51"/>
  <c r="U61"/>
  <c r="U38"/>
  <c r="U54"/>
  <c r="U33"/>
  <c r="U62" l="1"/>
  <c r="AZ25" i="15"/>
  <c r="AY66"/>
  <c r="AY42"/>
  <c r="AZ42"/>
  <c r="AY55"/>
  <c r="AZ55"/>
  <c r="AY36"/>
  <c r="AZ36"/>
  <c r="AY49"/>
  <c r="AZ49"/>
  <c r="AY60"/>
  <c r="AZ60"/>
  <c r="AY46"/>
  <c r="AZ46"/>
  <c r="AY56"/>
  <c r="AZ56"/>
  <c r="AY28"/>
  <c r="AZ28"/>
  <c r="AY62"/>
  <c r="AZ62"/>
  <c r="AY38"/>
  <c r="AZ38"/>
  <c r="AY40"/>
  <c r="AZ40"/>
  <c r="AY27"/>
  <c r="AZ27"/>
  <c r="AY32"/>
  <c r="AZ32"/>
  <c r="AY34"/>
  <c r="AZ34"/>
  <c r="AY50"/>
  <c r="AZ50"/>
  <c r="AY48"/>
  <c r="AZ48"/>
  <c r="AY35"/>
  <c r="AZ35"/>
  <c r="AY57"/>
  <c r="AZ57"/>
  <c r="AY47"/>
  <c r="AZ47"/>
  <c r="AY51"/>
  <c r="AZ51"/>
  <c r="AY54"/>
  <c r="AZ54"/>
  <c r="AY53"/>
  <c r="AZ53"/>
  <c r="AY39"/>
  <c r="AZ39"/>
  <c r="AY30"/>
  <c r="AZ30"/>
  <c r="AY31"/>
  <c r="AZ31"/>
  <c r="AY58"/>
  <c r="AZ58"/>
  <c r="AY61"/>
  <c r="AZ61"/>
  <c r="AY41"/>
  <c r="AZ41"/>
  <c r="AY45"/>
  <c r="AZ45"/>
  <c r="AY29"/>
  <c r="AZ29"/>
  <c r="AY64"/>
  <c r="AZ64"/>
  <c r="AY37"/>
  <c r="AZ37"/>
  <c r="AY65"/>
  <c r="AZ65"/>
  <c r="AY33"/>
  <c r="AZ33"/>
  <c r="AY52"/>
  <c r="AZ52"/>
  <c r="AY59"/>
  <c r="AZ59"/>
  <c r="AY26"/>
  <c r="AZ26"/>
  <c r="AY43"/>
  <c r="AZ43"/>
  <c r="AY44"/>
  <c r="AZ44"/>
  <c r="AY25"/>
  <c r="AY63"/>
  <c r="AZ63"/>
</calcChain>
</file>

<file path=xl/sharedStrings.xml><?xml version="1.0" encoding="utf-8"?>
<sst xmlns="http://schemas.openxmlformats.org/spreadsheetml/2006/main" count="1753" uniqueCount="257">
  <si>
    <t>文件名称汇总：</t>
  </si>
  <si>
    <t>订单号</t>
  </si>
  <si>
    <t>DLP分类</t>
  </si>
  <si>
    <t>T0-1</t>
  </si>
  <si>
    <t>T1-1</t>
  </si>
  <si>
    <t>T1-2</t>
  </si>
  <si>
    <t>T1-3</t>
  </si>
  <si>
    <t>T1-4</t>
  </si>
  <si>
    <t>T1-5</t>
  </si>
  <si>
    <t>T1-6</t>
  </si>
  <si>
    <t>T1-7</t>
  </si>
  <si>
    <t>T1-8</t>
  </si>
  <si>
    <t>T1-11</t>
  </si>
  <si>
    <t>T1-12</t>
  </si>
  <si>
    <t>T1 total</t>
  </si>
  <si>
    <t>T2-1</t>
  </si>
  <si>
    <t>T2-1 备注</t>
  </si>
  <si>
    <t>T2-2</t>
  </si>
  <si>
    <t>T2-2 备注</t>
  </si>
  <si>
    <t>T2-3</t>
  </si>
  <si>
    <t>T2-4</t>
  </si>
  <si>
    <t>T2-6</t>
  </si>
  <si>
    <t>T2-Total</t>
  </si>
  <si>
    <t>T3-1</t>
  </si>
  <si>
    <t>T3-1 备注</t>
  </si>
  <si>
    <t>T3-2</t>
  </si>
  <si>
    <t>T3-3</t>
  </si>
  <si>
    <t>T3-4</t>
  </si>
  <si>
    <t>T3-5</t>
  </si>
  <si>
    <t>T3-6</t>
  </si>
  <si>
    <t>T3-7</t>
  </si>
  <si>
    <t>T3-8</t>
  </si>
  <si>
    <t>T3-Total</t>
  </si>
  <si>
    <t>T4-1</t>
  </si>
  <si>
    <t>T4-1-1</t>
  </si>
  <si>
    <t>T4-2</t>
  </si>
  <si>
    <t>T4-3</t>
  </si>
  <si>
    <t>T4-3-1</t>
  </si>
  <si>
    <t>T4-4</t>
  </si>
  <si>
    <t>T4-5</t>
  </si>
  <si>
    <t>T4-5-1</t>
  </si>
  <si>
    <t>T4-6</t>
  </si>
  <si>
    <t>T4-6-1</t>
  </si>
  <si>
    <t>T4-7</t>
  </si>
  <si>
    <t>T4-8</t>
  </si>
  <si>
    <t>T4-9</t>
  </si>
  <si>
    <t>T4-11</t>
  </si>
  <si>
    <t>T4-11-1</t>
  </si>
  <si>
    <t>T4-11-2</t>
  </si>
  <si>
    <t>T4-Total</t>
  </si>
  <si>
    <t>T5-1</t>
  </si>
  <si>
    <t>T5-2</t>
  </si>
  <si>
    <t>T5-2-1</t>
  </si>
  <si>
    <t>T5-3</t>
  </si>
  <si>
    <t>T5-4</t>
  </si>
  <si>
    <t>T5-4 备注</t>
  </si>
  <si>
    <t>T5-5</t>
  </si>
  <si>
    <t>T5-6</t>
  </si>
  <si>
    <t>T5-7</t>
  </si>
  <si>
    <t>T5-8</t>
  </si>
  <si>
    <t>T5-11</t>
  </si>
  <si>
    <t>T5-13</t>
  </si>
  <si>
    <t>T5-14-4</t>
  </si>
  <si>
    <t>T5-14-5</t>
  </si>
  <si>
    <t>T5-14-6</t>
  </si>
  <si>
    <t>T5-14-7</t>
  </si>
  <si>
    <t>T5-14-8</t>
  </si>
  <si>
    <t>T5-15</t>
  </si>
  <si>
    <t>T5-Total</t>
  </si>
  <si>
    <t>A1-1</t>
  </si>
  <si>
    <t>A1-2</t>
  </si>
  <si>
    <t>A1-3</t>
  </si>
  <si>
    <t>A1-4</t>
  </si>
  <si>
    <t>A1-Total</t>
  </si>
  <si>
    <t>Ｕ线</t>
  </si>
  <si>
    <t>C8</t>
  </si>
  <si>
    <t>C9</t>
  </si>
  <si>
    <t>C10</t>
  </si>
  <si>
    <t>日期</t>
    <phoneticPr fontId="0" type="noConversion"/>
  </si>
  <si>
    <r>
      <t xml:space="preserve">code    </t>
    </r>
    <r>
      <rPr>
        <b/>
        <sz val="8"/>
        <rFont val="宋体"/>
        <family val="3"/>
        <charset val="134"/>
      </rPr>
      <t>工号</t>
    </r>
  </si>
  <si>
    <t>U</t>
    <phoneticPr fontId="0" type="noConversion"/>
  </si>
  <si>
    <t>产品系列</t>
    <phoneticPr fontId="0" type="noConversion"/>
  </si>
  <si>
    <t>姓名</t>
    <phoneticPr fontId="0" type="noConversion"/>
  </si>
  <si>
    <t>工序代码</t>
    <phoneticPr fontId="0" type="noConversion"/>
  </si>
  <si>
    <t>系列</t>
    <phoneticPr fontId="0" type="noConversion"/>
  </si>
  <si>
    <t>规格人数</t>
    <phoneticPr fontId="0" type="noConversion"/>
  </si>
  <si>
    <t>unitUT   (CH)</t>
    <phoneticPr fontId="0" type="noConversion"/>
  </si>
  <si>
    <t>unitDT   (CH)</t>
    <phoneticPr fontId="0" type="noConversion"/>
  </si>
  <si>
    <r>
      <t xml:space="preserve">UT            </t>
    </r>
    <r>
      <rPr>
        <b/>
        <sz val="8"/>
        <rFont val="宋体"/>
        <family val="3"/>
        <charset val="134"/>
      </rPr>
      <t>有效时间</t>
    </r>
  </si>
  <si>
    <r>
      <t xml:space="preserve">DT         </t>
    </r>
    <r>
      <rPr>
        <b/>
        <sz val="8"/>
        <rFont val="宋体"/>
        <family val="3"/>
        <charset val="134"/>
      </rPr>
      <t>设计时间</t>
    </r>
  </si>
  <si>
    <r>
      <t xml:space="preserve">OT(min)   </t>
    </r>
    <r>
      <rPr>
        <b/>
        <sz val="8"/>
        <rFont val="宋体"/>
        <family val="3"/>
        <charset val="134"/>
      </rPr>
      <t>操作时间</t>
    </r>
  </si>
  <si>
    <r>
      <t xml:space="preserve">TS (min)    </t>
    </r>
    <r>
      <rPr>
        <b/>
        <sz val="8"/>
        <rFont val="宋体"/>
        <family val="3"/>
        <charset val="134"/>
      </rPr>
      <t>花费的时间</t>
    </r>
  </si>
  <si>
    <r>
      <t>PE      team</t>
    </r>
    <r>
      <rPr>
        <b/>
        <sz val="8"/>
        <rFont val="宋体"/>
        <family val="3"/>
        <charset val="134"/>
      </rPr>
      <t>效率</t>
    </r>
  </si>
  <si>
    <r>
      <t xml:space="preserve">good qty </t>
    </r>
    <r>
      <rPr>
        <b/>
        <sz val="8"/>
        <rFont val="宋体"/>
        <family val="3"/>
        <charset val="134"/>
      </rPr>
      <t>合格产量</t>
    </r>
  </si>
  <si>
    <r>
      <t xml:space="preserve">plan working time      </t>
    </r>
    <r>
      <rPr>
        <b/>
        <sz val="8"/>
        <rFont val="宋体"/>
        <family val="3"/>
        <charset val="134"/>
      </rPr>
      <t>计划工作时间</t>
    </r>
  </si>
  <si>
    <r>
      <t xml:space="preserve">assembly time      </t>
    </r>
    <r>
      <rPr>
        <b/>
        <sz val="8"/>
        <rFont val="宋体"/>
        <family val="3"/>
        <charset val="134"/>
      </rPr>
      <t>装配总时间</t>
    </r>
  </si>
  <si>
    <r>
      <t>操作损失时间</t>
    </r>
    <r>
      <rPr>
        <b/>
        <sz val="8"/>
        <rFont val="Arial"/>
        <family val="2"/>
      </rPr>
      <t xml:space="preserve"> (min)</t>
    </r>
  </si>
  <si>
    <t>T5-14-2</t>
    <phoneticPr fontId="0" type="noConversion"/>
  </si>
  <si>
    <t>T5-14-3</t>
    <phoneticPr fontId="0" type="noConversion"/>
  </si>
  <si>
    <r>
      <t xml:space="preserve">total hours       </t>
    </r>
    <r>
      <rPr>
        <b/>
        <sz val="8"/>
        <rFont val="宋体"/>
        <family val="3"/>
        <charset val="134"/>
      </rPr>
      <t>总时间</t>
    </r>
  </si>
  <si>
    <r>
      <t xml:space="preserve">shift      </t>
    </r>
    <r>
      <rPr>
        <b/>
        <sz val="8"/>
        <rFont val="宋体"/>
        <family val="3"/>
        <charset val="134"/>
      </rPr>
      <t>班别</t>
    </r>
  </si>
  <si>
    <t>新工人数</t>
    <phoneticPr fontId="0" type="noConversion"/>
  </si>
  <si>
    <t>C1</t>
    <phoneticPr fontId="0" type="noConversion"/>
  </si>
  <si>
    <t>C2</t>
    <phoneticPr fontId="0" type="noConversion"/>
  </si>
  <si>
    <t>C3</t>
    <phoneticPr fontId="0" type="noConversion"/>
  </si>
  <si>
    <t>C4</t>
    <phoneticPr fontId="0" type="noConversion"/>
  </si>
  <si>
    <t>C5</t>
    <phoneticPr fontId="0" type="noConversion"/>
  </si>
  <si>
    <t>C6</t>
    <phoneticPr fontId="0" type="noConversion"/>
  </si>
  <si>
    <t>C7</t>
    <phoneticPr fontId="0" type="noConversion"/>
  </si>
  <si>
    <t>KE</t>
  </si>
  <si>
    <t>IE</t>
  </si>
  <si>
    <t>KS</t>
  </si>
  <si>
    <t>日期</t>
  </si>
  <si>
    <t>U</t>
  </si>
  <si>
    <t>code    工号</t>
  </si>
  <si>
    <t>产品系列</t>
  </si>
  <si>
    <t>姓名</t>
  </si>
  <si>
    <t>工序代码</t>
  </si>
  <si>
    <t>系列</t>
  </si>
  <si>
    <t>规格人数</t>
  </si>
  <si>
    <t>unitUT   (CH)</t>
  </si>
  <si>
    <t>unitDT   (CH)</t>
  </si>
  <si>
    <t>UT            有效时间</t>
  </si>
  <si>
    <t>DT         设计时间</t>
  </si>
  <si>
    <t>OT(min)   操作时间</t>
  </si>
  <si>
    <t>TS (min)    花费的时间</t>
  </si>
  <si>
    <t>PE      team效率</t>
  </si>
  <si>
    <t>good qty 合格产量</t>
  </si>
  <si>
    <t>plan working time      计划工作时间</t>
  </si>
  <si>
    <t>assembly time      装配总时间</t>
  </si>
  <si>
    <t>操作损失时间 (min)</t>
  </si>
  <si>
    <t>T5-14-2</t>
  </si>
  <si>
    <t>T5-14-3</t>
  </si>
  <si>
    <t>total hours       总时间</t>
  </si>
  <si>
    <t>shift      班别</t>
  </si>
  <si>
    <t>新工人数</t>
  </si>
  <si>
    <t>C1</t>
  </si>
  <si>
    <t>C2</t>
  </si>
  <si>
    <t>C3</t>
  </si>
  <si>
    <t>C4</t>
  </si>
  <si>
    <t>C5</t>
  </si>
  <si>
    <t>C6</t>
  </si>
  <si>
    <t>C7</t>
  </si>
  <si>
    <t>2015,6月,2日</t>
  </si>
  <si>
    <t>Code</t>
  </si>
  <si>
    <t>Red time description</t>
  </si>
  <si>
    <t>Time(H)</t>
  </si>
  <si>
    <t>%</t>
  </si>
  <si>
    <t>排序</t>
  </si>
  <si>
    <t>Time 0.员工效率损失时间</t>
  </si>
  <si>
    <t>效率损失</t>
  </si>
  <si>
    <t>新岗位效率损失</t>
  </si>
  <si>
    <t>岗位培训</t>
  </si>
  <si>
    <t>SIM1</t>
  </si>
  <si>
    <t>员工记录</t>
  </si>
  <si>
    <t>5S、交接班</t>
  </si>
  <si>
    <t>换型</t>
  </si>
  <si>
    <t>员工维修/调整</t>
  </si>
  <si>
    <t>样品检测</t>
  </si>
  <si>
    <t>新产品试验</t>
  </si>
  <si>
    <t>生产安排, 分活等</t>
  </si>
  <si>
    <t>SAP系统操作</t>
  </si>
  <si>
    <t>Time 2.质量问题</t>
  </si>
  <si>
    <t>来料返工</t>
  </si>
  <si>
    <t>过程返工</t>
  </si>
  <si>
    <t>拒收返工</t>
  </si>
  <si>
    <t>附加控制</t>
  </si>
  <si>
    <t>设计返工</t>
  </si>
  <si>
    <t xml:space="preserve">Time 3.不确定因素 </t>
  </si>
  <si>
    <t>等待物料</t>
  </si>
  <si>
    <t>等待半成品</t>
  </si>
  <si>
    <t>等待维修</t>
  </si>
  <si>
    <t>等待订单</t>
  </si>
  <si>
    <t>等待相关部门支持</t>
  </si>
  <si>
    <t>叫停调试</t>
  </si>
  <si>
    <t>停电、停水、停气</t>
  </si>
  <si>
    <t>MES系统维护</t>
  </si>
  <si>
    <t>QC 检验员</t>
  </si>
  <si>
    <t>IPQC 检验员</t>
  </si>
  <si>
    <t>IQC 检验员</t>
  </si>
  <si>
    <t>在线维修</t>
  </si>
  <si>
    <t>车间setter调整工</t>
  </si>
  <si>
    <t xml:space="preserve">仓库人员 </t>
  </si>
  <si>
    <t>领班</t>
  </si>
  <si>
    <t>生产订单分配员</t>
  </si>
  <si>
    <t xml:space="preserve">车间人员 输入数据 </t>
  </si>
  <si>
    <t xml:space="preserve">输机人员 输入数据 </t>
  </si>
  <si>
    <t>车间培训员</t>
  </si>
  <si>
    <t>车间人员上料等</t>
  </si>
  <si>
    <t>生产线组长辅助巡检</t>
  </si>
  <si>
    <t>操作员集中打标签</t>
  </si>
  <si>
    <t>操作员领辅料</t>
  </si>
  <si>
    <t>车间内部人员上料、退料</t>
  </si>
  <si>
    <t>Total</t>
  </si>
  <si>
    <t>DT</t>
    <phoneticPr fontId="0" type="noConversion"/>
  </si>
  <si>
    <t>效率损失</t>
    <phoneticPr fontId="0" type="noConversion"/>
  </si>
  <si>
    <t>过程损失</t>
    <phoneticPr fontId="0" type="noConversion"/>
  </si>
  <si>
    <t>质量</t>
    <phoneticPr fontId="0" type="noConversion"/>
  </si>
  <si>
    <t>不确定因素</t>
    <phoneticPr fontId="0" type="noConversion"/>
  </si>
  <si>
    <t>OT</t>
  </si>
  <si>
    <t>支持时间</t>
    <phoneticPr fontId="0" type="noConversion"/>
  </si>
  <si>
    <t>TS</t>
    <phoneticPr fontId="0" type="noConversion"/>
  </si>
  <si>
    <t>KE</t>
    <phoneticPr fontId="0" type="noConversion"/>
  </si>
  <si>
    <t>2015,6月,1日</t>
  </si>
  <si>
    <t>KE:</t>
  </si>
  <si>
    <t>描述排序</t>
  </si>
  <si>
    <t>描述</t>
  </si>
  <si>
    <t>DT</t>
    <phoneticPr fontId="0" type="noConversion"/>
  </si>
  <si>
    <t>效率损失</t>
    <phoneticPr fontId="0" type="noConversion"/>
  </si>
  <si>
    <t>过程损失</t>
    <phoneticPr fontId="0" type="noConversion"/>
  </si>
  <si>
    <t>质量</t>
    <phoneticPr fontId="0" type="noConversion"/>
  </si>
  <si>
    <t>支持时间</t>
    <phoneticPr fontId="0" type="noConversion"/>
  </si>
  <si>
    <t>TS</t>
    <phoneticPr fontId="0" type="noConversion"/>
  </si>
  <si>
    <t>KE</t>
    <phoneticPr fontId="0" type="noConversion"/>
  </si>
  <si>
    <t>空</t>
  </si>
  <si>
    <r>
      <t xml:space="preserve">行动计划
</t>
    </r>
    <r>
      <rPr>
        <b/>
        <sz val="12"/>
        <rFont val="Arial"/>
        <family val="2"/>
      </rPr>
      <t>Action plan</t>
    </r>
  </si>
  <si>
    <r>
      <t xml:space="preserve">问题点
</t>
    </r>
    <r>
      <rPr>
        <b/>
        <sz val="12"/>
        <rFont val="Arial"/>
        <family val="2"/>
      </rPr>
      <t>Barrier</t>
    </r>
  </si>
  <si>
    <t>状态           Status</t>
    <phoneticPr fontId="3" type="noConversion"/>
  </si>
  <si>
    <r>
      <t xml:space="preserve">完成日期
</t>
    </r>
    <r>
      <rPr>
        <b/>
        <sz val="12"/>
        <rFont val="Arial"/>
        <family val="2"/>
      </rPr>
      <t>Deadline</t>
    </r>
  </si>
  <si>
    <r>
      <t xml:space="preserve">负责人
</t>
    </r>
    <r>
      <rPr>
        <b/>
        <sz val="12"/>
        <rFont val="Arial"/>
        <family val="2"/>
      </rPr>
      <t>PIC</t>
    </r>
  </si>
  <si>
    <t>日期
Date</t>
  </si>
  <si>
    <t>DT 设计时间 汇总</t>
  </si>
  <si>
    <t>OT(min) 操作时间  汇总</t>
  </si>
  <si>
    <t>TS (min) 花费的时间 汇总</t>
  </si>
  <si>
    <t>Operator external to process</t>
  </si>
  <si>
    <t>Non quanlity</t>
  </si>
  <si>
    <t>Unciertianties</t>
  </si>
  <si>
    <t>DVC support functions</t>
  </si>
  <si>
    <t>DVC sercives Regulatory absenteeism</t>
  </si>
  <si>
    <t>不良品代码(生产录入)</t>
  </si>
  <si>
    <t>不良品代码(QC录入)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</si>
  <si>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</si>
  <si>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</si>
  <si>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</si>
  <si>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</si>
  <si>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</si>
  <si>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</si>
  <si>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</si>
  <si>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</si>
  <si>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</si>
  <si>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</si>
  <si>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</si>
  <si>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逻辑差异基数</t>
    <phoneticPr fontId="22" type="noConversion"/>
  </si>
  <si>
    <t>差异数</t>
    <phoneticPr fontId="22" type="noConversion"/>
  </si>
  <si>
    <t>时间排序</t>
    <phoneticPr fontId="22" type="noConversion"/>
  </si>
  <si>
    <t>类型排序</t>
    <phoneticPr fontId="22" type="noConversion"/>
  </si>
  <si>
    <t>按月份对比</t>
  </si>
  <si>
    <t>KER</t>
  </si>
  <si>
    <t>KSR</t>
  </si>
  <si>
    <t>T0-2</t>
  </si>
  <si>
    <t>IE Target</t>
  </si>
  <si>
    <t>按日查询</t>
  </si>
  <si>
    <t>月份</t>
  </si>
  <si>
    <t>Compare By Month</t>
  </si>
  <si>
    <t>按产品系列对比</t>
  </si>
  <si>
    <t>Compare By Product</t>
  </si>
  <si>
    <t>Search By Date</t>
  </si>
</sst>
</file>

<file path=xl/styles.xml><?xml version="1.0" encoding="utf-8"?>
<styleSheet xmlns="http://schemas.openxmlformats.org/spreadsheetml/2006/main">
  <numFmts count="81">
    <numFmt numFmtId="41" formatCode="_ * #,##0_ ;_ * \-#,##0_ ;_ * &quot;-&quot;_ ;_ @_ "/>
    <numFmt numFmtId="43" formatCode="_ * #,##0.00_ ;_ * \-#,##0.00_ ;_ * &quot;-&quot;??_ ;_ @_ "/>
    <numFmt numFmtId="164" formatCode="0_);[Red]\(0\)"/>
    <numFmt numFmtId="165" formatCode="[$-409]d\-mmm;@"/>
    <numFmt numFmtId="166" formatCode="0.0_);[Red]\(0.0\)"/>
    <numFmt numFmtId="167" formatCode="[$-F400]h:mm:ss\ AM/PM"/>
    <numFmt numFmtId="168" formatCode="0.0%"/>
    <numFmt numFmtId="169" formatCode="0_ "/>
    <numFmt numFmtId="170" formatCode="0.000000_ "/>
    <numFmt numFmtId="171" formatCode="0.000_ "/>
    <numFmt numFmtId="172" formatCode="&quot;$&quot;#,##0;\-&quot;$&quot;#,##0"/>
    <numFmt numFmtId="173" formatCode="&quot;$&quot;#,##0;[Red]\-&quot;$&quot;#,##0"/>
    <numFmt numFmtId="174" formatCode="\$#,##0.00_);[Red]\(\$#,##0.00\)"/>
    <numFmt numFmtId="175" formatCode="\$#,##0.00_);\(\$#,##0.00\)"/>
    <numFmt numFmtId="176" formatCode="#,##0.0_);\(#,##0.0\)"/>
    <numFmt numFmtId="177" formatCode="#,##0_ ;[Red]\-#,##0\ "/>
    <numFmt numFmtId="178" formatCode="#,##0.0"/>
    <numFmt numFmtId="179" formatCode="[Blue]General"/>
    <numFmt numFmtId="180" formatCode="_-&quot;\&quot;* #,##0_-;\-&quot;\&quot;* #,##0_-;_-&quot;\&quot;* &quot;-&quot;_-;_-@_-"/>
    <numFmt numFmtId="181" formatCode="_-&quot;\&quot;* #,##0.00_-;\-&quot;\&quot;* #,##0.00_-;_-&quot;\&quot;* &quot;-&quot;??_-;_-@_-"/>
    <numFmt numFmtId="182" formatCode="_-* #,##0_-;\-* #,##0_-;_-* &quot;-&quot;_-;_-@_-"/>
    <numFmt numFmtId="183" formatCode="_-* #,##0.00_-;\-* #,##0.00_-;_-* &quot;-&quot;??_-;_-@_-"/>
    <numFmt numFmtId="184" formatCode="&quot;$&quot;#,##0"/>
    <numFmt numFmtId="185" formatCode="_(* #,##0.0000_);_(* \(#,##0.0000\);_(* &quot;-&quot;??_);_(@_)"/>
    <numFmt numFmtId="186" formatCode="&quot;L&quot;#,##0.00_);\(&quot;L&quot;#,##0.00\)"/>
    <numFmt numFmtId="187" formatCode="&quot;L&quot;#,##0.00_);[Red]\(&quot;L&quot;#,##0.00\)"/>
    <numFmt numFmtId="188" formatCode="_(&quot;$&quot;* #,##0.00_);_(&quot;$&quot;* \(#,##0.00\);_(&quot;$&quot;* &quot;-&quot;??_);_(@_)"/>
    <numFmt numFmtId="189" formatCode="0.0%;\(0.0%\)"/>
    <numFmt numFmtId="190" formatCode="General_)"/>
    <numFmt numFmtId="191" formatCode="#,##0.00&quot; F&quot;_);\(#,##0.00&quot; F&quot;\)"/>
    <numFmt numFmtId="192" formatCode="0.00&quot; &quot;"/>
    <numFmt numFmtId="193" formatCode="&quot;$&quot;#,##0\ ;\(&quot;$&quot;#,##0\)"/>
    <numFmt numFmtId="194" formatCode="#,##0&quot;£&quot;_);[Red]\(#,##0&quot;£&quot;\)"/>
    <numFmt numFmtId="195" formatCode="#,##0;[Red]#,##0"/>
    <numFmt numFmtId="196" formatCode="\+\ 0.0&quot; j&quot;;\-\ 0.0&quot; j&quot;"/>
    <numFmt numFmtId="197" formatCode="_-&quot;£&quot;* #,##0_-;\-&quot;£&quot;* #,##0_-;_-&quot;£&quot;* &quot;-&quot;_-;_-@_-"/>
    <numFmt numFmtId="198" formatCode="&quot;$&quot;#,##0.00_);[Red]\(&quot;$&quot;#,##0.00\)"/>
    <numFmt numFmtId="199" formatCode="#,##0.00&quot;£&quot;_);[Red]\(#,##0.00&quot;£&quot;\)"/>
    <numFmt numFmtId="200" formatCode="_-* #,##0.00\ [$€-1]_-;\-* #,##0.00\ [$€-1]_-;_-* &quot;-&quot;??\ [$€-1]_-"/>
    <numFmt numFmtId="201" formatCode="&quot;$&quot;#,##0.00"/>
    <numFmt numFmtId="202" formatCode="_-* #,##0\ _P_t_s_-;\-* #,##0\ _P_t_s_-;_-* &quot;-&quot;\ _P_t_s_-;_-@_-"/>
    <numFmt numFmtId="203" formatCode="_-* #,##0.00\ _P_t_s_-;\-* #,##0.00\ _P_t_s_-;_-* &quot;-&quot;??\ _P_t_s_-;_-@_-"/>
    <numFmt numFmtId="204" formatCode="#,##0&quot; F&quot;;[Red]\-#,##0&quot; F&quot;"/>
    <numFmt numFmtId="205" formatCode="_-* #,##0.00\ &quot;F&quot;_-;\-* #,##0.00\ &quot;F&quot;_-;_-* &quot;-&quot;??\ &quot;F&quot;_-;_-@_-"/>
    <numFmt numFmtId="206" formatCode="_(&quot;$&quot;* #,##0_);_(&quot;$&quot;* \(#,##0\);_(&quot;$&quot;* &quot;-&quot;_);_(@_)"/>
    <numFmt numFmtId="207" formatCode="_-* #,##0\ &quot;Pts&quot;_-;\-* #,##0\ &quot;Pts&quot;_-;_-* &quot;-&quot;\ &quot;Pts&quot;_-;_-@_-"/>
    <numFmt numFmtId="208" formatCode="_-* #,##0.00\ &quot;Pts&quot;_-;\-* #,##0.00\ &quot;Pts&quot;_-;_-* &quot;-&quot;??\ &quot;Pts&quot;_-;_-@_-"/>
    <numFmt numFmtId="209" formatCode="_ &quot;\&quot;* #,##0_ ;_ &quot;\&quot;* &quot;\&quot;&quot;\&quot;&quot;\&quot;&quot;\&quot;&quot;\&quot;&quot;\&quot;&quot;\&quot;\-#,##0_ ;_ &quot;\&quot;* &quot;-&quot;_ ;_ @_ "/>
    <numFmt numFmtId="210" formatCode="#,##0.0\x_);\(#,##0.0\x\);#,##0.0\x_);@_)"/>
    <numFmt numFmtId="211" formatCode="0.00_)"/>
    <numFmt numFmtId="212" formatCode="#,##0;[Red]&quot;△&quot;#,##0"/>
    <numFmt numFmtId="213" formatCode="0;\(0\)"/>
    <numFmt numFmtId="214" formatCode="0%;\(0%\)"/>
    <numFmt numFmtId="215" formatCode="#,##0.0\%_);\(#,##0.0\%\);#,##0.0\%_);@_)"/>
    <numFmt numFmtId="216" formatCode="&quot;$&quot;#,##0_);\(&quot;$&quot;#,##0\)"/>
    <numFmt numFmtId="217" formatCode="#\ ###\ ##0"/>
    <numFmt numFmtId="218" formatCode="_-* #,##0.00\ _F_-;\-* #,##0.00\ _F_-;_-* &quot;-&quot;??\ _F_-;_-@_-"/>
    <numFmt numFmtId="219" formatCode="0_)"/>
    <numFmt numFmtId="220" formatCode="_(&quot;L&quot;* #,##0.00_);_(&quot;L&quot;* \(#,##0.00\);_(&quot;L&quot;* &quot;-&quot;??_);_(@_)"/>
    <numFmt numFmtId="221" formatCode="#,##0.0_);[Red]\(#,##0.0\)"/>
    <numFmt numFmtId="222" formatCode="_ &quot;R&quot;\ * #,##0_ ;_ &quot;R&quot;\ * \-#,##0_ ;_ &quot;R&quot;\ * &quot;-&quot;_ ;_ @_ "/>
    <numFmt numFmtId="223" formatCode="_-* #,##0.0_-;\-* #,##0.0_-;_-* &quot;-&quot;??_-;_-@_-"/>
    <numFmt numFmtId="224" formatCode="&quot;$&quot;#,##0.00000"/>
    <numFmt numFmtId="225" formatCode="_-&quot;€&quot;\ * #,##0_-;\-&quot;€&quot;\ * #,##0_-;_-&quot;€&quot;\ * &quot;-&quot;_-;_-@_-"/>
    <numFmt numFmtId="226" formatCode="&quot;$&quot;#,##0.00;\-&quot;$&quot;#,##0.00"/>
    <numFmt numFmtId="227" formatCode="_-&quot;€&quot;\ * #,##0.00_-;\-&quot;€&quot;\ * #,##0.00_-;_-&quot;€&quot;\ * &quot;-&quot;??_-;_-@_-"/>
    <numFmt numFmtId="228" formatCode="0.000"/>
    <numFmt numFmtId="229" formatCode="_-* #,##0\ &quot;F&quot;_-;\-* #,##0\ &quot;F&quot;_-;_-* &quot;-&quot;\ &quot;F&quot;_-;_-@_-"/>
    <numFmt numFmtId="230" formatCode="#,###.00;#,###.00\-;.00"/>
    <numFmt numFmtId="231" formatCode="#,##0_);[Red]\(#,##0\);\ \ \ \ \ "/>
    <numFmt numFmtId="232" formatCode="0.0%_);[Red]\(0.0%\)"/>
    <numFmt numFmtId="233" formatCode="&quot;$&quot;#,##0_);&quot;$&quot;\(#,##0\);\-\ \-"/>
    <numFmt numFmtId="234" formatCode="_-&quot;$&quot;* #,##0_-;\-&quot;$&quot;* #,##0_-;_-&quot;$&quot;* &quot;-&quot;_-;_-@_-"/>
    <numFmt numFmtId="235" formatCode="&quot;$&quot;_#\,##0_);[Red]\(&quot;$&quot;#,##0\)"/>
    <numFmt numFmtId="236" formatCode="_ &quot;\&quot;* #,##0.00_ ;_ &quot;\&quot;* \-#,##0.00_ ;_ &quot;\&quot;* &quot;-&quot;??_ ;_ @_ "/>
    <numFmt numFmtId="237" formatCode="_ &quot;\&quot;* #,##0_ ;_ &quot;\&quot;* \-#,##0_ ;_ &quot;\&quot;* &quot;-&quot;_ ;_ @_ "/>
    <numFmt numFmtId="238" formatCode="_-* #,##0.00\ _€_-;\-* #,##0.00\ _€_-;_-* &quot;-&quot;??\ _€_-;_-@_-"/>
    <numFmt numFmtId="239" formatCode="&quot;RM&quot;#,##0_);\(&quot;RM&quot;#,##0\)"/>
    <numFmt numFmtId="240" formatCode="0.0000"/>
    <numFmt numFmtId="241" formatCode="#,##0.0000_);\(#,##0.0000\)"/>
    <numFmt numFmtId="242" formatCode="0.00%;[Red]&quot;△&quot;0.00%"/>
  </numFmts>
  <fonts count="13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8"/>
      <name val="宋体"/>
      <family val="3"/>
      <charset val="134"/>
    </font>
    <font>
      <b/>
      <sz val="8"/>
      <name val="Arial"/>
      <family val="2"/>
    </font>
    <font>
      <b/>
      <sz val="8"/>
      <color indexed="23"/>
      <name val="Arial"/>
      <family val="2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0000"/>
      <name val="Cambria"/>
      <family val="1"/>
    </font>
    <font>
      <b/>
      <sz val="18"/>
      <color rgb="FF000000"/>
      <name val="Cambria"/>
      <family val="1"/>
    </font>
    <font>
      <sz val="11"/>
      <name val="Calibri"/>
      <family val="2"/>
      <charset val="134"/>
      <scheme val="minor"/>
    </font>
    <font>
      <sz val="8"/>
      <name val="Calibri"/>
      <family val="2"/>
      <charset val="134"/>
      <scheme val="minor"/>
    </font>
    <font>
      <sz val="8"/>
      <name val="宋体"/>
      <family val="3"/>
      <charset val="134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name val="宋体"/>
      <family val="3"/>
      <charset val="134"/>
    </font>
    <font>
      <b/>
      <sz val="12"/>
      <name val="Arial"/>
      <family val="2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2"/>
      <name val="바탕체"/>
      <family val="3"/>
      <charset val="129"/>
    </font>
    <font>
      <sz val="12"/>
      <name val="바탕체"/>
      <family val="3"/>
    </font>
    <font>
      <sz val="10"/>
      <name val="Helv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b/>
      <sz val="10"/>
      <name val="MS Sans"/>
      <family val="2"/>
    </font>
    <font>
      <sz val="10"/>
      <name val="Arial"/>
      <family val="2"/>
      <charset val="177"/>
    </font>
    <font>
      <sz val="10"/>
      <color indexed="8"/>
      <name val="Sabo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Times New Roman"/>
      <family val="1"/>
    </font>
    <font>
      <sz val="8.5"/>
      <color indexed="32"/>
      <name val="MS Sans Serif"/>
      <family val="2"/>
    </font>
    <font>
      <sz val="10"/>
      <name val="Courier"/>
      <family val="3"/>
    </font>
    <font>
      <sz val="8"/>
      <color indexed="12"/>
      <name val="Arial"/>
      <family val="2"/>
    </font>
    <font>
      <i/>
      <sz val="8"/>
      <color indexed="16"/>
      <name val="Arial"/>
      <family val="2"/>
    </font>
    <font>
      <i/>
      <sz val="8"/>
      <color indexed="54"/>
      <name val="Arial"/>
      <family val="2"/>
    </font>
    <font>
      <i/>
      <sz val="9"/>
      <color indexed="1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name val="Times New Roman CE"/>
      <family val="1"/>
      <charset val="238"/>
    </font>
    <font>
      <sz val="11"/>
      <name val="μ¸¿o"/>
      <family val="3"/>
      <charset val="129"/>
    </font>
    <font>
      <sz val="9"/>
      <name val="AGaramond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2"/>
      <name val="Tms Rmn"/>
      <family val="1"/>
    </font>
    <font>
      <sz val="8"/>
      <name val="Verdana"/>
      <family val="2"/>
    </font>
    <font>
      <b/>
      <sz val="10"/>
      <name val="MS Sans Serif"/>
      <family val="2"/>
    </font>
    <font>
      <sz val="12"/>
      <color indexed="32"/>
      <name val="MIN 훈민08체"/>
      <family val="3"/>
      <charset val="129"/>
    </font>
    <font>
      <sz val="12"/>
      <color indexed="32"/>
      <name val="MIN 훈민08체"/>
      <family val="3"/>
      <charset val="255"/>
    </font>
    <font>
      <sz val="8"/>
      <name val="Book Antiqua"/>
      <family val="1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1"/>
      <color indexed="52"/>
      <name val="Calibri"/>
      <family val="2"/>
    </font>
    <font>
      <sz val="8.5"/>
      <color indexed="32"/>
      <name val="Book Antiqua"/>
      <family val="1"/>
    </font>
    <font>
      <b/>
      <u/>
      <sz val="9"/>
      <name val="Times New Roman CE"/>
      <family val="1"/>
      <charset val="238"/>
    </font>
    <font>
      <sz val="12"/>
      <name val="Helv"/>
      <family val="2"/>
    </font>
    <font>
      <sz val="9"/>
      <color theme="1"/>
      <name val="Arial"/>
      <family val="2"/>
      <charset val="134"/>
    </font>
    <font>
      <sz val="10"/>
      <name val="MS Serif"/>
      <family val="1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14"/>
      <name val="MS Sans Serif"/>
      <family val="2"/>
    </font>
    <font>
      <sz val="11"/>
      <color indexed="62"/>
      <name val="Calibri"/>
      <family val="2"/>
    </font>
    <font>
      <sz val="8.5"/>
      <color indexed="13"/>
      <name val="MS Sans Serif"/>
      <family val="2"/>
    </font>
    <font>
      <sz val="8.5"/>
      <color indexed="61"/>
      <name val="MS Sans Serif"/>
      <family val="2"/>
    </font>
    <font>
      <b/>
      <sz val="12"/>
      <name val="Times New Roman"/>
      <family val="1"/>
    </font>
    <font>
      <b/>
      <sz val="8"/>
      <color indexed="8"/>
      <name val="Arial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11"/>
      <color indexed="20"/>
      <name val="Calibri"/>
      <family val="2"/>
    </font>
    <font>
      <sz val="10"/>
      <name val="Times New Roman"/>
      <family val="1"/>
    </font>
    <font>
      <u/>
      <sz val="11"/>
      <color indexed="36"/>
      <name val="ＭＳ Ｐゴシック"/>
      <family val="2"/>
      <charset val="128"/>
    </font>
    <font>
      <u/>
      <sz val="10"/>
      <color indexed="12"/>
      <name val="Arial"/>
      <family val="2"/>
    </font>
    <font>
      <sz val="12"/>
      <color indexed="9"/>
      <name val="Helv"/>
      <family val="2"/>
    </font>
    <font>
      <b/>
      <sz val="11"/>
      <name val="Helv"/>
      <family val="2"/>
    </font>
    <font>
      <sz val="9"/>
      <color indexed="63"/>
      <name val="Wide Latin"/>
      <family val="1"/>
    </font>
    <font>
      <sz val="8"/>
      <name val="Palatino"/>
      <family val="1"/>
    </font>
    <font>
      <sz val="11"/>
      <color indexed="60"/>
      <name val="Calibri"/>
      <family val="2"/>
    </font>
    <font>
      <sz val="7"/>
      <name val="Helv"/>
      <family val="2"/>
    </font>
    <font>
      <b/>
      <sz val="8"/>
      <color indexed="23"/>
      <name val="Verdana"/>
      <family val="2"/>
    </font>
    <font>
      <b/>
      <i/>
      <sz val="16"/>
      <name val="Helv"/>
      <family val="2"/>
    </font>
    <font>
      <sz val="12"/>
      <name val="宋体"/>
      <family val="3"/>
      <charset val="134"/>
    </font>
    <font>
      <sz val="12"/>
      <name val="宋体"/>
      <charset val="134"/>
    </font>
    <font>
      <sz val="6"/>
      <color indexed="32"/>
      <name val="Arial"/>
      <family val="2"/>
    </font>
    <font>
      <b/>
      <sz val="26"/>
      <name val="Times New Roman"/>
      <family val="1"/>
    </font>
    <font>
      <b/>
      <sz val="18"/>
      <name val="Times New Roman"/>
      <family val="1"/>
    </font>
    <font>
      <sz val="12"/>
      <color indexed="8"/>
      <name val="Times New Roman"/>
      <family val="1"/>
    </font>
    <font>
      <sz val="10"/>
      <name val="Tms Rmn"/>
      <family val="1"/>
    </font>
    <font>
      <sz val="10"/>
      <color indexed="8"/>
      <name val="MS Sans Serif"/>
      <family val="2"/>
    </font>
    <font>
      <sz val="16"/>
      <color indexed="9"/>
      <name val="Tahoma"/>
      <family val="2"/>
    </font>
    <font>
      <sz val="12"/>
      <color indexed="32"/>
      <name val="모음디"/>
      <family val="1"/>
      <charset val="129"/>
    </font>
    <font>
      <sz val="12"/>
      <color indexed="32"/>
      <name val="모음디"/>
      <family val="1"/>
      <charset val="255"/>
    </font>
    <font>
      <sz val="8"/>
      <name val="Wingdings"/>
      <charset val="2"/>
    </font>
    <font>
      <sz val="8"/>
      <name val="Helv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2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sz val="8"/>
      <name val="MS Sans Serif"/>
      <family val="2"/>
    </font>
    <font>
      <b/>
      <i/>
      <sz val="14"/>
      <name val="Arial"/>
      <family val="2"/>
    </font>
    <font>
      <b/>
      <sz val="8"/>
      <color indexed="8"/>
      <name val="Helv"/>
      <family val="2"/>
    </font>
    <font>
      <sz val="7"/>
      <name val="Times New Roman"/>
      <family val="1"/>
    </font>
    <font>
      <i/>
      <sz val="11"/>
      <color indexed="23"/>
      <name val="Calibri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2"/>
      <color indexed="9"/>
      <name val="MS Sans Serif"/>
      <family val="2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name val="ＭＳ Ｐゴシック"/>
      <family val="2"/>
    </font>
    <font>
      <u/>
      <sz val="9"/>
      <color indexed="12"/>
      <name val="Arial"/>
      <family val="2"/>
    </font>
    <font>
      <i/>
      <sz val="16"/>
      <color indexed="12"/>
      <name val="Times New Roman"/>
      <family val="1"/>
    </font>
    <font>
      <u/>
      <sz val="9"/>
      <color indexed="36"/>
      <name val="Arial"/>
      <family val="2"/>
    </font>
    <font>
      <b/>
      <sz val="14"/>
      <name val="ＭＳ Ｐゴシック"/>
      <family val="2"/>
      <charset val="128"/>
    </font>
    <font>
      <u/>
      <sz val="9.35"/>
      <color indexed="36"/>
      <name val="돋움"/>
      <family val="2"/>
      <charset val="129"/>
    </font>
    <font>
      <sz val="14"/>
      <name val="DUTCH"/>
      <family val="1"/>
    </font>
    <font>
      <sz val="11"/>
      <name val="柧挬"/>
      <family val="2"/>
    </font>
    <font>
      <sz val="11"/>
      <name val="ＭＳ 明朝"/>
      <family val="3"/>
      <charset val="128"/>
    </font>
    <font>
      <sz val="12"/>
      <name val="뼻뮝"/>
      <family val="1"/>
      <charset val="129"/>
    </font>
    <font>
      <sz val="11"/>
      <name val="돋움"/>
      <family val="2"/>
    </font>
    <font>
      <sz val="11"/>
      <name val="돋움"/>
      <family val="2"/>
      <charset val="129"/>
    </font>
    <font>
      <b/>
      <sz val="26"/>
      <color theme="1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lightUp">
        <fgColor indexed="9"/>
        <bgColor theme="0"/>
      </patternFill>
    </fill>
    <fill>
      <patternFill patternType="lightUp">
        <fgColor indexed="9"/>
        <bgColor indexed="42"/>
      </patternFill>
    </fill>
    <fill>
      <patternFill patternType="lightUp">
        <fgColor indexed="9"/>
        <bgColor rgb="FFFFFF00"/>
      </patternFill>
    </fill>
    <fill>
      <patternFill patternType="solid">
        <fgColor indexed="31"/>
        <bgColor indexed="64"/>
      </patternFill>
    </fill>
    <fill>
      <patternFill patternType="lightUp">
        <fgColor indexed="10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gray0625">
        <fgColor indexed="15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0"/>
        <bgColor indexed="64"/>
      </patternFill>
    </fill>
    <fill>
      <patternFill patternType="solid">
        <fgColor indexed="13"/>
      </patternFill>
    </fill>
    <fill>
      <patternFill patternType="solid">
        <fgColor indexed="10"/>
        <bgColor indexed="64"/>
      </patternFill>
    </fill>
    <fill>
      <patternFill patternType="solid">
        <fgColor indexed="17"/>
        <bgColor indexed="64"/>
      </patternFill>
    </fill>
    <fill>
      <patternFill patternType="mediumGray">
        <bgColor indexed="62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5"/>
        <bgColor indexed="64"/>
      </patternFill>
    </fill>
    <fill>
      <patternFill patternType="solid">
        <fgColor indexed="43"/>
      </patternFill>
    </fill>
    <fill>
      <patternFill patternType="solid">
        <fgColor indexed="65"/>
        <bgColor indexed="64"/>
      </patternFill>
    </fill>
    <fill>
      <patternFill patternType="gray0625">
        <fgColor indexed="13"/>
      </patternFill>
    </fill>
    <fill>
      <patternFill patternType="solid">
        <fgColor indexed="11"/>
        <bgColor indexed="64"/>
      </patternFill>
    </fill>
    <fill>
      <patternFill patternType="darkVertical"/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</patternFill>
    </fill>
    <fill>
      <patternFill patternType="solid">
        <fgColor indexed="41"/>
      </patternFill>
    </fill>
    <fill>
      <patternFill patternType="solid">
        <fgColor indexed="6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55"/>
      </patternFill>
    </fill>
  </fills>
  <borders count="54">
    <border>
      <left/>
      <right/>
      <top/>
      <bottom/>
      <diagonal/>
    </border>
    <border>
      <left style="thin">
        <color indexed="64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hair">
        <color indexed="55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55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double">
        <color rgb="FF0070C0"/>
      </left>
      <right/>
      <top style="thin">
        <color indexed="64"/>
      </top>
      <bottom style="thin">
        <color indexed="64"/>
      </bottom>
      <diagonal/>
    </border>
    <border>
      <left style="double">
        <color rgb="FF0070C0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 style="double">
        <color rgb="FF0070C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37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32"/>
      </left>
      <right/>
      <top/>
      <bottom/>
      <diagonal/>
    </border>
    <border>
      <left style="double">
        <color indexed="17"/>
      </left>
      <right/>
      <top style="double">
        <color indexed="17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32"/>
      </left>
      <right/>
      <top style="thin">
        <color indexed="32"/>
      </top>
      <bottom style="thin">
        <color indexed="3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603">
    <xf numFmtId="0" fontId="0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4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/>
    <xf numFmtId="0" fontId="28" fillId="0" borderId="0"/>
    <xf numFmtId="0" fontId="29" fillId="0" borderId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175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30" fillId="0" borderId="0"/>
    <xf numFmtId="0" fontId="31" fillId="0" borderId="0" applyNumberFormat="0" applyFill="0" applyBorder="0" applyAlignment="0" applyProtection="0"/>
    <xf numFmtId="0" fontId="14" fillId="0" borderId="0"/>
    <xf numFmtId="0" fontId="14" fillId="0" borderId="0"/>
    <xf numFmtId="0" fontId="30" fillId="0" borderId="0"/>
    <xf numFmtId="0" fontId="14" fillId="0" borderId="0"/>
    <xf numFmtId="0" fontId="32" fillId="0" borderId="0">
      <alignment vertical="top"/>
    </xf>
    <xf numFmtId="0" fontId="30" fillId="0" borderId="0"/>
    <xf numFmtId="0" fontId="31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3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14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14" fillId="0" borderId="0"/>
    <xf numFmtId="0" fontId="30" fillId="0" borderId="0"/>
    <xf numFmtId="0" fontId="30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32" fillId="0" borderId="0">
      <alignment vertical="top"/>
    </xf>
    <xf numFmtId="0" fontId="30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31" fillId="0" borderId="0" applyNumberFormat="0" applyFill="0" applyBorder="0" applyAlignment="0" applyProtection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3" fillId="0" borderId="0" applyNumberFormat="0" applyFill="0" applyBorder="0" applyAlignment="0" applyProtection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31" fillId="0" borderId="0"/>
    <xf numFmtId="0" fontId="30" fillId="0" borderId="0"/>
    <xf numFmtId="0" fontId="30" fillId="0" borderId="0"/>
    <xf numFmtId="0" fontId="14" fillId="0" borderId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 applyNumberFormat="0" applyFill="0" applyBorder="0" applyAlignment="0" applyProtection="0"/>
    <xf numFmtId="0" fontId="30" fillId="0" borderId="0"/>
    <xf numFmtId="0" fontId="30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2" fillId="0" borderId="0">
      <alignment vertical="top"/>
    </xf>
    <xf numFmtId="0" fontId="32" fillId="0" borderId="0">
      <alignment vertical="top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 applyNumberFormat="0" applyFill="0" applyBorder="0" applyAlignment="0" applyProtection="0"/>
    <xf numFmtId="0" fontId="14" fillId="0" borderId="0"/>
    <xf numFmtId="0" fontId="31" fillId="0" borderId="0"/>
    <xf numFmtId="0" fontId="31" fillId="0" borderId="0"/>
    <xf numFmtId="0" fontId="14" fillId="0" borderId="0"/>
    <xf numFmtId="0" fontId="33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14" fillId="0" borderId="0"/>
    <xf numFmtId="0" fontId="14" fillId="0" borderId="0"/>
    <xf numFmtId="0" fontId="30" fillId="0" borderId="0"/>
    <xf numFmtId="0" fontId="14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14" fillId="0" borderId="0"/>
    <xf numFmtId="0" fontId="31" fillId="0" borderId="0"/>
    <xf numFmtId="0" fontId="14" fillId="0" borderId="0"/>
    <xf numFmtId="0" fontId="30" fillId="0" borderId="0"/>
    <xf numFmtId="0" fontId="30" fillId="0" borderId="0"/>
    <xf numFmtId="0" fontId="30" fillId="0" borderId="0"/>
    <xf numFmtId="0" fontId="14" fillId="0" borderId="0" applyNumberFormat="0" applyFill="0" applyBorder="0" applyAlignment="0" applyProtection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0" fillId="0" borderId="0"/>
    <xf numFmtId="0" fontId="14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31" fillId="0" borderId="0" applyNumberFormat="0" applyFill="0" applyBorder="0" applyAlignment="0" applyProtection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30" fillId="0" borderId="0"/>
    <xf numFmtId="0" fontId="3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1" fillId="0" borderId="0"/>
    <xf numFmtId="0" fontId="14" fillId="0" borderId="0"/>
    <xf numFmtId="0" fontId="30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/>
    <xf numFmtId="0" fontId="14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30" fillId="0" borderId="0"/>
    <xf numFmtId="0" fontId="14" fillId="0" borderId="0"/>
    <xf numFmtId="0" fontId="14" fillId="0" borderId="0"/>
    <xf numFmtId="0" fontId="31" fillId="0" borderId="0"/>
    <xf numFmtId="0" fontId="31" fillId="0" borderId="0"/>
    <xf numFmtId="0" fontId="3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1" fillId="0" borderId="0"/>
    <xf numFmtId="0" fontId="14" fillId="0" borderId="0"/>
    <xf numFmtId="0" fontId="34" fillId="0" borderId="0"/>
    <xf numFmtId="0" fontId="14" fillId="0" borderId="0"/>
    <xf numFmtId="0" fontId="35" fillId="0" borderId="0">
      <alignment horizontal="left"/>
    </xf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5" fillId="0" borderId="0">
      <alignment horizontal="left"/>
    </xf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19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176" fontId="26" fillId="12" borderId="0" applyFont="0" applyBorder="0"/>
    <xf numFmtId="0" fontId="38" fillId="30" borderId="0"/>
    <xf numFmtId="177" fontId="39" fillId="31" borderId="0" applyNumberFormat="0" applyFont="0" applyBorder="0" applyAlignment="0" applyProtection="0">
      <alignment vertical="center"/>
    </xf>
    <xf numFmtId="176" fontId="26" fillId="32" borderId="0" applyNumberFormat="0" applyFont="0" applyBorder="0" applyAlignment="0" applyProtection="0"/>
    <xf numFmtId="176" fontId="40" fillId="33" borderId="0" applyNumberFormat="0" applyFont="0" applyBorder="0" applyAlignment="0" applyProtection="0"/>
    <xf numFmtId="176" fontId="6" fillId="6" borderId="0" applyBorder="0"/>
    <xf numFmtId="176" fontId="14" fillId="0" borderId="28" applyNumberFormat="0" applyBorder="0" applyAlignment="0" applyProtection="0"/>
    <xf numFmtId="178" fontId="41" fillId="0" borderId="0" applyBorder="0">
      <alignment horizontal="right"/>
    </xf>
    <xf numFmtId="178" fontId="6" fillId="0" borderId="28" applyBorder="0">
      <alignment horizontal="right"/>
    </xf>
    <xf numFmtId="176" fontId="14" fillId="0" borderId="28" applyNumberFormat="0" applyBorder="0" applyAlignment="0" applyProtection="0"/>
    <xf numFmtId="176" fontId="14" fillId="0" borderId="28" applyNumberFormat="0" applyBorder="0" applyAlignment="0" applyProtection="0"/>
    <xf numFmtId="176" fontId="14" fillId="0" borderId="28" applyNumberFormat="0" applyBorder="0" applyAlignment="0" applyProtection="0"/>
    <xf numFmtId="176" fontId="14" fillId="0" borderId="28" applyNumberFormat="0" applyBorder="0" applyAlignment="0" applyProtection="0"/>
    <xf numFmtId="176" fontId="14" fillId="0" borderId="28" applyNumberFormat="0" applyBorder="0" applyAlignment="0" applyProtection="0"/>
    <xf numFmtId="168" fontId="42" fillId="0" borderId="0" applyBorder="0">
      <alignment horizontal="right"/>
    </xf>
    <xf numFmtId="168" fontId="43" fillId="0" borderId="28" applyBorder="0">
      <alignment horizontal="right"/>
    </xf>
    <xf numFmtId="176" fontId="44" fillId="0" borderId="0">
      <alignment horizontal="left" indent="1"/>
    </xf>
    <xf numFmtId="176" fontId="27" fillId="0" borderId="21" applyBorder="0"/>
    <xf numFmtId="176" fontId="26" fillId="34" borderId="28" applyNumberFormat="0" applyFont="0" applyBorder="0" applyAlignment="0" applyProtection="0"/>
    <xf numFmtId="178" fontId="45" fillId="35" borderId="21" applyBorder="0">
      <alignment horizontal="right"/>
    </xf>
    <xf numFmtId="178" fontId="45" fillId="0" borderId="21" applyBorder="0">
      <alignment horizontal="right"/>
    </xf>
    <xf numFmtId="176" fontId="46" fillId="0" borderId="28" applyNumberFormat="0" applyBorder="0" applyAlignment="0" applyProtection="0"/>
    <xf numFmtId="0" fontId="45" fillId="12" borderId="29" applyBorder="0">
      <alignment horizontal="center"/>
    </xf>
    <xf numFmtId="179" fontId="14" fillId="36" borderId="30">
      <alignment horizontal="center" vertical="center"/>
    </xf>
    <xf numFmtId="2" fontId="47" fillId="2" borderId="26" applyBorder="0">
      <alignment horizontal="center" vertical="center"/>
      <protection locked="0"/>
    </xf>
    <xf numFmtId="0" fontId="14" fillId="0" borderId="0" applyNumberFormat="0" applyFont="0" applyFill="0" applyBorder="0" applyAlignment="0">
      <protection locked="0"/>
    </xf>
    <xf numFmtId="180" fontId="48" fillId="0" borderId="0" applyFont="0" applyFill="0" applyBorder="0" applyAlignment="0" applyProtection="0"/>
    <xf numFmtId="181" fontId="48" fillId="0" borderId="0" applyFont="0" applyFill="0" applyBorder="0" applyAlignment="0" applyProtection="0"/>
    <xf numFmtId="0" fontId="49" fillId="0" borderId="0"/>
    <xf numFmtId="0" fontId="47" fillId="1" borderId="26" applyFill="0" applyProtection="0">
      <alignment horizontal="left" vertical="center"/>
    </xf>
    <xf numFmtId="0" fontId="47" fillId="1" borderId="0">
      <alignment horizontal="left" vertical="center"/>
    </xf>
    <xf numFmtId="0" fontId="50" fillId="0" borderId="0">
      <alignment horizontal="center" wrapText="1"/>
      <protection locked="0"/>
    </xf>
    <xf numFmtId="182" fontId="48" fillId="0" borderId="0" applyFont="0" applyFill="0" applyBorder="0" applyAlignment="0" applyProtection="0"/>
    <xf numFmtId="183" fontId="48" fillId="0" borderId="0" applyFont="0" applyFill="0" applyBorder="0" applyAlignment="0" applyProtection="0"/>
    <xf numFmtId="0" fontId="51" fillId="0" borderId="0" applyNumberFormat="0" applyFill="0" applyBorder="0" applyAlignment="0" applyProtection="0"/>
    <xf numFmtId="184" fontId="6" fillId="0" borderId="0"/>
    <xf numFmtId="0" fontId="52" fillId="0" borderId="0" applyNumberFormat="0" applyFill="0" applyBorder="0" applyAlignment="0" applyProtection="0"/>
    <xf numFmtId="0" fontId="53" fillId="37" borderId="0" applyBorder="0">
      <alignment horizontal="left" vertical="center" indent="1"/>
    </xf>
    <xf numFmtId="172" fontId="54" fillId="0" borderId="21" applyAlignment="0" applyProtection="0"/>
    <xf numFmtId="0" fontId="50" fillId="0" borderId="31" applyNumberFormat="0" applyFont="0" applyFill="0" applyAlignment="0" applyProtection="0"/>
    <xf numFmtId="0" fontId="50" fillId="0" borderId="32" applyNumberFormat="0" applyFont="0" applyFill="0" applyAlignment="0" applyProtection="0"/>
    <xf numFmtId="0" fontId="55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55" fillId="38" borderId="23">
      <alignment horizontal="center" vertical="center"/>
    </xf>
    <xf numFmtId="0" fontId="55" fillId="38" borderId="23">
      <alignment horizontal="center" vertical="center"/>
    </xf>
    <xf numFmtId="0" fontId="55" fillId="38" borderId="23">
      <alignment horizontal="center" vertical="center"/>
    </xf>
    <xf numFmtId="0" fontId="55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55" fillId="38" borderId="23">
      <alignment horizontal="center" vertical="center"/>
    </xf>
    <xf numFmtId="0" fontId="55" fillId="38" borderId="23">
      <alignment horizontal="center" vertical="center"/>
    </xf>
    <xf numFmtId="0" fontId="55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56" fillId="38" borderId="23">
      <alignment horizontal="center" vertical="center"/>
    </xf>
    <xf numFmtId="0" fontId="48" fillId="0" borderId="0"/>
    <xf numFmtId="0" fontId="30" fillId="0" borderId="0" applyFill="0" applyBorder="0" applyAlignment="0"/>
    <xf numFmtId="176" fontId="30" fillId="0" borderId="0" applyFill="0" applyBorder="0" applyAlignment="0"/>
    <xf numFmtId="185" fontId="30" fillId="0" borderId="0" applyFill="0" applyBorder="0" applyAlignment="0"/>
    <xf numFmtId="186" fontId="57" fillId="0" borderId="0" applyFill="0" applyBorder="0" applyAlignment="0"/>
    <xf numFmtId="187" fontId="57" fillId="0" borderId="0" applyFill="0" applyBorder="0" applyAlignment="0"/>
    <xf numFmtId="188" fontId="30" fillId="0" borderId="0" applyFill="0" applyBorder="0" applyAlignment="0"/>
    <xf numFmtId="189" fontId="30" fillId="0" borderId="0" applyFill="0" applyBorder="0" applyAlignment="0"/>
    <xf numFmtId="176" fontId="30" fillId="0" borderId="0" applyFill="0" applyBorder="0" applyAlignment="0"/>
    <xf numFmtId="0" fontId="58" fillId="39" borderId="33" applyNumberFormat="0" applyAlignment="0" applyProtection="0"/>
    <xf numFmtId="0" fontId="59" fillId="0" borderId="0"/>
    <xf numFmtId="0" fontId="60" fillId="0" borderId="34" applyNumberFormat="0" applyFill="0" applyAlignment="0" applyProtection="0"/>
    <xf numFmtId="177" fontId="61" fillId="0" borderId="23" applyBorder="0" applyAlignment="0">
      <alignment horizontal="left"/>
    </xf>
    <xf numFmtId="49" fontId="62" fillId="1" borderId="0" applyFill="0" applyBorder="0">
      <alignment horizontal="left" vertical="center"/>
    </xf>
    <xf numFmtId="190" fontId="63" fillId="0" borderId="0"/>
    <xf numFmtId="190" fontId="63" fillId="0" borderId="0"/>
    <xf numFmtId="190" fontId="63" fillId="0" borderId="0"/>
    <xf numFmtId="190" fontId="63" fillId="0" borderId="0"/>
    <xf numFmtId="190" fontId="63" fillId="0" borderId="0"/>
    <xf numFmtId="190" fontId="63" fillId="0" borderId="0"/>
    <xf numFmtId="190" fontId="63" fillId="0" borderId="0"/>
    <xf numFmtId="190" fontId="63" fillId="0" borderId="0"/>
    <xf numFmtId="188" fontId="30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191" fontId="14" fillId="0" borderId="0"/>
    <xf numFmtId="3" fontId="14" fillId="0" borderId="0" applyFont="0" applyFill="0" applyBorder="0" applyAlignment="0" applyProtection="0"/>
    <xf numFmtId="0" fontId="14" fillId="40" borderId="35" applyNumberFormat="0" applyFont="0" applyAlignment="0" applyProtection="0"/>
    <xf numFmtId="0" fontId="65" fillId="0" borderId="0" applyNumberFormat="0" applyAlignment="0">
      <alignment horizontal="left"/>
    </xf>
    <xf numFmtId="0" fontId="40" fillId="0" borderId="0" applyNumberFormat="0" applyAlignment="0"/>
    <xf numFmtId="192" fontId="14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30" fillId="0" borderId="36"/>
    <xf numFmtId="176" fontId="30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/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195" fontId="14" fillId="0" borderId="0" applyFont="0" applyFill="0" applyBorder="0" applyAlignment="0" applyProtection="0"/>
    <xf numFmtId="0" fontId="40" fillId="0" borderId="0" applyFont="0" applyFill="0" applyBorder="0" applyAlignment="0" applyProtection="0"/>
    <xf numFmtId="196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40" fillId="0" borderId="0" applyFont="0" applyFill="0" applyBorder="0" applyAlignment="0" applyProtection="0"/>
    <xf numFmtId="0" fontId="14" fillId="0" borderId="0" applyFont="0" applyFill="0" applyBorder="0" applyAlignment="0" applyProtection="0"/>
    <xf numFmtId="14" fontId="32" fillId="0" borderId="0" applyFill="0" applyBorder="0" applyAlignment="0"/>
    <xf numFmtId="15" fontId="66" fillId="0" borderId="0"/>
    <xf numFmtId="38" fontId="66" fillId="0" borderId="37">
      <alignment vertical="center"/>
    </xf>
    <xf numFmtId="198" fontId="6" fillId="0" borderId="0"/>
    <xf numFmtId="199" fontId="14" fillId="0" borderId="0"/>
    <xf numFmtId="177" fontId="39" fillId="41" borderId="38" applyNumberFormat="0" applyFont="0" applyFill="0" applyAlignment="0" applyProtection="0">
      <alignment vertical="center"/>
    </xf>
    <xf numFmtId="177" fontId="39" fillId="0" borderId="39" applyBorder="0" applyAlignment="0" applyProtection="0"/>
    <xf numFmtId="177" fontId="39" fillId="0" borderId="0" applyNumberFormat="0" applyFont="0" applyBorder="0" applyAlignment="0" applyProtection="0">
      <alignment vertical="center"/>
    </xf>
    <xf numFmtId="188" fontId="30" fillId="0" borderId="0" applyFill="0" applyBorder="0" applyAlignment="0"/>
    <xf numFmtId="176" fontId="30" fillId="0" borderId="0" applyFill="0" applyBorder="0" applyAlignment="0"/>
    <xf numFmtId="188" fontId="30" fillId="0" borderId="0" applyFill="0" applyBorder="0" applyAlignment="0"/>
    <xf numFmtId="189" fontId="30" fillId="0" borderId="0" applyFill="0" applyBorder="0" applyAlignment="0"/>
    <xf numFmtId="176" fontId="30" fillId="0" borderId="0" applyFill="0" applyBorder="0" applyAlignment="0"/>
    <xf numFmtId="0" fontId="67" fillId="0" borderId="0" applyNumberFormat="0" applyAlignment="0">
      <alignment horizontal="left"/>
    </xf>
    <xf numFmtId="3" fontId="68" fillId="42" borderId="0" applyNumberFormat="0" applyFont="0" applyBorder="0" applyAlignment="0">
      <alignment horizontal="left"/>
      <protection locked="0"/>
    </xf>
    <xf numFmtId="0" fontId="69" fillId="21" borderId="33" applyNumberFormat="0" applyAlignment="0" applyProtection="0"/>
    <xf numFmtId="177" fontId="70" fillId="43" borderId="0" applyNumberFormat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6" fillId="0" borderId="0"/>
    <xf numFmtId="2" fontId="14" fillId="0" borderId="0" applyFont="0" applyFill="0" applyBorder="0" applyAlignment="0" applyProtection="0"/>
    <xf numFmtId="0" fontId="63" fillId="0" borderId="0"/>
    <xf numFmtId="177" fontId="39" fillId="44" borderId="0" applyNumberFormat="0" applyFont="0" applyBorder="0" applyAlignment="0" applyProtection="0">
      <alignment vertical="center"/>
    </xf>
    <xf numFmtId="178" fontId="14" fillId="0" borderId="0" applyNumberFormat="0" applyFill="0" applyBorder="0" applyAlignment="0" applyProtection="0"/>
    <xf numFmtId="0" fontId="14" fillId="0" borderId="26" applyProtection="0">
      <alignment horizontal="center"/>
    </xf>
    <xf numFmtId="0" fontId="14" fillId="0" borderId="0"/>
    <xf numFmtId="0" fontId="14" fillId="0" borderId="0"/>
    <xf numFmtId="38" fontId="6" fillId="12" borderId="0" applyNumberFormat="0" applyBorder="0" applyAlignment="0" applyProtection="0"/>
    <xf numFmtId="177" fontId="71" fillId="45" borderId="0" applyBorder="0" applyAlignment="0">
      <alignment vertical="center"/>
    </xf>
    <xf numFmtId="0" fontId="14" fillId="0" borderId="0">
      <alignment vertical="center"/>
    </xf>
    <xf numFmtId="0" fontId="72" fillId="0" borderId="0" applyAlignment="0" applyProtection="0"/>
    <xf numFmtId="0" fontId="14" fillId="0" borderId="0" applyAlignment="0" applyProtection="0"/>
    <xf numFmtId="0" fontId="14" fillId="0" borderId="0" applyAlignment="0" applyProtection="0"/>
    <xf numFmtId="0" fontId="73" fillId="0" borderId="0" applyFill="0" applyBorder="0" applyProtection="0">
      <alignment horizontal="right"/>
    </xf>
    <xf numFmtId="0" fontId="21" fillId="0" borderId="40" applyNumberFormat="0" applyAlignment="0" applyProtection="0">
      <alignment horizontal="left" vertical="center"/>
    </xf>
    <xf numFmtId="0" fontId="21" fillId="0" borderId="41">
      <alignment horizontal="left" vertical="center"/>
    </xf>
    <xf numFmtId="0" fontId="14" fillId="0" borderId="0">
      <alignment horizontal="left"/>
    </xf>
    <xf numFmtId="178" fontId="14" fillId="0" borderId="0" applyNumberFormat="0" applyFill="0" applyBorder="0" applyAlignment="0" applyProtection="0"/>
    <xf numFmtId="178" fontId="73" fillId="0" borderId="0" applyNumberFormat="0" applyFill="0" applyBorder="0" applyAlignment="0" applyProtection="0"/>
    <xf numFmtId="0" fontId="74" fillId="0" borderId="31">
      <alignment horizontal="center"/>
    </xf>
    <xf numFmtId="0" fontId="74" fillId="0" borderId="0">
      <alignment horizontal="center"/>
    </xf>
    <xf numFmtId="0" fontId="75" fillId="0" borderId="42" applyNumberFormat="0" applyFill="0" applyAlignment="0" applyProtection="0"/>
    <xf numFmtId="10" fontId="6" fillId="46" borderId="5" applyNumberFormat="0" applyBorder="0" applyAlignment="0" applyProtection="0"/>
    <xf numFmtId="176" fontId="63" fillId="47" borderId="0"/>
    <xf numFmtId="0" fontId="76" fillId="17" borderId="0" applyNumberFormat="0" applyBorder="0" applyAlignment="0" applyProtection="0"/>
    <xf numFmtId="14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0" fontId="14" fillId="0" borderId="0"/>
    <xf numFmtId="0" fontId="77" fillId="0" borderId="0" applyNumberFormat="0" applyFont="0" applyFill="0" applyBorder="0" applyProtection="0">
      <alignment horizontal="left" vertical="center"/>
    </xf>
    <xf numFmtId="0" fontId="78" fillId="0" borderId="0" applyNumberFormat="0" applyFill="0" applyBorder="0" applyAlignment="0" applyProtection="0">
      <alignment vertical="top"/>
      <protection locked="0"/>
    </xf>
    <xf numFmtId="0" fontId="79" fillId="0" borderId="0" applyNumberFormat="0" applyFill="0" applyBorder="0" applyAlignment="0" applyProtection="0">
      <alignment vertical="top"/>
      <protection locked="0"/>
    </xf>
    <xf numFmtId="188" fontId="30" fillId="0" borderId="0" applyFill="0" applyBorder="0" applyAlignment="0"/>
    <xf numFmtId="176" fontId="30" fillId="0" borderId="0" applyFill="0" applyBorder="0" applyAlignment="0"/>
    <xf numFmtId="188" fontId="30" fillId="0" borderId="0" applyFill="0" applyBorder="0" applyAlignment="0"/>
    <xf numFmtId="189" fontId="30" fillId="0" borderId="0" applyFill="0" applyBorder="0" applyAlignment="0"/>
    <xf numFmtId="176" fontId="30" fillId="0" borderId="0" applyFill="0" applyBorder="0" applyAlignment="0"/>
    <xf numFmtId="176" fontId="80" fillId="48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4" fontId="6" fillId="0" borderId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38" fontId="66" fillId="0" borderId="0" applyFont="0" applyFill="0" applyBorder="0" applyAlignment="0" applyProtection="0"/>
    <xf numFmtId="40" fontId="66" fillId="0" borderId="0" applyFont="0" applyFill="0" applyBorder="0" applyAlignment="0" applyProtection="0"/>
    <xf numFmtId="0" fontId="81" fillId="0" borderId="31"/>
    <xf numFmtId="177" fontId="39" fillId="49" borderId="43" applyNumberFormat="0" applyFont="0" applyBorder="0" applyAlignment="0">
      <alignment vertical="center"/>
    </xf>
    <xf numFmtId="177" fontId="82" fillId="12" borderId="0">
      <alignment horizontal="centerContinuous"/>
    </xf>
    <xf numFmtId="204" fontId="66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77" fillId="0" borderId="0" applyFont="0" applyFill="0" applyBorder="0" applyAlignment="0" applyProtection="0"/>
    <xf numFmtId="0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210" fontId="83" fillId="0" borderId="0" applyFont="0" applyFill="0" applyBorder="0" applyProtection="0">
      <alignment horizontal="right"/>
    </xf>
    <xf numFmtId="0" fontId="84" fillId="50" borderId="0" applyNumberFormat="0" applyBorder="0" applyAlignment="0" applyProtection="0"/>
    <xf numFmtId="0" fontId="25" fillId="0" borderId="40" applyNumberFormat="0" applyProtection="0"/>
    <xf numFmtId="0" fontId="77" fillId="0" borderId="0"/>
    <xf numFmtId="0" fontId="85" fillId="0" borderId="0"/>
    <xf numFmtId="0" fontId="25" fillId="0" borderId="40" applyFont="0" applyBorder="0"/>
    <xf numFmtId="37" fontId="14" fillId="0" borderId="0"/>
    <xf numFmtId="177" fontId="39" fillId="12" borderId="0" applyBorder="0" applyAlignment="0">
      <alignment vertical="center"/>
    </xf>
    <xf numFmtId="0" fontId="86" fillId="12" borderId="0">
      <alignment horizontal="left" indent="1"/>
    </xf>
    <xf numFmtId="211" fontId="87" fillId="0" borderId="0"/>
    <xf numFmtId="0" fontId="14" fillId="0" borderId="0"/>
    <xf numFmtId="0" fontId="88" fillId="0" borderId="0" applyNumberFormat="0" applyFont="0" applyFill="0" applyAlignment="0" applyProtection="0">
      <alignment vertical="center"/>
    </xf>
    <xf numFmtId="0" fontId="2" fillId="0" borderId="0"/>
    <xf numFmtId="0" fontId="64" fillId="0" borderId="0">
      <alignment vertical="center"/>
    </xf>
    <xf numFmtId="0" fontId="66" fillId="0" borderId="0"/>
    <xf numFmtId="0" fontId="14" fillId="0" borderId="0"/>
    <xf numFmtId="212" fontId="32" fillId="51" borderId="0">
      <alignment vertical="center"/>
    </xf>
    <xf numFmtId="213" fontId="90" fillId="0" borderId="0" applyFill="0" applyBorder="0" applyProtection="0">
      <alignment horizontal="center" vertical="top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77" fontId="82" fillId="12" borderId="0">
      <alignment horizontal="centerContinuous"/>
    </xf>
    <xf numFmtId="0" fontId="91" fillId="0" borderId="0" applyFill="0" applyBorder="0" applyProtection="0">
      <alignment horizontal="left"/>
    </xf>
    <xf numFmtId="0" fontId="92" fillId="0" borderId="0" applyFill="0" applyBorder="0" applyProtection="0">
      <alignment horizontal="left"/>
    </xf>
    <xf numFmtId="0" fontId="93" fillId="2" borderId="0"/>
    <xf numFmtId="178" fontId="6" fillId="47" borderId="0" applyNumberFormat="0" applyFont="0" applyBorder="0" applyAlignment="0" applyProtection="0"/>
    <xf numFmtId="14" fontId="50" fillId="0" borderId="0">
      <alignment horizontal="center" wrapText="1"/>
      <protection locked="0"/>
    </xf>
    <xf numFmtId="187" fontId="57" fillId="0" borderId="0" applyFont="0" applyFill="0" applyBorder="0" applyAlignment="0" applyProtection="0"/>
    <xf numFmtId="214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89" fillId="0" borderId="0" applyFont="0" applyFill="0" applyBorder="0" applyAlignment="0" applyProtection="0"/>
    <xf numFmtId="215" fontId="50" fillId="0" borderId="0" applyFont="0" applyFill="0" applyBorder="0" applyProtection="0">
      <alignment horizontal="right"/>
    </xf>
    <xf numFmtId="9" fontId="14" fillId="0" borderId="0" applyFont="0" applyFill="0" applyBorder="0" applyAlignment="0" applyProtection="0"/>
    <xf numFmtId="188" fontId="30" fillId="0" borderId="0" applyFill="0" applyBorder="0" applyAlignment="0"/>
    <xf numFmtId="176" fontId="30" fillId="0" borderId="0" applyFill="0" applyBorder="0" applyAlignment="0"/>
    <xf numFmtId="188" fontId="30" fillId="0" borderId="0" applyFill="0" applyBorder="0" applyAlignment="0"/>
    <xf numFmtId="189" fontId="30" fillId="0" borderId="0" applyFill="0" applyBorder="0" applyAlignment="0"/>
    <xf numFmtId="176" fontId="30" fillId="0" borderId="0" applyFill="0" applyBorder="0" applyAlignment="0"/>
    <xf numFmtId="216" fontId="94" fillId="0" borderId="0"/>
    <xf numFmtId="9" fontId="95" fillId="0" borderId="0" applyFont="0" applyFill="0" applyProtection="0"/>
    <xf numFmtId="0" fontId="96" fillId="37" borderId="0">
      <alignment horizontal="left" indent="1"/>
    </xf>
    <xf numFmtId="0" fontId="66" fillId="0" borderId="0" applyNumberFormat="0" applyFont="0" applyFill="0" applyBorder="0" applyAlignment="0" applyProtection="0">
      <alignment horizontal="left"/>
    </xf>
    <xf numFmtId="4" fontId="66" fillId="0" borderId="0" applyFont="0" applyFill="0" applyBorder="0" applyAlignment="0" applyProtection="0"/>
    <xf numFmtId="0" fontId="97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97" fillId="52" borderId="23">
      <alignment horizontal="center" vertical="center"/>
    </xf>
    <xf numFmtId="0" fontId="97" fillId="52" borderId="23">
      <alignment horizontal="center" vertical="center"/>
    </xf>
    <xf numFmtId="0" fontId="97" fillId="52" borderId="23">
      <alignment horizontal="center" vertical="center"/>
    </xf>
    <xf numFmtId="0" fontId="97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97" fillId="52" borderId="23">
      <alignment horizontal="center" vertical="center"/>
    </xf>
    <xf numFmtId="0" fontId="97" fillId="52" borderId="23">
      <alignment horizontal="center" vertical="center"/>
    </xf>
    <xf numFmtId="0" fontId="97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98" fillId="52" borderId="23">
      <alignment horizontal="center" vertical="center"/>
    </xf>
    <xf numFmtId="0" fontId="14" fillId="53" borderId="44" applyNumberFormat="0" applyFont="0" applyBorder="0" applyAlignment="0" applyProtection="0">
      <alignment horizontal="center"/>
    </xf>
    <xf numFmtId="217" fontId="14" fillId="0" borderId="0">
      <alignment horizontal="right"/>
    </xf>
    <xf numFmtId="0" fontId="99" fillId="54" borderId="0" applyNumberFormat="0" applyFont="0" applyBorder="0" applyAlignment="0">
      <alignment horizontal="center"/>
    </xf>
    <xf numFmtId="14" fontId="100" fillId="0" borderId="0" applyNumberFormat="0" applyFill="0" applyBorder="0" applyAlignment="0" applyProtection="0">
      <alignment horizontal="left"/>
    </xf>
    <xf numFmtId="177" fontId="39" fillId="46" borderId="0" applyBorder="0" applyAlignment="0">
      <alignment vertical="center"/>
      <protection locked="0"/>
    </xf>
    <xf numFmtId="4" fontId="101" fillId="50" borderId="45" applyNumberFormat="0" applyProtection="0">
      <alignment vertical="center"/>
    </xf>
    <xf numFmtId="4" fontId="102" fillId="34" borderId="45" applyNumberFormat="0" applyProtection="0">
      <alignment vertical="center"/>
    </xf>
    <xf numFmtId="4" fontId="101" fillId="34" borderId="45" applyNumberFormat="0" applyProtection="0">
      <alignment horizontal="left" vertical="center" indent="1"/>
    </xf>
    <xf numFmtId="0" fontId="101" fillId="34" borderId="45" applyNumberFormat="0" applyProtection="0">
      <alignment horizontal="left" vertical="top" indent="1"/>
    </xf>
    <xf numFmtId="4" fontId="101" fillId="55" borderId="0" applyNumberFormat="0" applyProtection="0">
      <alignment horizontal="left" vertical="center" indent="1"/>
    </xf>
    <xf numFmtId="4" fontId="32" fillId="17" borderId="45" applyNumberFormat="0" applyProtection="0">
      <alignment horizontal="right" vertical="center"/>
    </xf>
    <xf numFmtId="4" fontId="32" fillId="23" borderId="45" applyNumberFormat="0" applyProtection="0">
      <alignment horizontal="right" vertical="center"/>
    </xf>
    <xf numFmtId="4" fontId="32" fillId="56" borderId="45" applyNumberFormat="0" applyProtection="0">
      <alignment horizontal="right" vertical="center"/>
    </xf>
    <xf numFmtId="4" fontId="32" fillId="25" borderId="45" applyNumberFormat="0" applyProtection="0">
      <alignment horizontal="right" vertical="center"/>
    </xf>
    <xf numFmtId="4" fontId="32" fillId="29" borderId="45" applyNumberFormat="0" applyProtection="0">
      <alignment horizontal="right" vertical="center"/>
    </xf>
    <xf numFmtId="4" fontId="32" fillId="57" borderId="45" applyNumberFormat="0" applyProtection="0">
      <alignment horizontal="right" vertical="center"/>
    </xf>
    <xf numFmtId="4" fontId="32" fillId="58" borderId="45" applyNumberFormat="0" applyProtection="0">
      <alignment horizontal="right" vertical="center"/>
    </xf>
    <xf numFmtId="4" fontId="32" fillId="59" borderId="45" applyNumberFormat="0" applyProtection="0">
      <alignment horizontal="right" vertical="center"/>
    </xf>
    <xf numFmtId="4" fontId="32" fillId="24" borderId="45" applyNumberFormat="0" applyProtection="0">
      <alignment horizontal="right" vertical="center"/>
    </xf>
    <xf numFmtId="4" fontId="101" fillId="60" borderId="46" applyNumberFormat="0" applyProtection="0">
      <alignment horizontal="left" vertical="center" indent="1"/>
    </xf>
    <xf numFmtId="4" fontId="32" fillId="61" borderId="47" applyNumberFormat="0" applyProtection="0">
      <alignment horizontal="left" vertical="center" indent="1"/>
    </xf>
    <xf numFmtId="4" fontId="103" fillId="62" borderId="0" applyNumberFormat="0" applyProtection="0">
      <alignment horizontal="left" vertical="center" indent="1"/>
    </xf>
    <xf numFmtId="4" fontId="32" fillId="63" borderId="45" applyNumberFormat="0" applyProtection="0">
      <alignment horizontal="right" vertical="center"/>
    </xf>
    <xf numFmtId="4" fontId="32" fillId="61" borderId="46" applyNumberFormat="0" applyProtection="0">
      <alignment horizontal="left" vertical="center" indent="1"/>
    </xf>
    <xf numFmtId="4" fontId="32" fillId="64" borderId="46" applyNumberFormat="0" applyProtection="0">
      <alignment horizontal="left" vertical="center" indent="1"/>
    </xf>
    <xf numFmtId="0" fontId="14" fillId="62" borderId="45" applyNumberFormat="0" applyProtection="0">
      <alignment horizontal="left" vertical="center" indent="1"/>
    </xf>
    <xf numFmtId="0" fontId="14" fillId="62" borderId="45" applyNumberFormat="0" applyProtection="0">
      <alignment horizontal="left" vertical="top" indent="1"/>
    </xf>
    <xf numFmtId="0" fontId="14" fillId="55" borderId="45" applyNumberFormat="0" applyProtection="0">
      <alignment horizontal="left" vertical="center" indent="1"/>
    </xf>
    <xf numFmtId="0" fontId="14" fillId="55" borderId="45" applyNumberFormat="0" applyProtection="0">
      <alignment horizontal="left" vertical="top" indent="1"/>
    </xf>
    <xf numFmtId="0" fontId="14" fillId="36" borderId="45" applyNumberFormat="0" applyProtection="0">
      <alignment horizontal="left" vertical="center" indent="1"/>
    </xf>
    <xf numFmtId="0" fontId="14" fillId="36" borderId="45" applyNumberFormat="0" applyProtection="0">
      <alignment horizontal="left" vertical="top" indent="1"/>
    </xf>
    <xf numFmtId="0" fontId="14" fillId="65" borderId="45" applyNumberFormat="0" applyProtection="0">
      <alignment horizontal="left" vertical="center" indent="1"/>
    </xf>
    <xf numFmtId="0" fontId="14" fillId="65" borderId="45" applyNumberFormat="0" applyProtection="0">
      <alignment horizontal="left" vertical="top" indent="1"/>
    </xf>
    <xf numFmtId="4" fontId="32" fillId="46" borderId="45" applyNumberFormat="0" applyProtection="0">
      <alignment vertical="center"/>
    </xf>
    <xf numFmtId="4" fontId="104" fillId="46" borderId="45" applyNumberFormat="0" applyProtection="0">
      <alignment vertical="center"/>
    </xf>
    <xf numFmtId="4" fontId="32" fillId="46" borderId="45" applyNumberFormat="0" applyProtection="0">
      <alignment horizontal="left" vertical="center" indent="1"/>
    </xf>
    <xf numFmtId="0" fontId="32" fillId="46" borderId="45" applyNumberFormat="0" applyProtection="0">
      <alignment horizontal="left" vertical="top" indent="1"/>
    </xf>
    <xf numFmtId="4" fontId="105" fillId="66" borderId="48" applyNumberFormat="0" applyProtection="0">
      <alignment vertical="center"/>
    </xf>
    <xf numFmtId="4" fontId="104" fillId="67" borderId="45" applyNumberFormat="0" applyProtection="0">
      <alignment horizontal="right" vertical="center"/>
    </xf>
    <xf numFmtId="4" fontId="32" fillId="63" borderId="45" applyNumberFormat="0" applyProtection="0">
      <alignment horizontal="left" vertical="center" indent="1"/>
    </xf>
    <xf numFmtId="0" fontId="14" fillId="6" borderId="46" applyNumberFormat="0" applyProtection="0">
      <alignment horizontal="left" vertical="center" indent="1"/>
    </xf>
    <xf numFmtId="0" fontId="106" fillId="0" borderId="0"/>
    <xf numFmtId="4" fontId="107" fillId="67" borderId="45" applyNumberFormat="0" applyProtection="0">
      <alignment horizontal="right" vertical="center"/>
    </xf>
    <xf numFmtId="0" fontId="108" fillId="18" borderId="0" applyNumberFormat="0" applyBorder="0" applyAlignment="0" applyProtection="0"/>
    <xf numFmtId="38" fontId="66" fillId="0" borderId="0" applyFont="0" applyFill="0" applyBorder="0" applyAlignment="0" applyProtection="0"/>
    <xf numFmtId="218" fontId="14" fillId="0" borderId="0" applyFont="0" applyFill="0" applyBorder="0" applyAlignment="0" applyProtection="0"/>
    <xf numFmtId="0" fontId="77" fillId="68" borderId="0" applyNumberFormat="0" applyFont="0" applyBorder="0" applyAlignment="0" applyProtection="0"/>
    <xf numFmtId="0" fontId="99" fillId="1" borderId="49" applyNumberFormat="0" applyFont="0" applyAlignment="0">
      <alignment horizontal="center"/>
    </xf>
    <xf numFmtId="0" fontId="109" fillId="39" borderId="46" applyNumberFormat="0" applyAlignment="0" applyProtection="0"/>
    <xf numFmtId="0" fontId="110" fillId="0" borderId="0" applyNumberFormat="0" applyFill="0" applyBorder="0" applyAlignment="0">
      <alignment horizontal="center"/>
    </xf>
    <xf numFmtId="0" fontId="95" fillId="0" borderId="0"/>
    <xf numFmtId="219" fontId="14" fillId="0" borderId="0">
      <alignment horizontal="center"/>
    </xf>
    <xf numFmtId="0" fontId="111" fillId="0" borderId="6" applyProtection="0">
      <alignment horizontal="centerContinuous"/>
    </xf>
    <xf numFmtId="0" fontId="95" fillId="0" borderId="0"/>
    <xf numFmtId="0" fontId="14" fillId="0" borderId="0"/>
    <xf numFmtId="0" fontId="32" fillId="0" borderId="0" applyNumberFormat="0" applyBorder="0" applyAlignment="0"/>
    <xf numFmtId="0" fontId="103" fillId="0" borderId="0" applyNumberFormat="0" applyBorder="0" applyAlignment="0"/>
    <xf numFmtId="0" fontId="101" fillId="0" borderId="0" applyNumberFormat="0" applyBorder="0" applyAlignment="0"/>
    <xf numFmtId="0" fontId="81" fillId="0" borderId="0"/>
    <xf numFmtId="40" fontId="112" fillId="0" borderId="0" applyBorder="0">
      <alignment horizontal="right"/>
    </xf>
    <xf numFmtId="0" fontId="25" fillId="0" borderId="40" applyFont="0" applyBorder="0"/>
    <xf numFmtId="0" fontId="45" fillId="0" borderId="0" applyFill="0" applyBorder="0" applyProtection="0">
      <alignment horizontal="center" vertical="center"/>
    </xf>
    <xf numFmtId="0" fontId="45" fillId="0" borderId="0" applyFill="0" applyBorder="0" applyProtection="0"/>
    <xf numFmtId="0" fontId="25" fillId="0" borderId="0" applyFill="0" applyBorder="0" applyProtection="0">
      <alignment horizontal="left"/>
    </xf>
    <xf numFmtId="0" fontId="113" fillId="0" borderId="0" applyFill="0" applyBorder="0" applyProtection="0">
      <alignment horizontal="left" vertical="top"/>
    </xf>
    <xf numFmtId="49" fontId="32" fillId="0" borderId="0" applyFill="0" applyBorder="0" applyAlignment="0"/>
    <xf numFmtId="220" fontId="57" fillId="0" borderId="0" applyFill="0" applyBorder="0" applyAlignment="0"/>
    <xf numFmtId="221" fontId="57" fillId="0" borderId="0" applyFill="0" applyBorder="0" applyAlignment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50" applyNumberFormat="0" applyFill="0" applyAlignment="0" applyProtection="0"/>
    <xf numFmtId="0" fontId="117" fillId="0" borderId="51" applyNumberFormat="0" applyFill="0" applyAlignment="0" applyProtection="0"/>
    <xf numFmtId="0" fontId="118" fillId="0" borderId="52" applyNumberFormat="0" applyFill="0" applyAlignment="0" applyProtection="0"/>
    <xf numFmtId="0" fontId="118" fillId="0" borderId="0" applyNumberFormat="0" applyFill="0" applyBorder="0" applyAlignment="0" applyProtection="0"/>
    <xf numFmtId="177" fontId="119" fillId="69" borderId="0" applyNumberFormat="0" applyBorder="0">
      <alignment horizontal="centerContinuous" vertical="center" wrapText="1"/>
    </xf>
    <xf numFmtId="178" fontId="6" fillId="0" borderId="0" applyNumberFormat="0" applyFont="0" applyBorder="0" applyAlignment="0" applyProtection="0"/>
    <xf numFmtId="1" fontId="6" fillId="12" borderId="0" applyFont="0" applyBorder="0" applyAlignment="0" applyProtection="0"/>
    <xf numFmtId="222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224" fontId="6" fillId="0" borderId="0"/>
    <xf numFmtId="37" fontId="6" fillId="34" borderId="0" applyNumberFormat="0" applyBorder="0" applyAlignment="0" applyProtection="0"/>
    <xf numFmtId="37" fontId="6" fillId="0" borderId="0"/>
    <xf numFmtId="3" fontId="41" fillId="0" borderId="42" applyProtection="0"/>
    <xf numFmtId="49" fontId="47" fillId="1" borderId="0" applyNumberFormat="0" applyFont="0" applyFill="0" applyBorder="0" applyAlignment="0">
      <alignment horizontal="left" vertical="center"/>
    </xf>
    <xf numFmtId="225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227" fontId="14" fillId="0" borderId="0" applyFont="0" applyFill="0" applyBorder="0" applyAlignment="0" applyProtection="0"/>
    <xf numFmtId="0" fontId="120" fillId="70" borderId="53" applyNumberFormat="0" applyAlignment="0" applyProtection="0"/>
    <xf numFmtId="228" fontId="77" fillId="0" borderId="0" applyFont="0" applyFill="0" applyBorder="0" applyAlignment="0" applyProtection="0"/>
    <xf numFmtId="37" fontId="77" fillId="0" borderId="0" applyFont="0" applyFill="0" applyBorder="0" applyAlignment="0" applyProtection="0"/>
    <xf numFmtId="229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30" fontId="41" fillId="0" borderId="0" applyNumberFormat="0" applyFill="0" applyBorder="0" applyAlignment="0" applyProtection="0">
      <alignment horizontal="right"/>
    </xf>
    <xf numFmtId="0" fontId="121" fillId="48" borderId="6">
      <alignment horizontal="center" vertical="center"/>
      <protection locked="0"/>
    </xf>
    <xf numFmtId="0" fontId="122" fillId="0" borderId="0" applyNumberFormat="0" applyFont="0" applyFill="0" applyBorder="0" applyProtection="0">
      <alignment horizontal="center" vertical="center" wrapText="1"/>
    </xf>
    <xf numFmtId="190" fontId="50" fillId="0" borderId="0" applyFont="0" applyFill="0" applyBorder="0" applyProtection="0">
      <alignment horizontal="right"/>
    </xf>
    <xf numFmtId="0" fontId="6" fillId="46" borderId="0"/>
    <xf numFmtId="231" fontId="14" fillId="0" borderId="0" applyFont="0" applyFill="0" applyBorder="0" applyAlignment="0" applyProtection="0"/>
    <xf numFmtId="232" fontId="14" fillId="0" borderId="0" applyFont="0" applyFill="0" applyBorder="0" applyAlignment="0" applyProtection="0">
      <alignment vertical="top"/>
    </xf>
    <xf numFmtId="233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3" fillId="0" borderId="0"/>
    <xf numFmtId="0" fontId="124" fillId="0" borderId="0" applyNumberFormat="0" applyFill="0" applyBorder="0" applyAlignment="0" applyProtection="0">
      <alignment vertical="top"/>
      <protection locked="0"/>
    </xf>
    <xf numFmtId="0" fontId="125" fillId="0" borderId="0"/>
    <xf numFmtId="0" fontId="7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126" fillId="0" borderId="0" applyNumberFormat="0" applyFill="0" applyBorder="0" applyAlignment="0" applyProtection="0">
      <alignment vertical="top"/>
      <protection locked="0"/>
    </xf>
    <xf numFmtId="234" fontId="31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27" fillId="0" borderId="0" applyFill="0" applyBorder="0" applyProtection="0"/>
    <xf numFmtId="0" fontId="128" fillId="0" borderId="0" applyNumberFormat="0" applyFill="0" applyBorder="0" applyAlignment="0" applyProtection="0">
      <alignment vertical="top"/>
      <protection locked="0"/>
    </xf>
    <xf numFmtId="0" fontId="31" fillId="0" borderId="0"/>
    <xf numFmtId="182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182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185" fontId="89" fillId="0" borderId="0" applyFont="0" applyFill="0" applyBorder="0" applyAlignment="0" applyProtection="0"/>
    <xf numFmtId="236" fontId="14" fillId="0" borderId="0" applyFont="0" applyFill="0" applyBorder="0" applyAlignment="0" applyProtection="0"/>
    <xf numFmtId="237" fontId="14" fillId="0" borderId="0" applyFont="0" applyFill="0" applyBorder="0" applyAlignment="0" applyProtection="0"/>
    <xf numFmtId="0" fontId="14" fillId="0" borderId="0"/>
    <xf numFmtId="0" fontId="129" fillId="0" borderId="0"/>
    <xf numFmtId="9" fontId="29" fillId="0" borderId="0" applyFont="0" applyFill="0" applyBorder="0" applyAlignment="0" applyProtection="0"/>
    <xf numFmtId="0" fontId="130" fillId="0" borderId="0"/>
    <xf numFmtId="0" fontId="131" fillId="0" borderId="0" applyNumberFormat="0" applyFont="0" applyFill="0" applyBorder="0">
      <alignment horizontal="left" vertical="top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32" fillId="0" borderId="0"/>
    <xf numFmtId="182" fontId="133" fillId="0" borderId="0" applyFont="0" applyFill="0" applyBorder="0" applyAlignment="0" applyProtection="0">
      <alignment vertical="center"/>
    </xf>
    <xf numFmtId="238" fontId="14" fillId="0" borderId="0" applyFont="0" applyFill="0" applyBorder="0" applyAlignment="0" applyProtection="0"/>
    <xf numFmtId="0" fontId="28" fillId="0" borderId="0"/>
    <xf numFmtId="239" fontId="134" fillId="0" borderId="0" applyFont="0" applyFill="0" applyBorder="0" applyAlignment="0" applyProtection="0"/>
    <xf numFmtId="0" fontId="28" fillId="0" borderId="0" applyFont="0" applyFill="0" applyBorder="0" applyAlignment="0" applyProtection="0"/>
    <xf numFmtId="240" fontId="105" fillId="0" borderId="0" applyFont="0" applyFill="0" applyBorder="0" applyAlignment="0" applyProtection="0"/>
    <xf numFmtId="241" fontId="14" fillId="0" borderId="0" applyFont="0" applyFill="0" applyBorder="0" applyAlignment="0" applyProtection="0"/>
    <xf numFmtId="242" fontId="32" fillId="51" borderId="0">
      <alignment vertical="center"/>
    </xf>
    <xf numFmtId="212" fontId="14" fillId="0" borderId="23">
      <alignment vertical="center"/>
    </xf>
    <xf numFmtId="0" fontId="89" fillId="0" borderId="0"/>
    <xf numFmtId="0" fontId="79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9" fontId="0" fillId="0" borderId="0" xfId="1" applyFont="1"/>
    <xf numFmtId="164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2" borderId="2" xfId="0" applyNumberFormat="1" applyFont="1" applyFill="1" applyBorder="1" applyAlignment="1" applyProtection="1">
      <alignment horizontal="center" wrapText="1"/>
      <protection locked="0"/>
    </xf>
    <xf numFmtId="164" fontId="4" fillId="3" borderId="2" xfId="0" applyNumberFormat="1" applyFont="1" applyFill="1" applyBorder="1" applyAlignment="1" applyProtection="1">
      <alignment horizontal="center" wrapText="1"/>
    </xf>
    <xf numFmtId="164" fontId="3" fillId="4" borderId="3" xfId="0" applyNumberFormat="1" applyFont="1" applyFill="1" applyBorder="1" applyAlignment="1" applyProtection="1">
      <alignment horizontal="center" wrapText="1"/>
    </xf>
    <xf numFmtId="164" fontId="3" fillId="3" borderId="4" xfId="0" applyNumberFormat="1" applyFont="1" applyFill="1" applyBorder="1" applyAlignment="1" applyProtection="1">
      <alignment horizontal="center" wrapText="1"/>
    </xf>
    <xf numFmtId="164" fontId="3" fillId="5" borderId="3" xfId="0" applyNumberFormat="1" applyFont="1" applyFill="1" applyBorder="1" applyAlignment="1" applyProtection="1">
      <alignment horizontal="center" wrapText="1"/>
    </xf>
    <xf numFmtId="164" fontId="3" fillId="2" borderId="5" xfId="0" quotePrefix="1" applyNumberFormat="1" applyFont="1" applyFill="1" applyBorder="1" applyAlignment="1" applyProtection="1">
      <alignment horizontal="center" wrapText="1"/>
      <protection locked="0"/>
    </xf>
    <xf numFmtId="164" fontId="5" fillId="4" borderId="5" xfId="0" applyNumberFormat="1" applyFont="1" applyFill="1" applyBorder="1" applyAlignment="1" applyProtection="1">
      <alignment horizontal="center" wrapText="1"/>
      <protection locked="0"/>
    </xf>
    <xf numFmtId="164" fontId="5" fillId="4" borderId="1" xfId="0" applyNumberFormat="1" applyFont="1" applyFill="1" applyBorder="1" applyAlignment="1" applyProtection="1">
      <alignment horizontal="center" wrapText="1"/>
    </xf>
    <xf numFmtId="164" fontId="4" fillId="4" borderId="2" xfId="0" applyNumberFormat="1" applyFont="1" applyFill="1" applyBorder="1" applyAlignment="1" applyProtection="1">
      <alignment horizontal="center" wrapText="1"/>
    </xf>
    <xf numFmtId="164" fontId="4" fillId="4" borderId="4" xfId="0" applyNumberFormat="1" applyFont="1" applyFill="1" applyBorder="1" applyAlignment="1" applyProtection="1">
      <alignment horizontal="center" wrapText="1"/>
    </xf>
    <xf numFmtId="9" fontId="4" fillId="6" borderId="5" xfId="0" applyNumberFormat="1" applyFont="1" applyFill="1" applyBorder="1" applyAlignment="1" applyProtection="1">
      <alignment horizontal="center" vertical="center" wrapText="1"/>
    </xf>
    <xf numFmtId="164" fontId="4" fillId="2" borderId="5" xfId="0" applyNumberFormat="1" applyFont="1" applyFill="1" applyBorder="1" applyAlignment="1" applyProtection="1">
      <alignment horizontal="center" wrapText="1"/>
      <protection locked="0"/>
    </xf>
    <xf numFmtId="164" fontId="4" fillId="4" borderId="5" xfId="0" applyNumberFormat="1" applyFont="1" applyFill="1" applyBorder="1" applyAlignment="1" applyProtection="1">
      <alignment horizontal="center" wrapText="1"/>
    </xf>
    <xf numFmtId="164" fontId="3" fillId="7" borderId="6" xfId="0" applyNumberFormat="1" applyFont="1" applyFill="1" applyBorder="1" applyAlignment="1" applyProtection="1">
      <alignment horizontal="center" wrapText="1"/>
    </xf>
    <xf numFmtId="164" fontId="3" fillId="7" borderId="6" xfId="0" applyNumberFormat="1" applyFont="1" applyFill="1" applyBorder="1" applyAlignment="1" applyProtection="1">
      <alignment horizontal="center" vertical="top" wrapText="1"/>
    </xf>
    <xf numFmtId="164" fontId="4" fillId="8" borderId="7" xfId="0" applyNumberFormat="1" applyFont="1" applyFill="1" applyBorder="1" applyAlignment="1" applyProtection="1">
      <alignment horizontal="center" vertical="top" wrapText="1"/>
      <protection locked="0"/>
    </xf>
    <xf numFmtId="164" fontId="4" fillId="8" borderId="8" xfId="0" applyNumberFormat="1" applyFont="1" applyFill="1" applyBorder="1" applyAlignment="1" applyProtection="1">
      <alignment horizontal="center" vertical="top" wrapText="1"/>
      <protection locked="0"/>
    </xf>
    <xf numFmtId="164" fontId="4" fillId="8" borderId="9" xfId="0" applyNumberFormat="1" applyFont="1" applyFill="1" applyBorder="1" applyAlignment="1" applyProtection="1">
      <alignment horizontal="center" vertical="top" wrapText="1"/>
      <protection locked="0"/>
    </xf>
    <xf numFmtId="164" fontId="4" fillId="9" borderId="10" xfId="0" applyNumberFormat="1" applyFont="1" applyFill="1" applyBorder="1" applyAlignment="1" applyProtection="1">
      <alignment horizontal="center" vertical="top" wrapText="1"/>
      <protection locked="0"/>
    </xf>
    <xf numFmtId="164" fontId="4" fillId="10" borderId="11" xfId="0" applyNumberFormat="1" applyFont="1" applyFill="1" applyBorder="1" applyAlignment="1" applyProtection="1">
      <alignment horizontal="center" vertical="top" wrapText="1"/>
      <protection locked="0"/>
    </xf>
    <xf numFmtId="164" fontId="4" fillId="10" borderId="11" xfId="0" applyNumberFormat="1" applyFont="1" applyFill="1" applyBorder="1" applyAlignment="1" applyProtection="1">
      <alignment horizontal="center" vertical="center" wrapText="1"/>
      <protection locked="0"/>
    </xf>
    <xf numFmtId="164" fontId="4" fillId="10" borderId="8" xfId="0" applyNumberFormat="1" applyFont="1" applyFill="1" applyBorder="1" applyAlignment="1" applyProtection="1">
      <alignment horizontal="center" vertical="top" wrapText="1"/>
      <protection locked="0"/>
    </xf>
    <xf numFmtId="164" fontId="4" fillId="10" borderId="9" xfId="0" applyNumberFormat="1" applyFont="1" applyFill="1" applyBorder="1" applyAlignment="1" applyProtection="1">
      <alignment horizontal="center" vertical="top" wrapText="1"/>
      <protection locked="0"/>
    </xf>
    <xf numFmtId="164" fontId="4" fillId="11" borderId="11" xfId="0" applyNumberFormat="1" applyFont="1" applyFill="1" applyBorder="1" applyAlignment="1" applyProtection="1">
      <alignment horizontal="center" vertical="top" wrapText="1"/>
      <protection locked="0"/>
    </xf>
    <xf numFmtId="164" fontId="4" fillId="11" borderId="11" xfId="0" applyNumberFormat="1" applyFont="1" applyFill="1" applyBorder="1" applyAlignment="1" applyProtection="1">
      <alignment horizontal="center" vertical="center" wrapText="1"/>
      <protection locked="0"/>
    </xf>
    <xf numFmtId="164" fontId="4" fillId="11" borderId="8" xfId="0" applyNumberFormat="1" applyFont="1" applyFill="1" applyBorder="1" applyAlignment="1" applyProtection="1">
      <alignment horizontal="center" vertical="top" wrapText="1"/>
      <protection locked="0"/>
    </xf>
    <xf numFmtId="164" fontId="4" fillId="11" borderId="9" xfId="0" applyNumberFormat="1" applyFont="1" applyFill="1" applyBorder="1" applyAlignment="1" applyProtection="1">
      <alignment horizontal="center" vertical="top" wrapText="1"/>
      <protection locked="0"/>
    </xf>
    <xf numFmtId="164" fontId="4" fillId="9" borderId="12" xfId="0" applyNumberFormat="1" applyFont="1" applyFill="1" applyBorder="1" applyAlignment="1" applyProtection="1">
      <alignment horizontal="center" vertical="top" wrapText="1"/>
      <protection locked="0"/>
    </xf>
    <xf numFmtId="164" fontId="4" fillId="10" borderId="7" xfId="0" applyNumberFormat="1" applyFont="1" applyFill="1" applyBorder="1" applyAlignment="1" applyProtection="1">
      <alignment horizontal="center" vertical="top" wrapText="1"/>
      <protection locked="0"/>
    </xf>
    <xf numFmtId="164" fontId="4" fillId="11" borderId="7" xfId="0" applyNumberFormat="1" applyFont="1" applyFill="1" applyBorder="1" applyAlignment="1" applyProtection="1">
      <alignment horizontal="center" vertical="top" wrapText="1"/>
      <protection locked="0"/>
    </xf>
    <xf numFmtId="164" fontId="4" fillId="11" borderId="8" xfId="0" applyNumberFormat="1" applyFont="1" applyFill="1" applyBorder="1" applyAlignment="1" applyProtection="1">
      <alignment horizontal="center" vertical="center" wrapText="1"/>
      <protection locked="0"/>
    </xf>
    <xf numFmtId="164" fontId="4" fillId="10" borderId="13" xfId="0" applyNumberFormat="1" applyFont="1" applyFill="1" applyBorder="1" applyAlignment="1" applyProtection="1">
      <alignment horizontal="center" vertical="top" wrapText="1"/>
      <protection locked="0"/>
    </xf>
    <xf numFmtId="164" fontId="4" fillId="10" borderId="14" xfId="0" applyNumberFormat="1" applyFont="1" applyFill="1" applyBorder="1" applyAlignment="1" applyProtection="1">
      <alignment horizontal="center" vertical="top" wrapText="1"/>
      <protection locked="0"/>
    </xf>
    <xf numFmtId="164" fontId="4" fillId="9" borderId="15" xfId="0" applyNumberFormat="1" applyFont="1" applyFill="1" applyBorder="1" applyAlignment="1" applyProtection="1">
      <alignment horizontal="center" vertical="top" wrapText="1"/>
      <protection locked="0"/>
    </xf>
    <xf numFmtId="164" fontId="4" fillId="12" borderId="16" xfId="0" applyNumberFormat="1" applyFont="1" applyFill="1" applyBorder="1" applyAlignment="1" applyProtection="1">
      <alignment horizontal="center" wrapText="1"/>
    </xf>
    <xf numFmtId="164" fontId="3" fillId="4" borderId="2" xfId="0" applyNumberFormat="1" applyFont="1" applyFill="1" applyBorder="1" applyAlignment="1" applyProtection="1">
      <alignment horizontal="center" wrapText="1"/>
    </xf>
    <xf numFmtId="164" fontId="3" fillId="13" borderId="2" xfId="0" applyNumberFormat="1" applyFont="1" applyFill="1" applyBorder="1" applyAlignment="1" applyProtection="1">
      <alignment horizontal="center" wrapText="1"/>
    </xf>
    <xf numFmtId="164" fontId="6" fillId="13" borderId="0" xfId="0" applyNumberFormat="1" applyFont="1" applyFill="1" applyBorder="1" applyAlignment="1" applyProtection="1">
      <alignment horizontal="center"/>
    </xf>
    <xf numFmtId="164" fontId="7" fillId="0" borderId="17" xfId="0" applyNumberFormat="1" applyFont="1" applyBorder="1" applyAlignment="1" applyProtection="1">
      <alignment horizontal="center" vertical="center"/>
    </xf>
    <xf numFmtId="164" fontId="7" fillId="0" borderId="18" xfId="0" applyNumberFormat="1" applyFont="1" applyBorder="1" applyAlignment="1" applyProtection="1">
      <alignment horizontal="center" vertical="center"/>
    </xf>
    <xf numFmtId="164" fontId="7" fillId="14" borderId="17" xfId="0" applyNumberFormat="1" applyFont="1" applyFill="1" applyBorder="1" applyAlignment="1" applyProtection="1">
      <alignment horizontal="center" vertical="center"/>
    </xf>
    <xf numFmtId="164" fontId="7" fillId="14" borderId="18" xfId="0" applyNumberFormat="1" applyFont="1" applyFill="1" applyBorder="1" applyAlignment="1" applyProtection="1">
      <alignment horizontal="center" vertical="center"/>
    </xf>
    <xf numFmtId="164" fontId="7" fillId="14" borderId="19" xfId="0" applyNumberFormat="1" applyFont="1" applyFill="1" applyBorder="1" applyAlignment="1" applyProtection="1">
      <alignment horizontal="center" vertical="center"/>
    </xf>
    <xf numFmtId="164" fontId="4" fillId="0" borderId="0" xfId="0" applyNumberFormat="1" applyFont="1" applyFill="1" applyAlignment="1" applyProtection="1">
      <alignment horizontal="center" wrapText="1"/>
      <protection locked="0"/>
    </xf>
    <xf numFmtId="0" fontId="2" fillId="0" borderId="0" xfId="2"/>
    <xf numFmtId="0" fontId="0" fillId="0" borderId="0" xfId="0" applyAlignment="1">
      <alignment horizontal="center"/>
    </xf>
    <xf numFmtId="0" fontId="11" fillId="0" borderId="5" xfId="0" applyFont="1" applyBorder="1"/>
    <xf numFmtId="165" fontId="6" fillId="13" borderId="5" xfId="0" applyNumberFormat="1" applyFont="1" applyFill="1" applyBorder="1"/>
    <xf numFmtId="165" fontId="11" fillId="13" borderId="5" xfId="0" applyNumberFormat="1" applyFont="1" applyFill="1" applyBorder="1"/>
    <xf numFmtId="166" fontId="6" fillId="13" borderId="5" xfId="0" applyNumberFormat="1" applyFont="1" applyFill="1" applyBorder="1" applyAlignment="1">
      <alignment horizontal="center"/>
    </xf>
    <xf numFmtId="0" fontId="11" fillId="0" borderId="5" xfId="0" applyFont="1" applyBorder="1" applyAlignment="1">
      <alignment horizontal="center"/>
    </xf>
    <xf numFmtId="165" fontId="6" fillId="13" borderId="5" xfId="0" applyNumberFormat="1" applyFont="1" applyFill="1" applyBorder="1" applyAlignment="1"/>
    <xf numFmtId="0" fontId="12" fillId="13" borderId="5" xfId="0" applyNumberFormat="1" applyFont="1" applyFill="1" applyBorder="1"/>
    <xf numFmtId="1" fontId="6" fillId="13" borderId="5" xfId="1" applyNumberFormat="1" applyFont="1" applyFill="1" applyBorder="1" applyAlignment="1">
      <alignment horizontal="center" vertical="center"/>
    </xf>
    <xf numFmtId="165" fontId="12" fillId="13" borderId="5" xfId="0" applyNumberFormat="1" applyFont="1" applyFill="1" applyBorder="1"/>
    <xf numFmtId="1" fontId="11" fillId="0" borderId="5" xfId="0" applyNumberFormat="1" applyFont="1" applyBorder="1"/>
    <xf numFmtId="9" fontId="6" fillId="13" borderId="5" xfId="3" applyFont="1" applyFill="1" applyBorder="1" applyAlignment="1">
      <alignment horizontal="center" vertical="center"/>
    </xf>
    <xf numFmtId="165" fontId="6" fillId="13" borderId="5" xfId="0" applyNumberFormat="1" applyFont="1" applyFill="1" applyBorder="1" applyAlignment="1">
      <alignment vertical="center"/>
    </xf>
    <xf numFmtId="1" fontId="11" fillId="13" borderId="5" xfId="0" applyNumberFormat="1" applyFont="1" applyFill="1" applyBorder="1" applyAlignment="1">
      <alignment horizontal="center"/>
    </xf>
    <xf numFmtId="9" fontId="11" fillId="13" borderId="5" xfId="1" applyFont="1" applyFill="1" applyBorder="1" applyAlignment="1">
      <alignment horizontal="center"/>
    </xf>
    <xf numFmtId="9" fontId="11" fillId="0" borderId="5" xfId="1" applyFont="1" applyBorder="1"/>
    <xf numFmtId="167" fontId="6" fillId="13" borderId="5" xfId="0" applyNumberFormat="1" applyFont="1" applyFill="1" applyBorder="1" applyAlignment="1" applyProtection="1">
      <alignment horizontal="center"/>
    </xf>
    <xf numFmtId="167" fontId="13" fillId="13" borderId="5" xfId="0" applyNumberFormat="1" applyFont="1" applyFill="1" applyBorder="1" applyAlignment="1" applyProtection="1">
      <alignment horizontal="center"/>
    </xf>
    <xf numFmtId="1" fontId="6" fillId="13" borderId="5" xfId="0" applyNumberFormat="1" applyFont="1" applyFill="1" applyBorder="1" applyAlignment="1" applyProtection="1">
      <alignment horizontal="center"/>
    </xf>
    <xf numFmtId="1" fontId="14" fillId="13" borderId="5" xfId="0" applyNumberFormat="1" applyFont="1" applyFill="1" applyBorder="1" applyAlignment="1" applyProtection="1">
      <alignment horizontal="center"/>
    </xf>
    <xf numFmtId="167" fontId="6" fillId="13" borderId="5" xfId="0" applyNumberFormat="1" applyFont="1" applyFill="1" applyBorder="1" applyProtection="1"/>
    <xf numFmtId="167" fontId="0" fillId="13" borderId="5" xfId="0" applyNumberFormat="1" applyFill="1" applyBorder="1" applyProtection="1"/>
    <xf numFmtId="9" fontId="0" fillId="13" borderId="5" xfId="1" applyFont="1" applyFill="1" applyBorder="1" applyProtection="1"/>
    <xf numFmtId="168" fontId="6" fillId="13" borderId="5" xfId="1" applyNumberFormat="1" applyFont="1" applyFill="1" applyBorder="1" applyProtection="1"/>
    <xf numFmtId="9" fontId="6" fillId="13" borderId="5" xfId="1" applyFont="1" applyFill="1" applyBorder="1" applyAlignment="1" applyProtection="1">
      <alignment horizontal="right"/>
    </xf>
    <xf numFmtId="9" fontId="6" fillId="13" borderId="5" xfId="1" applyFont="1" applyFill="1" applyBorder="1" applyAlignment="1" applyProtection="1">
      <alignment horizontal="left"/>
    </xf>
    <xf numFmtId="168" fontId="6" fillId="13" borderId="5" xfId="1" applyNumberFormat="1" applyFont="1" applyFill="1" applyBorder="1" applyAlignment="1" applyProtection="1">
      <alignment horizontal="right"/>
    </xf>
    <xf numFmtId="10" fontId="6" fillId="13" borderId="5" xfId="1" applyNumberFormat="1" applyFont="1" applyFill="1" applyBorder="1" applyAlignment="1" applyProtection="1">
      <alignment horizontal="right"/>
    </xf>
    <xf numFmtId="0" fontId="8" fillId="13" borderId="0" xfId="2" applyFont="1" applyFill="1"/>
    <xf numFmtId="9" fontId="8" fillId="13" borderId="0" xfId="1" applyFont="1" applyFill="1"/>
    <xf numFmtId="0" fontId="2" fillId="13" borderId="0" xfId="2" applyFill="1"/>
    <xf numFmtId="0" fontId="15" fillId="13" borderId="0" xfId="0" applyFont="1" applyFill="1" applyAlignment="1">
      <alignment horizontal="right"/>
    </xf>
    <xf numFmtId="9" fontId="16" fillId="13" borderId="0" xfId="1" applyFont="1" applyFill="1" applyAlignment="1">
      <alignment horizontal="center"/>
    </xf>
    <xf numFmtId="9" fontId="2" fillId="13" borderId="0" xfId="1" applyFill="1"/>
    <xf numFmtId="167" fontId="6" fillId="13" borderId="20" xfId="0" applyNumberFormat="1" applyFont="1" applyFill="1" applyBorder="1" applyAlignment="1" applyProtection="1">
      <alignment horizontal="center"/>
    </xf>
    <xf numFmtId="167" fontId="13" fillId="13" borderId="21" xfId="0" applyNumberFormat="1" applyFont="1" applyFill="1" applyBorder="1" applyAlignment="1" applyProtection="1">
      <alignment horizontal="center"/>
    </xf>
    <xf numFmtId="167" fontId="6" fillId="13" borderId="21" xfId="0" applyNumberFormat="1" applyFont="1" applyFill="1" applyBorder="1" applyAlignment="1" applyProtection="1">
      <alignment horizontal="center"/>
    </xf>
    <xf numFmtId="167" fontId="6" fillId="13" borderId="22" xfId="0" applyNumberFormat="1" applyFont="1" applyFill="1" applyBorder="1" applyAlignment="1" applyProtection="1">
      <alignment horizontal="center"/>
    </xf>
    <xf numFmtId="1" fontId="6" fillId="13" borderId="23" xfId="0" applyNumberFormat="1" applyFont="1" applyFill="1" applyBorder="1" applyAlignment="1" applyProtection="1">
      <alignment horizontal="center"/>
    </xf>
    <xf numFmtId="1" fontId="6" fillId="13" borderId="0" xfId="0" applyNumberFormat="1" applyFont="1" applyFill="1" applyBorder="1" applyAlignment="1" applyProtection="1">
      <alignment horizontal="center"/>
    </xf>
    <xf numFmtId="1" fontId="14" fillId="13" borderId="24" xfId="0" applyNumberFormat="1" applyFont="1" applyFill="1" applyBorder="1" applyAlignment="1" applyProtection="1">
      <alignment horizontal="center"/>
    </xf>
    <xf numFmtId="10" fontId="6" fillId="13" borderId="5" xfId="3" applyNumberFormat="1" applyFont="1" applyFill="1" applyBorder="1" applyAlignment="1">
      <alignment horizontal="center" vertical="center"/>
    </xf>
    <xf numFmtId="1" fontId="6" fillId="13" borderId="24" xfId="0" applyNumberFormat="1" applyFont="1" applyFill="1" applyBorder="1" applyAlignment="1" applyProtection="1">
      <alignment horizontal="center"/>
    </xf>
    <xf numFmtId="167" fontId="6" fillId="13" borderId="23" xfId="0" applyNumberFormat="1" applyFont="1" applyFill="1" applyBorder="1" applyProtection="1"/>
    <xf numFmtId="167" fontId="6" fillId="13" borderId="0" xfId="0" applyNumberFormat="1" applyFont="1" applyFill="1" applyBorder="1" applyProtection="1"/>
    <xf numFmtId="167" fontId="0" fillId="13" borderId="24" xfId="0" applyNumberFormat="1" applyFill="1" applyBorder="1" applyProtection="1"/>
    <xf numFmtId="9" fontId="0" fillId="13" borderId="0" xfId="1" applyFont="1" applyFill="1" applyBorder="1" applyProtection="1"/>
    <xf numFmtId="9" fontId="0" fillId="13" borderId="24" xfId="1" applyFont="1" applyFill="1" applyBorder="1" applyProtection="1"/>
    <xf numFmtId="168" fontId="6" fillId="13" borderId="25" xfId="1" applyNumberFormat="1" applyFont="1" applyFill="1" applyBorder="1" applyProtection="1"/>
    <xf numFmtId="9" fontId="6" fillId="13" borderId="26" xfId="1" applyFont="1" applyFill="1" applyBorder="1" applyAlignment="1" applyProtection="1">
      <alignment horizontal="right"/>
    </xf>
    <xf numFmtId="9" fontId="6" fillId="13" borderId="26" xfId="1" applyFont="1" applyFill="1" applyBorder="1" applyAlignment="1" applyProtection="1">
      <alignment horizontal="left"/>
    </xf>
    <xf numFmtId="168" fontId="6" fillId="13" borderId="26" xfId="1" applyNumberFormat="1" applyFont="1" applyFill="1" applyBorder="1" applyAlignment="1" applyProtection="1">
      <alignment horizontal="right"/>
    </xf>
    <xf numFmtId="168" fontId="6" fillId="13" borderId="27" xfId="1" applyNumberFormat="1" applyFont="1" applyFill="1" applyBorder="1" applyProtection="1"/>
    <xf numFmtId="0" fontId="17" fillId="13" borderId="0" xfId="0" applyFont="1" applyFill="1" applyAlignment="1">
      <alignment horizontal="right"/>
    </xf>
    <xf numFmtId="9" fontId="16" fillId="14" borderId="0" xfId="1" applyFont="1" applyFill="1" applyAlignment="1">
      <alignment horizontal="center"/>
    </xf>
    <xf numFmtId="0" fontId="2" fillId="13" borderId="5" xfId="2" applyFill="1" applyBorder="1"/>
    <xf numFmtId="9" fontId="0" fillId="13" borderId="5" xfId="1" applyFont="1" applyFill="1" applyBorder="1"/>
    <xf numFmtId="0" fontId="0" fillId="13" borderId="5" xfId="0" applyFont="1" applyFill="1" applyBorder="1"/>
    <xf numFmtId="0" fontId="18" fillId="0" borderId="0" xfId="0" applyFont="1"/>
    <xf numFmtId="0" fontId="19" fillId="0" borderId="0" xfId="0" applyFont="1"/>
    <xf numFmtId="0" fontId="0" fillId="0" borderId="5" xfId="0" applyBorder="1"/>
    <xf numFmtId="0" fontId="20" fillId="0" borderId="5" xfId="0" applyFont="1" applyBorder="1" applyAlignment="1">
      <alignment horizontal="center" vertical="center" wrapText="1"/>
    </xf>
    <xf numFmtId="0" fontId="0" fillId="15" borderId="0" xfId="0" applyFill="1" applyAlignment="1">
      <alignment horizontal="center"/>
    </xf>
    <xf numFmtId="0" fontId="6" fillId="13" borderId="5" xfId="1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5" xfId="0" applyFont="1" applyFill="1" applyBorder="1"/>
    <xf numFmtId="9" fontId="0" fillId="0" borderId="5" xfId="1" applyFont="1" applyFill="1" applyBorder="1"/>
    <xf numFmtId="169" fontId="6" fillId="13" borderId="5" xfId="1" applyNumberFormat="1" applyFont="1" applyFill="1" applyBorder="1" applyAlignment="1">
      <alignment horizontal="center" vertical="center"/>
    </xf>
    <xf numFmtId="170" fontId="11" fillId="0" borderId="5" xfId="0" applyNumberFormat="1" applyFont="1" applyBorder="1"/>
    <xf numFmtId="171" fontId="11" fillId="0" borderId="5" xfId="0" applyNumberFormat="1" applyFont="1" applyBorder="1"/>
    <xf numFmtId="166" fontId="13" fillId="13" borderId="5" xfId="0" applyNumberFormat="1" applyFont="1" applyFill="1" applyBorder="1" applyAlignment="1">
      <alignment horizontal="center"/>
    </xf>
    <xf numFmtId="9" fontId="0" fillId="0" borderId="0" xfId="0" applyNumberFormat="1"/>
    <xf numFmtId="165" fontId="12" fillId="13" borderId="0" xfId="0" applyNumberFormat="1" applyFont="1" applyFill="1" applyBorder="1"/>
    <xf numFmtId="10" fontId="0" fillId="0" borderId="0" xfId="1" applyNumberFormat="1" applyFont="1"/>
    <xf numFmtId="0" fontId="135" fillId="0" borderId="0" xfId="0" applyFont="1" applyAlignment="1">
      <alignment wrapText="1"/>
    </xf>
    <xf numFmtId="0" fontId="135" fillId="0" borderId="0" xfId="0" applyFont="1"/>
  </cellXfs>
  <cellStyles count="2603">
    <cellStyle name=",訪_x001f_renc" xfId="6"/>
    <cellStyle name="?? [0.00]_KKKKK" xfId="7"/>
    <cellStyle name="??&amp;O?&amp;" xfId="8"/>
    <cellStyle name="??&amp;O?&amp;H" xfId="9"/>
    <cellStyle name="??&amp;O?&amp;H?_x0008__x000f__x0007_" xfId="10"/>
    <cellStyle name="??&amp;O?&amp;H?_x0008__x000f__x0007_?" xfId="11"/>
    <cellStyle name="??&amp;O?&amp;H?_x0008__x000f__x0007_?_x0007_" xfId="12"/>
    <cellStyle name="??&amp;O?&amp;H?_x0008__x000f__x0007_?_x0007__x0001_" xfId="13"/>
    <cellStyle name="??&amp;O?&amp;H?_x0008__x000f__x0007_?_x0007__x0001__x0001_" xfId="14"/>
    <cellStyle name="??&amp;O?&amp;H?_x0008_??_x0007_" xfId="15"/>
    <cellStyle name="??&amp;O?&amp;H?_x0008_??_x0007__x0001__x0001_" xfId="16"/>
    <cellStyle name="???? [0.00]_KKKKK" xfId="17"/>
    <cellStyle name="????_KKKKK" xfId="18"/>
    <cellStyle name="??_KKKKK" xfId="19"/>
    <cellStyle name="_~0262920" xfId="20"/>
    <cellStyle name="_~0876813" xfId="21"/>
    <cellStyle name="_~0892429" xfId="22"/>
    <cellStyle name="_~0892429_2009 Q1 zone BR template_master (WIP)" xfId="23"/>
    <cellStyle name="_~1654936" xfId="24"/>
    <cellStyle name="_~1654936_2009 Q1 zone BR template_master (WIP)" xfId="25"/>
    <cellStyle name="_~2811564" xfId="26"/>
    <cellStyle name="_~3527074" xfId="27"/>
    <cellStyle name="_~3745442" xfId="28"/>
    <cellStyle name="_~4173646" xfId="29"/>
    <cellStyle name="_~5260565" xfId="30"/>
    <cellStyle name="_~5260565_2009 Q1 zone BR template_master (WIP)" xfId="31"/>
    <cellStyle name="_~6019598" xfId="32"/>
    <cellStyle name="_~6372758" xfId="33"/>
    <cellStyle name="_~6438211" xfId="34"/>
    <cellStyle name="_~6466002" xfId="35"/>
    <cellStyle name="_~7472935" xfId="36"/>
    <cellStyle name="_~7913488" xfId="37"/>
    <cellStyle name="_~8133757" xfId="38"/>
    <cellStyle name="_~8639715" xfId="39"/>
    <cellStyle name="_~8639715_Consolidated P.L Productivity(Nov)" xfId="40"/>
    <cellStyle name="_~8639715_Financial report for FLC April" xfId="41"/>
    <cellStyle name="_~8639715_Financial report for FLC April_200805-FLV&amp;IC scoreboard" xfId="42"/>
    <cellStyle name="_~8639715_Financial report for FLC Feb" xfId="43"/>
    <cellStyle name="_~8639715_Financial report for FLC Jan" xfId="44"/>
    <cellStyle name="_~8639715_Financial report for FLC Jan_200801-FLV&amp;IC scoreboard(FLC)" xfId="45"/>
    <cellStyle name="_~8639715_Financial report for FLC Mar" xfId="46"/>
    <cellStyle name="_060803_HC report" xfId="47"/>
    <cellStyle name="_10" xfId="48"/>
    <cellStyle name="_10 - Working Capital evolution" xfId="49"/>
    <cellStyle name="_10 - Working Capital evolution_2009 Q1 zone BR template_master (WIP)" xfId="50"/>
    <cellStyle name="_13. Delta Price_200803" xfId="51"/>
    <cellStyle name="_13. Delta Price_200803_2009 Q1 zone BR template_master (WIP)" xfId="52"/>
    <cellStyle name="_13. Delta Price_200803_Consolidated - 2008 Q1 zone BR Ess (APOD IND) v1" xfId="53"/>
    <cellStyle name="_13. Delta Price_200803_Consolidated - 2008 Q1 zone BR Ess (APOD IND) v1_2009 Q1 zone BR template_master (WIP)" xfId="54"/>
    <cellStyle name="_13. Delta Price_200803_Consolidated - 2008 Q1 zone BR essbase retrievals v4" xfId="55"/>
    <cellStyle name="_13. Delta Price_200803_Consolidated - 2008 Q1 zone BR essbase retrievals v4 (APOD IND)" xfId="56"/>
    <cellStyle name="_13. Delta Price_200803_Consolidated - 2008 Q1 zone BR essbase retrievals v4 (APOD IND)_2009 Q1 zone BR template_master (WIP)" xfId="57"/>
    <cellStyle name="_13. Delta Price_200803_Consolidated - 2008 Q1 zone BR essbase retrievals v4_2009 Q1 zone BR template_master (WIP)" xfId="58"/>
    <cellStyle name="_16. CCO &amp; Local PL_200803" xfId="59"/>
    <cellStyle name="_17. CCO by country_200803" xfId="60"/>
    <cellStyle name="_17. CCO by country_200803_2009 Q1 zone BR template_master (WIP)" xfId="61"/>
    <cellStyle name="_17. CCO by country_200803_Consolidated - 2008 Q1 zone BR Ess (APOD IND) v1" xfId="62"/>
    <cellStyle name="_17. CCO by country_200803_Consolidated - 2008 Q1 zone BR Ess (APOD IND) v1_2009 Q1 zone BR template_master (WIP)" xfId="63"/>
    <cellStyle name="_17. CCO by country_200803_Consolidated - 2008 Q1 zone BR essbase retrievals v4" xfId="64"/>
    <cellStyle name="_17. CCO by country_200803_Consolidated - 2008 Q1 zone BR essbase retrievals v4 (APOD IND)" xfId="65"/>
    <cellStyle name="_17. CCO by country_200803_Consolidated - 2008 Q1 zone BR essbase retrievals v4 (APOD IND)_2009 Q1 zone BR template_master (WIP)" xfId="66"/>
    <cellStyle name="_17. CCO by country_200803_Consolidated - 2008 Q1 zone BR essbase retrievals v4_2009 Q1 zone BR template_master (WIP)" xfId="67"/>
    <cellStyle name="_18mm Energy Meter EP Offer 20thAug 2007" xfId="68"/>
    <cellStyle name="_18mm Energy Meter EP Offer 20thAug 2007_Colombus project card August WK32.2009" xfId="69"/>
    <cellStyle name="_18mm Energy Meter EP Offer 20thAug 2007_Overall Investments" xfId="70"/>
    <cellStyle name="_18mm Energy Meter EP Offer 20thAug 2007_Overall Investments reviewed WPF + Pravin Sep 09" xfId="71"/>
    <cellStyle name="_18mm Energy Meter EP Offer 20thAug 2007_Overall Investments V2 Oct  09" xfId="72"/>
    <cellStyle name="_2007 Productivity Frct 20060815" xfId="73"/>
    <cellStyle name="_2007 Productivity Frct 20060815_Consolidated P.L Productivity(Nov)" xfId="74"/>
    <cellStyle name="_2007 Productivity Frct 20060815_Financial report for FLC April" xfId="75"/>
    <cellStyle name="_2007 Productivity Frct 20060815_Financial report for FLC April_200805-FLV&amp;IC scoreboard" xfId="76"/>
    <cellStyle name="_2007 Productivity Frct 20060815_Financial report for FLC Feb" xfId="77"/>
    <cellStyle name="_2007 Productivity Frct 20060815_Financial report for FLC Jan" xfId="78"/>
    <cellStyle name="_2007 Productivity Frct 20060815_Financial report for FLC Jan_200801-FLV&amp;IC scoreboard(FLC)" xfId="79"/>
    <cellStyle name="_2007 Productivity Frct 20060815_Financial report for FLC Mar" xfId="80"/>
    <cellStyle name="_2007 travel budget" xfId="81"/>
    <cellStyle name="_2007.03.07  DINKLE reference_SPN_quote" xfId="82"/>
    <cellStyle name="_2007_Stock_Coverage_for LOG" xfId="83"/>
    <cellStyle name="_200708-FLV&amp;IC scoreboard" xfId="84"/>
    <cellStyle name="_200708-FLV&amp;IC scoreboard_200801-FLV&amp;IC scoreboard(FLC)" xfId="85"/>
    <cellStyle name="_200708-FLV&amp;IC scoreboard_Financial report for FLC April" xfId="86"/>
    <cellStyle name="_200708-FLV&amp;IC scoreboard_Financial report for FLC April_200805-FLV&amp;IC scoreboard" xfId="87"/>
    <cellStyle name="_200708-FLV&amp;IC scoreboard_Financial report for FLC Mar" xfId="88"/>
    <cellStyle name="_200709-FLV&amp;IC scoreboard v1" xfId="89"/>
    <cellStyle name="_2008 Q1 APOD BR Template to zones v4" xfId="90"/>
    <cellStyle name="_2008 Q1 APOD BR Template to zones v4_13. Delta Price_200803" xfId="91"/>
    <cellStyle name="_2008 Q1 APOD BR Template to zones v4_13. Delta Price_200803_2009 Q1 zone BR template_master (WIP)" xfId="92"/>
    <cellStyle name="_2008 Q1 APOD BR Template to zones v4_13. Delta Price_200803_Consolidated - 2008 Q1 zone BR Ess (APOD IND) v1" xfId="93"/>
    <cellStyle name="_2008 Q1 APOD BR Template to zones v4_13. Delta Price_200803_Consolidated - 2008 Q1 zone BR Ess (APOD IND) v1_2009 Q1 zone BR template_master (WIP)" xfId="94"/>
    <cellStyle name="_2008 Q1 APOD BR Template to zones v4_13. Delta Price_200803_Consolidated - 2008 Q1 zone BR essbase retrievals v4" xfId="95"/>
    <cellStyle name="_2008 Q1 APOD BR Template to zones v4_13. Delta Price_200803_Consolidated - 2008 Q1 zone BR essbase retrievals v4 (APOD IND)" xfId="96"/>
    <cellStyle name="_2008 Q1 APOD BR Template to zones v4_13. Delta Price_200803_Consolidated - 2008 Q1 zone BR essbase retrievals v4 (APOD IND)_2009 Q1 zone BR template_master (WIP)" xfId="97"/>
    <cellStyle name="_2008 Q1 APOD BR Template to zones v4_13. Delta Price_200803_Consolidated - 2008 Q1 zone BR essbase retrievals v4_2009 Q1 zone BR template_master (WIP)" xfId="98"/>
    <cellStyle name="_2008 Q1 APOD BR Template to zones v4_17. CCO by country_200803" xfId="99"/>
    <cellStyle name="_2008 Q1 APOD BR Template to zones v4_17. CCO by country_200803_2009 Q1 zone BR template_master (WIP)" xfId="100"/>
    <cellStyle name="_2008 Q1 APOD BR Template to zones v4_17. CCO by country_200803_Consolidated - 2008 Q1 zone BR Ess (APOD IND) v1" xfId="101"/>
    <cellStyle name="_2008 Q1 APOD BR Template to zones v4_17. CCO by country_200803_Consolidated - 2008 Q1 zone BR Ess (APOD IND) v1_2009 Q1 zone BR template_master (WIP)" xfId="102"/>
    <cellStyle name="_2008 Q1 APOD BR Template to zones v4_17. CCO by country_200803_Consolidated - 2008 Q1 zone BR essbase retrievals v4" xfId="103"/>
    <cellStyle name="_2008 Q1 APOD BR Template to zones v4_17. CCO by country_200803_Consolidated - 2008 Q1 zone BR essbase retrievals v4 (APOD IND)" xfId="104"/>
    <cellStyle name="_2008 Q1 APOD BR Template to zones v4_17. CCO by country_200803_Consolidated - 2008 Q1 zone BR essbase retrievals v4 (APOD IND)_2009 Q1 zone BR template_master (WIP)" xfId="105"/>
    <cellStyle name="_2008 Q1 APOD BR Template to zones v4_17. CCO by country_200803_Consolidated - 2008 Q1 zone BR essbase retrievals v4_2009 Q1 zone BR template_master (WIP)" xfId="106"/>
    <cellStyle name="_2008 Q1 APOD BR Template to zones v4_2008 Q3 zone BR template_master" xfId="107"/>
    <cellStyle name="_2008 Q1 APOD BR Template to zones v4_2008 Q3 zone BR template_master (WIP Herrick) v2" xfId="108"/>
    <cellStyle name="_2008 Q1 APOD BR Template to zones v4_2008 Q3 zone BR template_master (WIP Herrick) v2_2009 Q1 zone BR template_master (WIP)" xfId="109"/>
    <cellStyle name="_2008 Q1 APOD BR Template to zones v4_2008 Q3 zone BR template_master_2009 Q1 zone BR template_master (WIP)" xfId="110"/>
    <cellStyle name="_2008 Q1 APOD BR Template to zones v4_2009 Q1 zone BR template_master (WIP)" xfId="111"/>
    <cellStyle name="_2008 Q1 APOD BR Template to zones v4_2009 Q1 zone BR template_master (WIP)_Industrial v2" xfId="112"/>
    <cellStyle name="_2008 Q1 APOD BR Template to zones v4_APOD CCO trends analysis_200902" xfId="113"/>
    <cellStyle name="_2008 Q1 APOD BR Template to zones v4_backlog" xfId="114"/>
    <cellStyle name="_2008 Q1 APOD BR Template to zones v4_Backlog 200812 - 2008 perimeter" xfId="115"/>
    <cellStyle name="_2008 Q1 APOD BR Template to zones v4_Backlog Pacific" xfId="116"/>
    <cellStyle name="_2008 Q1 APOD BR Template to zones v4_Backlog Pacific_2009 Q1 zone BR template_master (WIP)" xfId="117"/>
    <cellStyle name="_2008 Q1 APOD BR Template to zones v4_backlog_2009 Q1 zone BR template_master (WIP)" xfId="118"/>
    <cellStyle name="_2008 Q1 APOD BR Template to zones v4_backlog_Consolidated - 2008 Q1 zone BR Ess (APOD IND) v1" xfId="119"/>
    <cellStyle name="_2008 Q1 APOD BR Template to zones v4_backlog_Consolidated - 2008 Q1 zone BR Ess (APOD IND) v1_2009 Q1 zone BR template_master (WIP)" xfId="120"/>
    <cellStyle name="_2008 Q1 APOD BR Template to zones v4_backlog_Consolidated - 2008 Q1 zone BR essbase retrievals v4" xfId="121"/>
    <cellStyle name="_2008 Q1 APOD BR Template to zones v4_backlog_Consolidated - 2008 Q1 zone BR essbase retrievals v4 (APOD IND)" xfId="122"/>
    <cellStyle name="_2008 Q1 APOD BR Template to zones v4_backlog_Consolidated - 2008 Q1 zone BR essbase retrievals v4 (APOD IND)_2009 Q1 zone BR template_master (WIP)" xfId="123"/>
    <cellStyle name="_2008 Q1 APOD BR Template to zones v4_backlog_Consolidated - 2008 Q1 zone BR essbase retrievals v4_2009 Q1 zone BR template_master (WIP)" xfId="124"/>
    <cellStyle name="_2008 Q1 APOD BR Template to zones v4_BR template for Zone(NEA)_Q2BR" xfId="125"/>
    <cellStyle name="_2008 Q1 APOD BR Template to zones v4_BR template for Zone(NEA)_Q2BR_2009 Q1 zone BR template_master (WIP)" xfId="126"/>
    <cellStyle name="_2008 Q1 APOD BR Template to zones v4_Consolidated - 2008 Q1 zone BR Ess (APOD IND) v3" xfId="127"/>
    <cellStyle name="_2008 Q1 APOD BR Template to zones v4_Consolidated - 2008 Q1 zone BR Ess (APOD IND) v3_2009 Q1 zone BR template_master (WIP)" xfId="128"/>
    <cellStyle name="_2008 Q1 APOD BR Template to zones v4_Consolidated - 2008 Q1 zone BR essbase retrievals v3" xfId="129"/>
    <cellStyle name="_2008 Q1 APOD BR Template to zones v4_Consolidated - 2008 Q1 zone BR essbase retrievals v3_2009 Q1 zone BR template_master (WIP)" xfId="130"/>
    <cellStyle name="_2008 Q1 APOD BR Template to zones v4_Consolidated - 2008 Q1 zone BR essbase retrievals v3_Consolidated - 2008 Q1 zone BR Ess (APOD IND) v1" xfId="131"/>
    <cellStyle name="_2008 Q1 APOD BR Template to zones v4_Consolidated - 2008 Q1 zone BR essbase retrievals v3_Consolidated - 2008 Q1 zone BR Ess (APOD IND) v1_2009 Q1 zone BR template_master (WIP)" xfId="132"/>
    <cellStyle name="_2008 Q1 APOD BR Template to zones v4_Consolidated - 2008 Q1 zone BR essbase retrievals v3_Consolidated - 2008 Q1 zone BR essbase retrievals v4" xfId="133"/>
    <cellStyle name="_2008 Q1 APOD BR Template to zones v4_Consolidated - 2008 Q1 zone BR essbase retrievals v3_Consolidated - 2008 Q1 zone BR essbase retrievals v4 (APOD IND)" xfId="134"/>
    <cellStyle name="_2008 Q1 APOD BR Template to zones v4_Consolidated - 2008 Q1 zone BR essbase retrievals v3_Consolidated - 2008 Q1 zone BR essbase retrievals v4 (APOD IND)_2009 Q1 zone BR template_master (WIP)" xfId="135"/>
    <cellStyle name="_2008 Q1 APOD BR Template to zones v4_Consolidated - 2008 Q1 zone BR essbase retrievals v3_Consolidated - 2008 Q1 zone BR essbase retrievals v4_2009 Q1 zone BR template_master (WIP)" xfId="136"/>
    <cellStyle name="_2008 Q1 APOD BR Template to zones v4_Consolidated - 2008 Q2 zone BR essbase retrievals (WIP)" xfId="137"/>
    <cellStyle name="_2008 Q1 APOD BR Template to zones v4_Consolidated - 2008 Q2 zone BR essbase retrievals (WIP) 30May08" xfId="138"/>
    <cellStyle name="_2008 Q1 APOD BR Template to zones v4_Consolidated - 2008 Q2 zone BR essbase retrievals (WIP) 30May08_2009 Q1 zone BR template_master (WIP)" xfId="139"/>
    <cellStyle name="_2008 Q1 APOD BR Template to zones v4_Consolidated - 2008 Q2 zone BR essbase retrievals (WIP) 4Jun08" xfId="140"/>
    <cellStyle name="_2008 Q1 APOD BR Template to zones v4_Consolidated - 2008 Q2 zone BR essbase retrievals (WIP) 4Jun08_2009 Q1 zone BR template_master (WIP)" xfId="141"/>
    <cellStyle name="_2008 Q1 APOD BR Template to zones v4_Consolidated - 2008 Q2 zone BR essbase retrievals (WIP) 5Jun08" xfId="142"/>
    <cellStyle name="_2008 Q1 APOD BR Template to zones v4_Consolidated - 2008 Q2 zone BR essbase retrievals (WIP) 5Jun08_2009 Q1 zone BR template_master (WIP)" xfId="143"/>
    <cellStyle name="_2008 Q1 APOD BR Template to zones v4_Consolidated - 2008 Q2 zone BR essbase retrievals (WIP)_2009 Q1 zone BR template_master (WIP)" xfId="144"/>
    <cellStyle name="_2008 Q1 APOD BR Template to zones v4_Growth Ambitions - Pacific" xfId="145"/>
    <cellStyle name="_2008 Q1 APOD BR Template to zones v4_Growth Ambitions - Pacific_2009 Q1 zone BR template_master (WIP)" xfId="146"/>
    <cellStyle name="_2008 Q1 APOD BR Template to zones v4_HFM AOC_200812_v5" xfId="147"/>
    <cellStyle name="_2008 Q1 APOD BR Template to zones v4_OG sales by entity" xfId="148"/>
    <cellStyle name="_2008 Q1 APOD BR Template to zones v4_OG sales by entity_2009 Q1 zone BR template_master (WIP)" xfId="149"/>
    <cellStyle name="_2008 Q1 APOD BR Template to zones v4_OG sales by entity_Consolidated - 2008 Q1 zone BR Ess (APOD IND) v1" xfId="150"/>
    <cellStyle name="_2008 Q1 APOD BR Template to zones v4_OG sales by entity_Consolidated - 2008 Q1 zone BR Ess (APOD IND) v1_2009 Q1 zone BR template_master (WIP)" xfId="151"/>
    <cellStyle name="_2008 Q1 APOD BR Template to zones v4_OG sales by entity_Consolidated - 2008 Q1 zone BR essbase retrievals v4" xfId="152"/>
    <cellStyle name="_2008 Q1 APOD BR Template to zones v4_OG sales by entity_Consolidated - 2008 Q1 zone BR essbase retrievals v4 (APOD IND)" xfId="153"/>
    <cellStyle name="_2008 Q1 APOD BR Template to zones v4_OG sales by entity_Consolidated - 2008 Q1 zone BR essbase retrievals v4 (APOD IND)_2009 Q1 zone BR template_master (WIP)" xfId="154"/>
    <cellStyle name="_2008 Q1 APOD BR Template to zones v4_OG sales by entity_Consolidated - 2008 Q1 zone BR essbase retrievals v4_2009 Q1 zone BR template_master (WIP)" xfId="155"/>
    <cellStyle name="_2008 Q1 APOD BR Template to zones v4_Q3 BR command button testing" xfId="156"/>
    <cellStyle name="_2008 Q1 APOD BR Template to zones v4_Q3 BR command button testing_2009 Q1 zone BR template_master (WIP)" xfId="157"/>
    <cellStyle name="_2008 Q1 APOD BR Template to zones v4_zone growth ambition" xfId="158"/>
    <cellStyle name="_2008 Q1 APOD BR Template to zones v4_zone growth ambition_2009 Q1 zone BR template_master (WIP)" xfId="159"/>
    <cellStyle name="_2008 Q1 APOD BR Template to zones v4_zone growth ambition_Consolidated - 2008 Q1 zone BR Ess (APOD IND) v1" xfId="160"/>
    <cellStyle name="_2008 Q1 APOD BR Template to zones v4_zone growth ambition_Consolidated - 2008 Q1 zone BR Ess (APOD IND) v1_2009 Q1 zone BR template_master (WIP)" xfId="161"/>
    <cellStyle name="_2008 Q1 APOD BR Template to zones v4_zone growth ambition_Consolidated - 2008 Q1 zone BR essbase retrievals v4" xfId="162"/>
    <cellStyle name="_2008 Q1 APOD BR Template to zones v4_zone growth ambition_Consolidated - 2008 Q1 zone BR essbase retrievals v4 (APOD IND)" xfId="163"/>
    <cellStyle name="_2008 Q1 APOD BR Template to zones v4_zone growth ambition_Consolidated - 2008 Q1 zone BR essbase retrievals v4 (APOD IND)_2009 Q1 zone BR template_master (WIP)" xfId="164"/>
    <cellStyle name="_2008 Q1 APOD BR Template to zones v4_zone growth ambition_Consolidated - 2008 Q1 zone BR essbase retrievals v4_2009 Q1 zone BR template_master (WIP)" xfId="165"/>
    <cellStyle name="_2008 Q1 zone BR submission" xfId="166"/>
    <cellStyle name="_2008 Q1 zone BR submission (APOD IND)" xfId="167"/>
    <cellStyle name="_2008 Q1 zone BR submission_2009 Q1 zone BR template_master (WIP)" xfId="168"/>
    <cellStyle name="_2008 Q1 zone BR submission_Consolidated - 2008 Q1 zone BR Ess (APOD IND) v1" xfId="169"/>
    <cellStyle name="_2008 Q1 zone BR submission_Consolidated - 2008 Q1 zone BR Ess (APOD IND) v1_2009 Q1 zone BR template_master (WIP)" xfId="170"/>
    <cellStyle name="_2008 Q1 zone BR submission_Consolidated - 2008 Q1 zone BR essbase retrievals v4" xfId="171"/>
    <cellStyle name="_2008 Q1 zone BR submission_Consolidated - 2008 Q1 zone BR essbase retrievals v4 (APOD IND)" xfId="172"/>
    <cellStyle name="_2008 Q1 zone BR submission_Consolidated - 2008 Q1 zone BR essbase retrievals v4 (APOD IND)_2009 Q1 zone BR template_master (WIP)" xfId="173"/>
    <cellStyle name="_2008 Q1 zone BR submission_Consolidated - 2008 Q1 zone BR essbase retrievals v4_2009 Q1 zone BR template_master (WIP)" xfId="174"/>
    <cellStyle name="_2008 Q3 zone BR template_master" xfId="175"/>
    <cellStyle name="_2008 Q3 zone BR template_master (WIP Herrick) v2" xfId="176"/>
    <cellStyle name="_2008 Q3 zone BR template_master (WIP Herrick) v2_2009 Q1 zone BR template_master (WIP)" xfId="177"/>
    <cellStyle name="_2008 Q3 zone BR template_master_2009 Q1 zone BR template_master (WIP)" xfId="178"/>
    <cellStyle name="_200803 CCO improvement_v3" xfId="179"/>
    <cellStyle name="_2008-09-23 - MoM updated V1.0" xfId="180"/>
    <cellStyle name="_200810-FLV&amp;IC scoreboard" xfId="181"/>
    <cellStyle name="_200811 Capex input form-actual(China TAF)" xfId="182"/>
    <cellStyle name="_2008Q3 BR Capex forecast V1" xfId="183"/>
    <cellStyle name="_2009 official exch rates" xfId="184"/>
    <cellStyle name="_2009 Q1 zone BR template_master (WIP)" xfId="185"/>
    <cellStyle name="_2009 Q1 zone BR template_master (WIP)_Industrial v2" xfId="186"/>
    <cellStyle name="_45 &amp; Risk management_factory Moving &amp; NPI Project_HMI_v1_20090210" xfId="187"/>
    <cellStyle name="_AB 2009 Feb SSAM 20090302" xfId="188"/>
    <cellStyle name="_ABT Capex Console-2006 Q1_New" xfId="189"/>
    <cellStyle name="_Actual 2008 APOD OH Total Dec.v2" xfId="190"/>
    <cellStyle name="_Actual 2008 APOD OH Total Oct Summary" xfId="191"/>
    <cellStyle name="_Actual 2008 APOD OH Total Oct Summary.v2" xfId="192"/>
    <cellStyle name="_Actual 2008 APOD OH Total Sep v6(Q3 BR-Expat upd)" xfId="193"/>
    <cellStyle name="_Actual 2008 APOD OH Total v2" xfId="194"/>
    <cellStyle name="_Actual 2008 APOD OH Total v2_2009 Q1 zone BR template_master (WIP)" xfId="195"/>
    <cellStyle name="_Actual 2008 APOD OH Total v2_Actual 2008 APOD OH Total Aug v1" xfId="196"/>
    <cellStyle name="_Actual 2008 APOD OH Total v2_Actual 2008 APOD OH Total Aug v1_Actual 2008 APOD OH Total Dec.v2" xfId="197"/>
    <cellStyle name="_Actual 2008 APOD OH Total v2_Actual 2008 APOD OH Total Aug v1_Actual 2008 APOD OH Total Oct Summary" xfId="198"/>
    <cellStyle name="_Actual 2008 APOD OH Total v2_Actual 2008 APOD OH Total Aug v1_Actual 2008 APOD OH Total Oct Summary.v2" xfId="199"/>
    <cellStyle name="_Actual 2008 APOD OH Total v2_Actual 2008 APOD OH Total Aug v1_Actual 2008 APOD OH Total Sep v6(Q3 BR-Expat upd)" xfId="200"/>
    <cellStyle name="_Actual 2008 APOD OH Total v2_Actual 2008 APOD OH Total Aug v3(Q3 BR)" xfId="201"/>
    <cellStyle name="_Actual 2008 APOD OH Total v2_Actual 2008 APOD OH Total Aug v3(Q3 BR)_Actual 2008 APOD OH Total Dec.v2" xfId="202"/>
    <cellStyle name="_Actual 2008 APOD OH Total v2_Actual 2008 APOD OH Total Aug v3(Q3 BR)_Actual 2008 APOD OH Total Oct Summary" xfId="203"/>
    <cellStyle name="_Actual 2008 APOD OH Total v2_Actual 2008 APOD OH Total Aug v3(Q3 BR)_Actual 2008 APOD OH Total Oct Summary.v2" xfId="204"/>
    <cellStyle name="_Actual 2008 APOD OH Total v2_Actual 2008 APOD OH Total Aug v3(Q3 BR)_Actual 2008 APOD OH Total Sep v6(Q3 BR-Expat upd)" xfId="205"/>
    <cellStyle name="_Actual 2008 APOD OH Total v2_Actual 2008 APOD OH Total Aug v5(Q3 BR)" xfId="206"/>
    <cellStyle name="_Actual 2008 APOD OH Total v2_Actual 2008 APOD OH Total Aug v5(Q3 BR)_Actual 2008 APOD OH Total Dec.v2" xfId="207"/>
    <cellStyle name="_Actual 2008 APOD OH Total v2_Actual 2008 APOD OH Total Aug v5(Q3 BR)_Actual 2008 APOD OH Total Oct Summary" xfId="208"/>
    <cellStyle name="_Actual 2008 APOD OH Total v2_Actual 2008 APOD OH Total Aug v5(Q3 BR)_Actual 2008 APOD OH Total Oct Summary.v2" xfId="209"/>
    <cellStyle name="_Actual 2008 APOD OH Total v2_Actual 2008 APOD OH Total Aug v5(Q3 BR)_Actual 2008 APOD OH Total Sep v6(Q3 BR-Expat upd)" xfId="210"/>
    <cellStyle name="_Actual 2008 APOD OH Total v2_Actual 2008 APOD OH Total Aug v7(Q3 BR)" xfId="211"/>
    <cellStyle name="_Actual 2008 APOD OH Total v2_Actual 2008 APOD OH Total Aug v7(Q3 BR)_Actual 2008 APOD OH Total Dec.v2" xfId="212"/>
    <cellStyle name="_Actual 2008 APOD OH Total v2_Actual 2008 APOD OH Total Aug v7(Q3 BR)_Actual 2008 APOD OH Total Oct Summary" xfId="213"/>
    <cellStyle name="_Actual 2008 APOD OH Total v2_Actual 2008 APOD OH Total Aug v7(Q3 BR)_Actual 2008 APOD OH Total Oct Summary.v2" xfId="214"/>
    <cellStyle name="_Actual 2008 APOD OH Total v2_Actual 2008 APOD OH Total Aug v7(Q3 BR)_Actual 2008 APOD OH Total Sep v6(Q3 BR-Expat upd)" xfId="215"/>
    <cellStyle name="_Actual 2008 APOD OH Total v2_Actual 2008 APOD OH Total July v4(Q3BR)" xfId="216"/>
    <cellStyle name="_Actual 2008 APOD OH Total v2_Actual 2008 APOD OH Total July v4(Q3BR)_Actual 2008 APOD OH Total Dec.v2" xfId="217"/>
    <cellStyle name="_Actual 2008 APOD OH Total v2_Actual 2008 APOD OH Total July v4(Q3BR)_Actual 2008 APOD OH Total Oct Summary" xfId="218"/>
    <cellStyle name="_Actual 2008 APOD OH Total v2_Actual 2008 APOD OH Total July v4(Q3BR)_Actual 2008 APOD OH Total Oct Summary.v2" xfId="219"/>
    <cellStyle name="_Actual 2008 APOD OH Total v2_Actual 2008 APOD OH Total July v4(Q3BR)_Actual 2008 APOD OH Total Sep v6(Q3 BR-Expat upd)" xfId="220"/>
    <cellStyle name="_Actual 2008 APOD OH Total v2_Actual 2008 APOD OH Total July v5(Q3BR)" xfId="221"/>
    <cellStyle name="_Actual 2008 APOD OH Total v2_Actual 2008 APOD OH Total July v5(Q3BR)_Actual 2008 APOD OH Total Dec.v2" xfId="222"/>
    <cellStyle name="_Actual 2008 APOD OH Total v2_Actual 2008 APOD OH Total July v5(Q3BR)_Actual 2008 APOD OH Total Oct Summary" xfId="223"/>
    <cellStyle name="_Actual 2008 APOD OH Total v2_Actual 2008 APOD OH Total July v5(Q3BR)_Actual 2008 APOD OH Total Oct Summary.v2" xfId="224"/>
    <cellStyle name="_Actual 2008 APOD OH Total v2_Actual 2008 APOD OH Total July v5(Q3BR)_Actual 2008 APOD OH Total Sep v6(Q3 BR-Expat upd)" xfId="225"/>
    <cellStyle name="_Actual 2008 APOD OH Total v2_Actual 2008 APOD OH Total May v2" xfId="226"/>
    <cellStyle name="_Actual 2008 APOD OH Total v2_Actual 2008 APOD OH Total May v2_Actual 2008 APOD OH Total Dec.v2" xfId="227"/>
    <cellStyle name="_Actual 2008 APOD OH Total v2_Actual 2008 APOD OH Total May v2_Actual 2008 APOD OH Total Oct Summary" xfId="228"/>
    <cellStyle name="_Actual 2008 APOD OH Total v2_Actual 2008 APOD OH Total May v2_Actual 2008 APOD OH Total Oct Summary.v2" xfId="229"/>
    <cellStyle name="_Actual 2008 APOD OH Total v2_Actual 2008 APOD OH Total May v2_Actual 2008 APOD OH Total Sep v6(Q3 BR-Expat upd)" xfId="230"/>
    <cellStyle name="_Actual 2008 APOD OH Total v2_Actual 2008 APOD OH Total Sep v2(Q3 BR)" xfId="231"/>
    <cellStyle name="_Actual 2008 APOD OH Total v2_Actual 2008 APOD OH Total Sep v2(Q3 BR)_Actual 2008 APOD OH Total Dec.v2" xfId="232"/>
    <cellStyle name="_Actual 2008 APOD OH Total v2_Actual 2008 APOD OH Total Sep v2(Q3 BR)_Actual 2008 APOD OH Total Oct Summary" xfId="233"/>
    <cellStyle name="_Actual 2008 APOD OH Total v2_Actual 2008 APOD OH Total Sep v2(Q3 BR)_Actual 2008 APOD OH Total Oct Summary.v2" xfId="234"/>
    <cellStyle name="_Actual 2008 APOD OH Total v2_Actual 2008 APOD OH Total Sep v2(Q3 BR)_Actual 2008 APOD OH Total Sep v6(Q3 BR-Expat upd)" xfId="235"/>
    <cellStyle name="_Actual 2008 APOD OH Total v2_SSAM dashboard" xfId="236"/>
    <cellStyle name="_Alim-U Offer 23072009" xfId="237"/>
    <cellStyle name="_Alim-U Offer 23072009_Colombus project card August WK32.2009" xfId="238"/>
    <cellStyle name="_Alim-U Offer 23072009_Overall Investments" xfId="239"/>
    <cellStyle name="_Alim-U Offer 23072009_Overall Investments reviewed WPF + Pravin Sep 09" xfId="240"/>
    <cellStyle name="_Alim-U Offer 23072009_Overall Investments V2 Oct  09" xfId="241"/>
    <cellStyle name="_All China HC-V5" xfId="242"/>
    <cellStyle name="_All JVs-China(1)" xfId="243"/>
    <cellStyle name="_Allocation Key 2009Dec" xfId="244"/>
    <cellStyle name="_AOC on productivity_Monthly_200701" xfId="245"/>
    <cellStyle name="_AOC on productivity_Monthly_200703" xfId="246"/>
    <cellStyle name="_AOC_IVSD_Spreadsheet_200610" xfId="247"/>
    <cellStyle name="_APOD - Automation BU activities v2 200709 Actual vs 200609 Restated" xfId="248"/>
    <cellStyle name="_APOD - Strategic activities v3 200709 Actual vs 200609 Restated WIP" xfId="249"/>
    <cellStyle name="_APOD 2009 YEF P&amp;L - 2008 perimeter" xfId="250"/>
    <cellStyle name="_APOD CCO trends analysis_200902" xfId="251"/>
    <cellStyle name="_APOD Dir 1 - Resource &amp; Competence Gap Bridging - Sep ' 07" xfId="252"/>
    <cellStyle name="_APOD Dir 1 - Resource &amp; Competence Gap Bridging - Sep ' 07_13. Delta Price_200803" xfId="253"/>
    <cellStyle name="_APOD Dir 1 - Resource &amp; Competence Gap Bridging - Sep ' 07_13. Delta Price_200803_2009 Q1 zone BR template_master (WIP)" xfId="254"/>
    <cellStyle name="_APOD Dir 1 - Resource &amp; Competence Gap Bridging - Sep ' 07_13. Delta Price_200803_Consolidated - 2008 Q1 zone BR Ess (APOD IND) v1" xfId="255"/>
    <cellStyle name="_APOD Dir 1 - Resource &amp; Competence Gap Bridging - Sep ' 07_13. Delta Price_200803_Consolidated - 2008 Q1 zone BR Ess (APOD IND) v1_2009 Q1 zone BR template_master (WIP)" xfId="256"/>
    <cellStyle name="_APOD Dir 1 - Resource &amp; Competence Gap Bridging - Sep ' 07_13. Delta Price_200803_Consolidated - 2008 Q1 zone BR essbase retrievals v4" xfId="257"/>
    <cellStyle name="_APOD Dir 1 - Resource &amp; Competence Gap Bridging - Sep ' 07_13. Delta Price_200803_Consolidated - 2008 Q1 zone BR essbase retrievals v4 (APOD IND)" xfId="258"/>
    <cellStyle name="_APOD Dir 1 - Resource &amp; Competence Gap Bridging - Sep ' 07_13. Delta Price_200803_Consolidated - 2008 Q1 zone BR essbase retrievals v4 (APOD IND)_2009 Q1 zone BR template_master (WIP)" xfId="259"/>
    <cellStyle name="_APOD Dir 1 - Resource &amp; Competence Gap Bridging - Sep ' 07_13. Delta Price_200803_Consolidated - 2008 Q1 zone BR essbase retrievals v4_2009 Q1 zone BR template_master (WIP)" xfId="260"/>
    <cellStyle name="_APOD Dir 1 - Resource &amp; Competence Gap Bridging - Sep ' 07_17. CCO by country_200803" xfId="261"/>
    <cellStyle name="_APOD Dir 1 - Resource &amp; Competence Gap Bridging - Sep ' 07_17. CCO by country_200803_2009 Q1 zone BR template_master (WIP)" xfId="262"/>
    <cellStyle name="_APOD Dir 1 - Resource &amp; Competence Gap Bridging - Sep ' 07_17. CCO by country_200803_Consolidated - 2008 Q1 zone BR Ess (APOD IND) v1" xfId="263"/>
    <cellStyle name="_APOD Dir 1 - Resource &amp; Competence Gap Bridging - Sep ' 07_17. CCO by country_200803_Consolidated - 2008 Q1 zone BR Ess (APOD IND) v1_2009 Q1 zone BR template_master (WIP)" xfId="264"/>
    <cellStyle name="_APOD Dir 1 - Resource &amp; Competence Gap Bridging - Sep ' 07_17. CCO by country_200803_Consolidated - 2008 Q1 zone BR essbase retrievals v4" xfId="265"/>
    <cellStyle name="_APOD Dir 1 - Resource &amp; Competence Gap Bridging - Sep ' 07_17. CCO by country_200803_Consolidated - 2008 Q1 zone BR essbase retrievals v4 (APOD IND)" xfId="266"/>
    <cellStyle name="_APOD Dir 1 - Resource &amp; Competence Gap Bridging - Sep ' 07_17. CCO by country_200803_Consolidated - 2008 Q1 zone BR essbase retrievals v4 (APOD IND)_2009 Q1 zone BR template_master (WIP)" xfId="267"/>
    <cellStyle name="_APOD Dir 1 - Resource &amp; Competence Gap Bridging - Sep ' 07_17. CCO by country_200803_Consolidated - 2008 Q1 zone BR essbase retrievals v4_2009 Q1 zone BR template_master (WIP)" xfId="268"/>
    <cellStyle name="_APOD Dir 1 - Resource &amp; Competence Gap Bridging - Sep ' 07_2008 Q1 zone BR submission" xfId="269"/>
    <cellStyle name="_APOD Dir 1 - Resource &amp; Competence Gap Bridging - Sep ' 07_2008 Q1 zone BR submission (APOD IND)" xfId="270"/>
    <cellStyle name="_APOD Dir 1 - Resource &amp; Competence Gap Bridging - Sep ' 07_2008 Q1 zone BR submission_2009 Q1 zone BR template_master (WIP)" xfId="271"/>
    <cellStyle name="_APOD Dir 1 - Resource &amp; Competence Gap Bridging - Sep ' 07_2008 Q1 zone BR submission_Consolidated - 2008 Q1 zone BR Ess (APOD IND) v1" xfId="272"/>
    <cellStyle name="_APOD Dir 1 - Resource &amp; Competence Gap Bridging - Sep ' 07_2008 Q1 zone BR submission_Consolidated - 2008 Q1 zone BR Ess (APOD IND) v1_2009 Q1 zone BR template_master (WIP)" xfId="273"/>
    <cellStyle name="_APOD Dir 1 - Resource &amp; Competence Gap Bridging - Sep ' 07_2008 Q1 zone BR submission_Consolidated - 2008 Q1 zone BR essbase retrievals v4" xfId="274"/>
    <cellStyle name="_APOD Dir 1 - Resource &amp; Competence Gap Bridging - Sep ' 07_2008 Q1 zone BR submission_Consolidated - 2008 Q1 zone BR essbase retrievals v4 (APOD IND)" xfId="275"/>
    <cellStyle name="_APOD Dir 1 - Resource &amp; Competence Gap Bridging - Sep ' 07_2008 Q1 zone BR submission_Consolidated - 2008 Q1 zone BR essbase retrievals v4 (APOD IND)_2009 Q1 zone BR template_master (WIP)" xfId="276"/>
    <cellStyle name="_APOD Dir 1 - Resource &amp; Competence Gap Bridging - Sep ' 07_2008 Q1 zone BR submission_Consolidated - 2008 Q1 zone BR essbase retrievals v4_2009 Q1 zone BR template_master (WIP)" xfId="277"/>
    <cellStyle name="_APOD Dir 1 - Resource &amp; Competence Gap Bridging - Sep ' 07_2008 Q3 zone BR template_master" xfId="278"/>
    <cellStyle name="_APOD Dir 1 - Resource &amp; Competence Gap Bridging - Sep ' 07_2008 Q3 zone BR template_master (WIP Herrick) v2" xfId="279"/>
    <cellStyle name="_APOD Dir 1 - Resource &amp; Competence Gap Bridging - Sep ' 07_2008 Q3 zone BR template_master (WIP Herrick) v2_2009 Q1 zone BR template_master (WIP)" xfId="280"/>
    <cellStyle name="_APOD Dir 1 - Resource &amp; Competence Gap Bridging - Sep ' 07_2008 Q3 zone BR template_master_2009 Q1 zone BR template_master (WIP)" xfId="281"/>
    <cellStyle name="_APOD Dir 1 - Resource &amp; Competence Gap Bridging - Sep ' 07_2009 Q1 zone BR template_master (WIP)" xfId="282"/>
    <cellStyle name="_APOD Dir 1 - Resource &amp; Competence Gap Bridging - Sep ' 07_2009 Q1 zone BR template_master (WIP)_Industrial v2" xfId="283"/>
    <cellStyle name="_APOD Dir 1 - Resource &amp; Competence Gap Bridging - Sep ' 07_APOD CCO trends analysis_200902" xfId="284"/>
    <cellStyle name="_APOD Dir 1 - Resource &amp; Competence Gap Bridging - Sep ' 07_backlog" xfId="285"/>
    <cellStyle name="_APOD Dir 1 - Resource &amp; Competence Gap Bridging - Sep ' 07_Backlog 200812 - 2008 perimeter" xfId="286"/>
    <cellStyle name="_APOD Dir 1 - Resource &amp; Competence Gap Bridging - Sep ' 07_Backlog Pacific" xfId="287"/>
    <cellStyle name="_APOD Dir 1 - Resource &amp; Competence Gap Bridging - Sep ' 07_Backlog Pacific_2009 Q1 zone BR template_master (WIP)" xfId="288"/>
    <cellStyle name="_APOD Dir 1 - Resource &amp; Competence Gap Bridging - Sep ' 07_backlog_2009 Q1 zone BR template_master (WIP)" xfId="289"/>
    <cellStyle name="_APOD Dir 1 - Resource &amp; Competence Gap Bridging - Sep ' 07_backlog_Consolidated - 2008 Q1 zone BR Ess (APOD IND) v1" xfId="290"/>
    <cellStyle name="_APOD Dir 1 - Resource &amp; Competence Gap Bridging - Sep ' 07_backlog_Consolidated - 2008 Q1 zone BR Ess (APOD IND) v1_2009 Q1 zone BR template_master (WIP)" xfId="291"/>
    <cellStyle name="_APOD Dir 1 - Resource &amp; Competence Gap Bridging - Sep ' 07_backlog_Consolidated - 2008 Q1 zone BR essbase retrievals v4" xfId="292"/>
    <cellStyle name="_APOD Dir 1 - Resource &amp; Competence Gap Bridging - Sep ' 07_backlog_Consolidated - 2008 Q1 zone BR essbase retrievals v4 (APOD IND)" xfId="293"/>
    <cellStyle name="_APOD Dir 1 - Resource &amp; Competence Gap Bridging - Sep ' 07_backlog_Consolidated - 2008 Q1 zone BR essbase retrievals v4 (APOD IND)_2009 Q1 zone BR template_master (WIP)" xfId="294"/>
    <cellStyle name="_APOD Dir 1 - Resource &amp; Competence Gap Bridging - Sep ' 07_backlog_Consolidated - 2008 Q1 zone BR essbase retrievals v4_2009 Q1 zone BR template_master (WIP)" xfId="295"/>
    <cellStyle name="_APOD Dir 1 - Resource &amp; Competence Gap Bridging - Sep ' 07_BR template for Zone(NEA)_Q2BR" xfId="296"/>
    <cellStyle name="_APOD Dir 1 - Resource &amp; Competence Gap Bridging - Sep ' 07_BR template for Zone(NEA)_Q2BR_2009 Q1 zone BR template_master (WIP)" xfId="297"/>
    <cellStyle name="_APOD Dir 1 - Resource &amp; Competence Gap Bridging - Sep ' 07_Consolidated - 2008 Q1 zone BR Ess (APOD IND) v3" xfId="298"/>
    <cellStyle name="_APOD Dir 1 - Resource &amp; Competence Gap Bridging - Sep ' 07_Consolidated - 2008 Q1 zone BR Ess (APOD IND) v3_2009 Q1 zone BR template_master (WIP)" xfId="299"/>
    <cellStyle name="_APOD Dir 1 - Resource &amp; Competence Gap Bridging - Sep ' 07_Consolidated - 2008 Q1 zone BR essbase retrievals v3" xfId="300"/>
    <cellStyle name="_APOD Dir 1 - Resource &amp; Competence Gap Bridging - Sep ' 07_Consolidated - 2008 Q1 zone BR essbase retrievals v3_2009 Q1 zone BR template_master (WIP)" xfId="301"/>
    <cellStyle name="_APOD Dir 1 - Resource &amp; Competence Gap Bridging - Sep ' 07_Consolidated - 2008 Q1 zone BR essbase retrievals v3_Consolidated - 2008 Q1 zone BR Ess (APOD IND) v1" xfId="302"/>
    <cellStyle name="_APOD Dir 1 - Resource &amp; Competence Gap Bridging - Sep ' 07_Consolidated - 2008 Q1 zone BR essbase retrievals v3_Consolidated - 2008 Q1 zone BR Ess (APOD IND) v1_2009 Q1 zone BR template_master (WIP)" xfId="303"/>
    <cellStyle name="_APOD Dir 1 - Resource &amp; Competence Gap Bridging - Sep ' 07_Consolidated - 2008 Q1 zone BR essbase retrievals v3_Consolidated - 2008 Q1 zone BR essbase retrievals v4" xfId="304"/>
    <cellStyle name="_APOD Dir 1 - Resource &amp; Competence Gap Bridging - Sep ' 07_Consolidated - 2008 Q1 zone BR essbase retrievals v3_Consolidated - 2008 Q1 zone BR essbase retrievals v4 (APOD IND)" xfId="305"/>
    <cellStyle name="_APOD Dir 1 - Resource &amp; Competence Gap Bridging - Sep ' 07_Consolidated - 2008 Q1 zone BR essbase retrievals v3_Consolidated - 2008 Q1 zone BR essbase retrievals v4 (APOD IND)_2009 Q1 zone BR template_master (WIP)" xfId="306"/>
    <cellStyle name="_APOD Dir 1 - Resource &amp; Competence Gap Bridging - Sep ' 07_Consolidated - 2008 Q1 zone BR essbase retrievals v3_Consolidated - 2008 Q1 zone BR essbase retrievals v4_2009 Q1 zone BR template_master (WIP)" xfId="307"/>
    <cellStyle name="_APOD Dir 1 - Resource &amp; Competence Gap Bridging - Sep ' 07_Consolidated - 2008 Q2 zone BR essbase retrievals (WIP)" xfId="308"/>
    <cellStyle name="_APOD Dir 1 - Resource &amp; Competence Gap Bridging - Sep ' 07_Consolidated - 2008 Q2 zone BR essbase retrievals (WIP) 30May08" xfId="309"/>
    <cellStyle name="_APOD Dir 1 - Resource &amp; Competence Gap Bridging - Sep ' 07_Consolidated - 2008 Q2 zone BR essbase retrievals (WIP) 30May08_2009 Q1 zone BR template_master (WIP)" xfId="310"/>
    <cellStyle name="_APOD Dir 1 - Resource &amp; Competence Gap Bridging - Sep ' 07_Consolidated - 2008 Q2 zone BR essbase retrievals (WIP) 4Jun08" xfId="311"/>
    <cellStyle name="_APOD Dir 1 - Resource &amp; Competence Gap Bridging - Sep ' 07_Consolidated - 2008 Q2 zone BR essbase retrievals (WIP) 4Jun08_2009 Q1 zone BR template_master (WIP)" xfId="312"/>
    <cellStyle name="_APOD Dir 1 - Resource &amp; Competence Gap Bridging - Sep ' 07_Consolidated - 2008 Q2 zone BR essbase retrievals (WIP) 5Jun08" xfId="313"/>
    <cellStyle name="_APOD Dir 1 - Resource &amp; Competence Gap Bridging - Sep ' 07_Consolidated - 2008 Q2 zone BR essbase retrievals (WIP) 5Jun08_2009 Q1 zone BR template_master (WIP)" xfId="314"/>
    <cellStyle name="_APOD Dir 1 - Resource &amp; Competence Gap Bridging - Sep ' 07_Consolidated - 2008 Q2 zone BR essbase retrievals (WIP)_2009 Q1 zone BR template_master (WIP)" xfId="315"/>
    <cellStyle name="_APOD Dir 1 - Resource &amp; Competence Gap Bridging - Sep ' 07_Growth Ambitions - Pacific" xfId="316"/>
    <cellStyle name="_APOD Dir 1 - Resource &amp; Competence Gap Bridging - Sep ' 07_Growth Ambitions - Pacific_2009 Q1 zone BR template_master (WIP)" xfId="317"/>
    <cellStyle name="_APOD Dir 1 - Resource &amp; Competence Gap Bridging - Sep ' 07_HFM AOC_200812_v5" xfId="318"/>
    <cellStyle name="_APOD Dir 1 - Resource &amp; Competence Gap Bridging - Sep ' 07_OG sales by entity" xfId="319"/>
    <cellStyle name="_APOD Dir 1 - Resource &amp; Competence Gap Bridging - Sep ' 07_OG sales by entity_2009 Q1 zone BR template_master (WIP)" xfId="320"/>
    <cellStyle name="_APOD Dir 1 - Resource &amp; Competence Gap Bridging - Sep ' 07_OG sales by entity_Consolidated - 2008 Q1 zone BR Ess (APOD IND) v1" xfId="321"/>
    <cellStyle name="_APOD Dir 1 - Resource &amp; Competence Gap Bridging - Sep ' 07_OG sales by entity_Consolidated - 2008 Q1 zone BR Ess (APOD IND) v1_2009 Q1 zone BR template_master (WIP)" xfId="322"/>
    <cellStyle name="_APOD Dir 1 - Resource &amp; Competence Gap Bridging - Sep ' 07_OG sales by entity_Consolidated - 2008 Q1 zone BR essbase retrievals v4" xfId="323"/>
    <cellStyle name="_APOD Dir 1 - Resource &amp; Competence Gap Bridging - Sep ' 07_OG sales by entity_Consolidated - 2008 Q1 zone BR essbase retrievals v4 (APOD IND)" xfId="324"/>
    <cellStyle name="_APOD Dir 1 - Resource &amp; Competence Gap Bridging - Sep ' 07_OG sales by entity_Consolidated - 2008 Q1 zone BR essbase retrievals v4 (APOD IND)_2009 Q1 zone BR template_master (WIP)" xfId="325"/>
    <cellStyle name="_APOD Dir 1 - Resource &amp; Competence Gap Bridging - Sep ' 07_OG sales by entity_Consolidated - 2008 Q1 zone BR essbase retrievals v4_2009 Q1 zone BR template_master (WIP)" xfId="326"/>
    <cellStyle name="_APOD Dir 1 - Resource &amp; Competence Gap Bridging - Sep ' 07_Q3 BR command button testing" xfId="327"/>
    <cellStyle name="_APOD Dir 1 - Resource &amp; Competence Gap Bridging - Sep ' 07_Q3 BR command button testing_2009 Q1 zone BR template_master (WIP)" xfId="328"/>
    <cellStyle name="_APOD Dir 1 - Resource &amp; Competence Gap Bridging - Sep ' 07_zone growth ambition" xfId="329"/>
    <cellStyle name="_APOD Dir 1 - Resource &amp; Competence Gap Bridging - Sep ' 07_zone growth ambition_2009 Q1 zone BR template_master (WIP)" xfId="330"/>
    <cellStyle name="_APOD Dir 1 - Resource &amp; Competence Gap Bridging - Sep ' 07_zone growth ambition_Consolidated - 2008 Q1 zone BR Ess (APOD IND) v1" xfId="331"/>
    <cellStyle name="_APOD Dir 1 - Resource &amp; Competence Gap Bridging - Sep ' 07_zone growth ambition_Consolidated - 2008 Q1 zone BR Ess (APOD IND) v1_2009 Q1 zone BR template_master (WIP)" xfId="332"/>
    <cellStyle name="_APOD Dir 1 - Resource &amp; Competence Gap Bridging - Sep ' 07_zone growth ambition_Consolidated - 2008 Q1 zone BR essbase retrievals v4" xfId="333"/>
    <cellStyle name="_APOD Dir 1 - Resource &amp; Competence Gap Bridging - Sep ' 07_zone growth ambition_Consolidated - 2008 Q1 zone BR essbase retrievals v4 (APOD IND)" xfId="334"/>
    <cellStyle name="_APOD Dir 1 - Resource &amp; Competence Gap Bridging - Sep ' 07_zone growth ambition_Consolidated - 2008 Q1 zone BR essbase retrievals v4 (APOD IND)_2009 Q1 zone BR template_master (WIP)" xfId="335"/>
    <cellStyle name="_APOD Dir 1 - Resource &amp; Competence Gap Bridging - Sep ' 07_zone growth ambition_Consolidated - 2008 Q1 zone BR essbase retrievals v4_2009 Q1 zone BR template_master (WIP)" xfId="336"/>
    <cellStyle name="_APOD Industrial" xfId="337"/>
    <cellStyle name="_APOD Industrial_2009 Q1 zone BR template_master (WIP)" xfId="338"/>
    <cellStyle name="_APOD Monthly CCO trends analysis_200803" xfId="339"/>
    <cellStyle name="_Argos C1A1 2nd Pilot run Report 200712" xfId="340"/>
    <cellStyle name="_Argos Offer20092008" xfId="341"/>
    <cellStyle name="_Argos project action plan follow up-20th@April-07" xfId="342"/>
    <cellStyle name="_Argos project action plan follow up-25th@May-07" xfId="343"/>
    <cellStyle name="_Argos project action plan follow up-WK26-07" xfId="344"/>
    <cellStyle name="_backlog" xfId="345"/>
    <cellStyle name="_Backlog 200812 - 2008 perimeter" xfId="346"/>
    <cellStyle name="_Backlog Pacific" xfId="347"/>
    <cellStyle name="_Backlog Pacific_2009 Q1 zone BR template_master (WIP)" xfId="348"/>
    <cellStyle name="_backlog_2009 Q1 zone BR template_master (WIP)" xfId="349"/>
    <cellStyle name="_backlog_Consolidated - 2008 Q1 zone BR Ess (APOD IND) v1" xfId="350"/>
    <cellStyle name="_backlog_Consolidated - 2008 Q1 zone BR Ess (APOD IND) v1_2009 Q1 zone BR template_master (WIP)" xfId="351"/>
    <cellStyle name="_backlog_Consolidated - 2008 Q1 zone BR essbase retrievals v4" xfId="352"/>
    <cellStyle name="_backlog_Consolidated - 2008 Q1 zone BR essbase retrievals v4 (APOD IND)" xfId="353"/>
    <cellStyle name="_backlog_Consolidated - 2008 Q1 zone BR essbase retrievals v4 (APOD IND)_2009 Q1 zone BR template_master (WIP)" xfId="354"/>
    <cellStyle name="_backlog_Consolidated - 2008 Q1 zone BR essbase retrievals v4_2009 Q1 zone BR template_master (WIP)" xfId="355"/>
    <cellStyle name="_Batam" xfId="356"/>
    <cellStyle name="_Batam_2009 Q1 zone BR template_master (WIP)" xfId="357"/>
    <cellStyle name="_BCM - 5100512119 - 0,72k - 08072009" xfId="358"/>
    <cellStyle name="_BCM - 5100512119 - 0,72k - 08072009_Colombus project card August WK32.2009" xfId="359"/>
    <cellStyle name="_BCM - 5100512119 - 0,72k - 08072009_Overall Investments" xfId="360"/>
    <cellStyle name="_BCM - 5100512119 - 0,72k - 08072009_Overall Investments reviewed WPF + Pravin Sep 09" xfId="361"/>
    <cellStyle name="_BCM - 5100512119 - 0,72k - 08072009_Overall Investments V2 Oct  09" xfId="362"/>
    <cellStyle name="_BCM - AAV68845 - 34K - 08072009" xfId="363"/>
    <cellStyle name="_BCM - AAV68845 - 34K - 08072009_Colombus project card August WK32.2009" xfId="364"/>
    <cellStyle name="_BCM - AAV68845 - 34K - 08072009_Overall Investments" xfId="365"/>
    <cellStyle name="_BCM - AAV68845 - 34K - 08072009_Overall Investments reviewed WPF + Pravin Sep 09" xfId="366"/>
    <cellStyle name="_BCM - AAV68845 - 34K - 08072009_Overall Investments V2 Oct  09" xfId="367"/>
    <cellStyle name="_BCM - AAV68845 - 52K - 08072009" xfId="368"/>
    <cellStyle name="_BCM - AAV68845 - 52K - 08072009_Colombus project card August WK32.2009" xfId="369"/>
    <cellStyle name="_BCM - AAV68845 - 52K - 08072009_Overall Investments" xfId="370"/>
    <cellStyle name="_BCM - AAV68845 - 52K - 08072009_Overall Investments reviewed WPF + Pravin Sep 09" xfId="371"/>
    <cellStyle name="_BCM - AAV68845 - 52K - 08072009_Overall Investments V2 Oct  09" xfId="372"/>
    <cellStyle name="_BCM CCM  Offer 01072009" xfId="373"/>
    <cellStyle name="_BCM CCM  Offer 01072009_Colombus project card August WK32.2009" xfId="374"/>
    <cellStyle name="_BCM CCM  Offer 01072009_Overall Investments" xfId="375"/>
    <cellStyle name="_BCM CCM  Offer 01072009_Overall Investments reviewed WPF + Pravin Sep 09" xfId="376"/>
    <cellStyle name="_BCM CCM  Offer 01072009_Overall Investments V2 Oct  09" xfId="377"/>
    <cellStyle name="_BCM Toli PCBA offer 2009-10-30 from Jabil" xfId="378"/>
    <cellStyle name="_BCM-CCM NRE List 25062009v01" xfId="379"/>
    <cellStyle name="_BCM-CCM NRE List 25062009v01_Colombus project card August WK32.2009" xfId="380"/>
    <cellStyle name="_BCM-CCM NRE List 25062009v01_Overall Investments" xfId="381"/>
    <cellStyle name="_BCM-CCM NRE List 25062009v01_Overall Investments reviewed WPF + Pravin Sep 09" xfId="382"/>
    <cellStyle name="_BCM-CCM NRE List 25062009v01_Overall Investments V2 Oct  09" xfId="383"/>
    <cellStyle name="_BOM cost sample" xfId="384"/>
    <cellStyle name="_BOM cost sample_Capex commit discloure_200710 v2" xfId="385"/>
    <cellStyle name="_Book1" xfId="386"/>
    <cellStyle name="_Book1_PL" xfId="387"/>
    <cellStyle name="_Book2" xfId="388"/>
    <cellStyle name="_Book2_2009 Q1 zone BR template_master (WIP)" xfId="389"/>
    <cellStyle name="_Book2_Copy of MDB Worksheet 20100309" xfId="390"/>
    <cellStyle name="_Book2_Excel template for new BR slides_V2" xfId="391"/>
    <cellStyle name="_Book2_MDB Worksheet 20100225" xfId="392"/>
    <cellStyle name="_Book2_MDB Worksheet 20100310" xfId="393"/>
    <cellStyle name="_Book3" xfId="394"/>
    <cellStyle name="_BR April2007_ SC&amp;Logistics expense forecast for 2007 New Org no restate" xfId="395"/>
    <cellStyle name="_BR CCO Hannah_200709_v5" xfId="396"/>
    <cellStyle name="_BR CCO Hannah_200709_v5_13. Delta Price_200803" xfId="397"/>
    <cellStyle name="_BR CCO Hannah_200709_v5_13. Delta Price_200803_2009 Q1 zone BR template_master (WIP)" xfId="398"/>
    <cellStyle name="_BR CCO Hannah_200709_v5_13. Delta Price_200803_Consolidated - 2008 Q1 zone BR Ess (APOD IND) v1" xfId="399"/>
    <cellStyle name="_BR CCO Hannah_200709_v5_13. Delta Price_200803_Consolidated - 2008 Q1 zone BR Ess (APOD IND) v1_2009 Q1 zone BR template_master (WIP)" xfId="400"/>
    <cellStyle name="_BR CCO Hannah_200709_v5_13. Delta Price_200803_Consolidated - 2008 Q1 zone BR essbase retrievals v4" xfId="401"/>
    <cellStyle name="_BR CCO Hannah_200709_v5_13. Delta Price_200803_Consolidated - 2008 Q1 zone BR essbase retrievals v4 (APOD IND)" xfId="402"/>
    <cellStyle name="_BR CCO Hannah_200709_v5_13. Delta Price_200803_Consolidated - 2008 Q1 zone BR essbase retrievals v4 (APOD IND)_2009 Q1 zone BR template_master (WIP)" xfId="403"/>
    <cellStyle name="_BR CCO Hannah_200709_v5_13. Delta Price_200803_Consolidated - 2008 Q1 zone BR essbase retrievals v4_2009 Q1 zone BR template_master (WIP)" xfId="404"/>
    <cellStyle name="_BR CCO Hannah_200709_v5_17. CCO by country_200803" xfId="405"/>
    <cellStyle name="_BR CCO Hannah_200709_v5_17. CCO by country_200803_2009 Q1 zone BR template_master (WIP)" xfId="406"/>
    <cellStyle name="_BR CCO Hannah_200709_v5_17. CCO by country_200803_Consolidated - 2008 Q1 zone BR Ess (APOD IND) v1" xfId="407"/>
    <cellStyle name="_BR CCO Hannah_200709_v5_17. CCO by country_200803_Consolidated - 2008 Q1 zone BR Ess (APOD IND) v1_2009 Q1 zone BR template_master (WIP)" xfId="408"/>
    <cellStyle name="_BR CCO Hannah_200709_v5_17. CCO by country_200803_Consolidated - 2008 Q1 zone BR essbase retrievals v4" xfId="409"/>
    <cellStyle name="_BR CCO Hannah_200709_v5_17. CCO by country_200803_Consolidated - 2008 Q1 zone BR essbase retrievals v4 (APOD IND)" xfId="410"/>
    <cellStyle name="_BR CCO Hannah_200709_v5_17. CCO by country_200803_Consolidated - 2008 Q1 zone BR essbase retrievals v4 (APOD IND)_2009 Q1 zone BR template_master (WIP)" xfId="411"/>
    <cellStyle name="_BR CCO Hannah_200709_v5_17. CCO by country_200803_Consolidated - 2008 Q1 zone BR essbase retrievals v4_2009 Q1 zone BR template_master (WIP)" xfId="412"/>
    <cellStyle name="_BR CCO Hannah_200709_v5_2008 Q1 zone BR submission" xfId="413"/>
    <cellStyle name="_BR CCO Hannah_200709_v5_2008 Q1 zone BR submission (APOD IND)" xfId="414"/>
    <cellStyle name="_BR CCO Hannah_200709_v5_2008 Q1 zone BR submission_2009 Q1 zone BR template_master (WIP)" xfId="415"/>
    <cellStyle name="_BR CCO Hannah_200709_v5_2008 Q1 zone BR submission_Consolidated - 2008 Q1 zone BR Ess (APOD IND) v1" xfId="416"/>
    <cellStyle name="_BR CCO Hannah_200709_v5_2008 Q1 zone BR submission_Consolidated - 2008 Q1 zone BR Ess (APOD IND) v1_2009 Q1 zone BR template_master (WIP)" xfId="417"/>
    <cellStyle name="_BR CCO Hannah_200709_v5_2008 Q1 zone BR submission_Consolidated - 2008 Q1 zone BR essbase retrievals v4" xfId="418"/>
    <cellStyle name="_BR CCO Hannah_200709_v5_2008 Q1 zone BR submission_Consolidated - 2008 Q1 zone BR essbase retrievals v4 (APOD IND)" xfId="419"/>
    <cellStyle name="_BR CCO Hannah_200709_v5_2008 Q1 zone BR submission_Consolidated - 2008 Q1 zone BR essbase retrievals v4 (APOD IND)_2009 Q1 zone BR template_master (WIP)" xfId="420"/>
    <cellStyle name="_BR CCO Hannah_200709_v5_2008 Q1 zone BR submission_Consolidated - 2008 Q1 zone BR essbase retrievals v4_2009 Q1 zone BR template_master (WIP)" xfId="421"/>
    <cellStyle name="_BR CCO Hannah_200709_v5_2008 Q3 zone BR template_master" xfId="422"/>
    <cellStyle name="_BR CCO Hannah_200709_v5_2008 Q3 zone BR template_master (WIP Herrick) v2" xfId="423"/>
    <cellStyle name="_BR CCO Hannah_200709_v5_2008 Q3 zone BR template_master (WIP Herrick) v2_2009 Q1 zone BR template_master (WIP)" xfId="424"/>
    <cellStyle name="_BR CCO Hannah_200709_v5_2008 Q3 zone BR template_master_2009 Q1 zone BR template_master (WIP)" xfId="425"/>
    <cellStyle name="_BR CCO Hannah_200709_v5_2009 Q1 zone BR template_master (WIP)" xfId="426"/>
    <cellStyle name="_BR CCO Hannah_200709_v5_2009 Q1 zone BR template_master (WIP)_Industrial v2" xfId="427"/>
    <cellStyle name="_BR CCO Hannah_200709_v5_APOD CCO trends analysis_200902" xfId="428"/>
    <cellStyle name="_BR CCO Hannah_200709_v5_backlog" xfId="429"/>
    <cellStyle name="_BR CCO Hannah_200709_v5_Backlog 200812 - 2008 perimeter" xfId="430"/>
    <cellStyle name="_BR CCO Hannah_200709_v5_Backlog Pacific" xfId="431"/>
    <cellStyle name="_BR CCO Hannah_200709_v5_Backlog Pacific_2009 Q1 zone BR template_master (WIP)" xfId="432"/>
    <cellStyle name="_BR CCO Hannah_200709_v5_backlog_2009 Q1 zone BR template_master (WIP)" xfId="433"/>
    <cellStyle name="_BR CCO Hannah_200709_v5_backlog_Consolidated - 2008 Q1 zone BR Ess (APOD IND) v1" xfId="434"/>
    <cellStyle name="_BR CCO Hannah_200709_v5_backlog_Consolidated - 2008 Q1 zone BR Ess (APOD IND) v1_2009 Q1 zone BR template_master (WIP)" xfId="435"/>
    <cellStyle name="_BR CCO Hannah_200709_v5_backlog_Consolidated - 2008 Q1 zone BR essbase retrievals v4" xfId="436"/>
    <cellStyle name="_BR CCO Hannah_200709_v5_backlog_Consolidated - 2008 Q1 zone BR essbase retrievals v4 (APOD IND)" xfId="437"/>
    <cellStyle name="_BR CCO Hannah_200709_v5_backlog_Consolidated - 2008 Q1 zone BR essbase retrievals v4 (APOD IND)_2009 Q1 zone BR template_master (WIP)" xfId="438"/>
    <cellStyle name="_BR CCO Hannah_200709_v5_backlog_Consolidated - 2008 Q1 zone BR essbase retrievals v4_2009 Q1 zone BR template_master (WIP)" xfId="439"/>
    <cellStyle name="_BR CCO Hannah_200709_v5_BR template for Zone(NEA)_Q2BR" xfId="440"/>
    <cellStyle name="_BR CCO Hannah_200709_v5_BR template for Zone(NEA)_Q2BR_2009 Q1 zone BR template_master (WIP)" xfId="441"/>
    <cellStyle name="_BR CCO Hannah_200709_v5_Consolidated - 2008 Q1 zone BR Ess (APOD IND) v3" xfId="442"/>
    <cellStyle name="_BR CCO Hannah_200709_v5_Consolidated - 2008 Q1 zone BR Ess (APOD IND) v3_2009 Q1 zone BR template_master (WIP)" xfId="443"/>
    <cellStyle name="_BR CCO Hannah_200709_v5_Consolidated - 2008 Q1 zone BR essbase retrievals v3" xfId="444"/>
    <cellStyle name="_BR CCO Hannah_200709_v5_Consolidated - 2008 Q1 zone BR essbase retrievals v3_2009 Q1 zone BR template_master (WIP)" xfId="445"/>
    <cellStyle name="_BR CCO Hannah_200709_v5_Consolidated - 2008 Q1 zone BR essbase retrievals v3_Consolidated - 2008 Q1 zone BR Ess (APOD IND) v1" xfId="446"/>
    <cellStyle name="_BR CCO Hannah_200709_v5_Consolidated - 2008 Q1 zone BR essbase retrievals v3_Consolidated - 2008 Q1 zone BR Ess (APOD IND) v1_2009 Q1 zone BR template_master (WIP)" xfId="447"/>
    <cellStyle name="_BR CCO Hannah_200709_v5_Consolidated - 2008 Q1 zone BR essbase retrievals v3_Consolidated - 2008 Q1 zone BR essbase retrievals v4" xfId="448"/>
    <cellStyle name="_BR CCO Hannah_200709_v5_Consolidated - 2008 Q1 zone BR essbase retrievals v3_Consolidated - 2008 Q1 zone BR essbase retrievals v4 (APOD IND)" xfId="449"/>
    <cellStyle name="_BR CCO Hannah_200709_v5_Consolidated - 2008 Q1 zone BR essbase retrievals v3_Consolidated - 2008 Q1 zone BR essbase retrievals v4 (APOD IND)_2009 Q1 zone BR template_master (WIP)" xfId="450"/>
    <cellStyle name="_BR CCO Hannah_200709_v5_Consolidated - 2008 Q1 zone BR essbase retrievals v3_Consolidated - 2008 Q1 zone BR essbase retrievals v4_2009 Q1 zone BR template_master (WIP)" xfId="451"/>
    <cellStyle name="_BR CCO Hannah_200709_v5_Consolidated - 2008 Q2 zone BR essbase retrievals (WIP)" xfId="452"/>
    <cellStyle name="_BR CCO Hannah_200709_v5_Consolidated - 2008 Q2 zone BR essbase retrievals (WIP) 30May08" xfId="453"/>
    <cellStyle name="_BR CCO Hannah_200709_v5_Consolidated - 2008 Q2 zone BR essbase retrievals (WIP) 30May08_2009 Q1 zone BR template_master (WIP)" xfId="454"/>
    <cellStyle name="_BR CCO Hannah_200709_v5_Consolidated - 2008 Q2 zone BR essbase retrievals (WIP) 4Jun08" xfId="455"/>
    <cellStyle name="_BR CCO Hannah_200709_v5_Consolidated - 2008 Q2 zone BR essbase retrievals (WIP) 4Jun08_2009 Q1 zone BR template_master (WIP)" xfId="456"/>
    <cellStyle name="_BR CCO Hannah_200709_v5_Consolidated - 2008 Q2 zone BR essbase retrievals (WIP) 5Jun08" xfId="457"/>
    <cellStyle name="_BR CCO Hannah_200709_v5_Consolidated - 2008 Q2 zone BR essbase retrievals (WIP) 5Jun08_2009 Q1 zone BR template_master (WIP)" xfId="458"/>
    <cellStyle name="_BR CCO Hannah_200709_v5_Consolidated - 2008 Q2 zone BR essbase retrievals (WIP)_2009 Q1 zone BR template_master (WIP)" xfId="459"/>
    <cellStyle name="_BR CCO Hannah_200709_v5_Growth Ambitions - Pacific" xfId="460"/>
    <cellStyle name="_BR CCO Hannah_200709_v5_Growth Ambitions - Pacific_2009 Q1 zone BR template_master (WIP)" xfId="461"/>
    <cellStyle name="_BR CCO Hannah_200709_v5_HFM AOC_200812_v5" xfId="462"/>
    <cellStyle name="_BR CCO Hannah_200709_v5_OG sales by entity" xfId="463"/>
    <cellStyle name="_BR CCO Hannah_200709_v5_OG sales by entity_2009 Q1 zone BR template_master (WIP)" xfId="464"/>
    <cellStyle name="_BR CCO Hannah_200709_v5_OG sales by entity_Consolidated - 2008 Q1 zone BR Ess (APOD IND) v1" xfId="465"/>
    <cellStyle name="_BR CCO Hannah_200709_v5_OG sales by entity_Consolidated - 2008 Q1 zone BR Ess (APOD IND) v1_2009 Q1 zone BR template_master (WIP)" xfId="466"/>
    <cellStyle name="_BR CCO Hannah_200709_v5_OG sales by entity_Consolidated - 2008 Q1 zone BR essbase retrievals v4" xfId="467"/>
    <cellStyle name="_BR CCO Hannah_200709_v5_OG sales by entity_Consolidated - 2008 Q1 zone BR essbase retrievals v4 (APOD IND)" xfId="468"/>
    <cellStyle name="_BR CCO Hannah_200709_v5_OG sales by entity_Consolidated - 2008 Q1 zone BR essbase retrievals v4 (APOD IND)_2009 Q1 zone BR template_master (WIP)" xfId="469"/>
    <cellStyle name="_BR CCO Hannah_200709_v5_OG sales by entity_Consolidated - 2008 Q1 zone BR essbase retrievals v4_2009 Q1 zone BR template_master (WIP)" xfId="470"/>
    <cellStyle name="_BR CCO Hannah_200709_v5_Q3 BR command button testing" xfId="471"/>
    <cellStyle name="_BR CCO Hannah_200709_v5_Q3 BR command button testing_2009 Q1 zone BR template_master (WIP)" xfId="472"/>
    <cellStyle name="_BR CCO Hannah_200709_v5_zone growth ambition" xfId="473"/>
    <cellStyle name="_BR CCO Hannah_200709_v5_zone growth ambition_2009 Q1 zone BR template_master (WIP)" xfId="474"/>
    <cellStyle name="_BR CCO Hannah_200709_v5_zone growth ambition_Consolidated - 2008 Q1 zone BR Ess (APOD IND) v1" xfId="475"/>
    <cellStyle name="_BR CCO Hannah_200709_v5_zone growth ambition_Consolidated - 2008 Q1 zone BR Ess (APOD IND) v1_2009 Q1 zone BR template_master (WIP)" xfId="476"/>
    <cellStyle name="_BR CCO Hannah_200709_v5_zone growth ambition_Consolidated - 2008 Q1 zone BR essbase retrievals v4" xfId="477"/>
    <cellStyle name="_BR CCO Hannah_200709_v5_zone growth ambition_Consolidated - 2008 Q1 zone BR essbase retrievals v4 (APOD IND)" xfId="478"/>
    <cellStyle name="_BR CCO Hannah_200709_v5_zone growth ambition_Consolidated - 2008 Q1 zone BR essbase retrievals v4 (APOD IND)_2009 Q1 zone BR template_master (WIP)" xfId="479"/>
    <cellStyle name="_BR CCO Hannah_200709_v5_zone growth ambition_Consolidated - 2008 Q1 zone BR essbase retrievals v4_2009 Q1 zone BR template_master (WIP)" xfId="480"/>
    <cellStyle name="_BR Jul 07 - APOD Total summary V3" xfId="481"/>
    <cellStyle name="_BR Jul 07 - APOD Total summary V3_2009 Q1 zone BR template_master (WIP)" xfId="482"/>
    <cellStyle name="_BR Jul 07 - APOD Total summary V3_Actual 2008 APOD OH Total Dec.v2" xfId="483"/>
    <cellStyle name="_BR Jul 07 - APOD Total summary V3_Actual 2008 APOD OH Total Oct Summary" xfId="484"/>
    <cellStyle name="_BR Jul 07 - APOD Total summary V3_Actual 2008 APOD OH Total Oct Summary.v2" xfId="485"/>
    <cellStyle name="_BR Jul 07 - APOD Total summary V3_Actual 2008 APOD OH Total Sep v6(Q3 BR-Expat upd)" xfId="486"/>
    <cellStyle name="_BR Jul 07 - APOD Total summary V3_Actual 2008 APOD OH Total v2" xfId="487"/>
    <cellStyle name="_BR Jul 07 - APOD Total summary V3_Actual 2008 APOD OH Total v2_2009 Q1 zone BR template_master (WIP)" xfId="488"/>
    <cellStyle name="_BR Jul 07 - APOD Total summary V3_Actual 2008 APOD OH Total v2_Actual 2008 APOD OH Total Aug v1" xfId="489"/>
    <cellStyle name="_BR Jul 07 - APOD Total summary V3_Actual 2008 APOD OH Total v2_Actual 2008 APOD OH Total Aug v1_Actual 2008 APOD OH Total Dec.v2" xfId="490"/>
    <cellStyle name="_BR Jul 07 - APOD Total summary V3_Actual 2008 APOD OH Total v2_Actual 2008 APOD OH Total Aug v1_Actual 2008 APOD OH Total Oct Summary" xfId="491"/>
    <cellStyle name="_BR Jul 07 - APOD Total summary V3_Actual 2008 APOD OH Total v2_Actual 2008 APOD OH Total Aug v1_Actual 2008 APOD OH Total Oct Summary.v2" xfId="492"/>
    <cellStyle name="_BR Jul 07 - APOD Total summary V3_Actual 2008 APOD OH Total v2_Actual 2008 APOD OH Total Aug v1_Actual 2008 APOD OH Total Sep v6(Q3 BR-Expat upd)" xfId="493"/>
    <cellStyle name="_BR Jul 07 - APOD Total summary V3_Actual 2008 APOD OH Total v2_Actual 2008 APOD OH Total Aug v3(Q3 BR)" xfId="494"/>
    <cellStyle name="_BR Jul 07 - APOD Total summary V3_Actual 2008 APOD OH Total v2_Actual 2008 APOD OH Total Aug v3(Q3 BR)_Actual 2008 APOD OH Total Dec.v2" xfId="495"/>
    <cellStyle name="_BR Jul 07 - APOD Total summary V3_Actual 2008 APOD OH Total v2_Actual 2008 APOD OH Total Aug v3(Q3 BR)_Actual 2008 APOD OH Total Oct Summary" xfId="496"/>
    <cellStyle name="_BR Jul 07 - APOD Total summary V3_Actual 2008 APOD OH Total v2_Actual 2008 APOD OH Total Aug v3(Q3 BR)_Actual 2008 APOD OH Total Oct Summary.v2" xfId="497"/>
    <cellStyle name="_BR Jul 07 - APOD Total summary V3_Actual 2008 APOD OH Total v2_Actual 2008 APOD OH Total Aug v3(Q3 BR)_Actual 2008 APOD OH Total Sep v6(Q3 BR-Expat upd)" xfId="498"/>
    <cellStyle name="_BR Jul 07 - APOD Total summary V3_Actual 2008 APOD OH Total v2_Actual 2008 APOD OH Total Aug v5(Q3 BR)" xfId="499"/>
    <cellStyle name="_BR Jul 07 - APOD Total summary V3_Actual 2008 APOD OH Total v2_Actual 2008 APOD OH Total Aug v5(Q3 BR)_Actual 2008 APOD OH Total Dec.v2" xfId="500"/>
    <cellStyle name="_BR Jul 07 - APOD Total summary V3_Actual 2008 APOD OH Total v2_Actual 2008 APOD OH Total Aug v5(Q3 BR)_Actual 2008 APOD OH Total Oct Summary" xfId="501"/>
    <cellStyle name="_BR Jul 07 - APOD Total summary V3_Actual 2008 APOD OH Total v2_Actual 2008 APOD OH Total Aug v5(Q3 BR)_Actual 2008 APOD OH Total Oct Summary.v2" xfId="502"/>
    <cellStyle name="_BR Jul 07 - APOD Total summary V3_Actual 2008 APOD OH Total v2_Actual 2008 APOD OH Total Aug v5(Q3 BR)_Actual 2008 APOD OH Total Sep v6(Q3 BR-Expat upd)" xfId="503"/>
    <cellStyle name="_BR Jul 07 - APOD Total summary V3_Actual 2008 APOD OH Total v2_Actual 2008 APOD OH Total Aug v7(Q3 BR)" xfId="504"/>
    <cellStyle name="_BR Jul 07 - APOD Total summary V3_Actual 2008 APOD OH Total v2_Actual 2008 APOD OH Total Aug v7(Q3 BR)_Actual 2008 APOD OH Total Dec.v2" xfId="505"/>
    <cellStyle name="_BR Jul 07 - APOD Total summary V3_Actual 2008 APOD OH Total v2_Actual 2008 APOD OH Total Aug v7(Q3 BR)_Actual 2008 APOD OH Total Oct Summary" xfId="506"/>
    <cellStyle name="_BR Jul 07 - APOD Total summary V3_Actual 2008 APOD OH Total v2_Actual 2008 APOD OH Total Aug v7(Q3 BR)_Actual 2008 APOD OH Total Oct Summary.v2" xfId="507"/>
    <cellStyle name="_BR Jul 07 - APOD Total summary V3_Actual 2008 APOD OH Total v2_Actual 2008 APOD OH Total Aug v7(Q3 BR)_Actual 2008 APOD OH Total Sep v6(Q3 BR-Expat upd)" xfId="508"/>
    <cellStyle name="_BR Jul 07 - APOD Total summary V3_Actual 2008 APOD OH Total v2_Actual 2008 APOD OH Total July v4(Q3BR)" xfId="509"/>
    <cellStyle name="_BR Jul 07 - APOD Total summary V3_Actual 2008 APOD OH Total v2_Actual 2008 APOD OH Total July v4(Q3BR)_Actual 2008 APOD OH Total Dec.v2" xfId="510"/>
    <cellStyle name="_BR Jul 07 - APOD Total summary V3_Actual 2008 APOD OH Total v2_Actual 2008 APOD OH Total July v4(Q3BR)_Actual 2008 APOD OH Total Oct Summary" xfId="511"/>
    <cellStyle name="_BR Jul 07 - APOD Total summary V3_Actual 2008 APOD OH Total v2_Actual 2008 APOD OH Total July v4(Q3BR)_Actual 2008 APOD OH Total Oct Summary.v2" xfId="512"/>
    <cellStyle name="_BR Jul 07 - APOD Total summary V3_Actual 2008 APOD OH Total v2_Actual 2008 APOD OH Total July v4(Q3BR)_Actual 2008 APOD OH Total Sep v6(Q3 BR-Expat upd)" xfId="513"/>
    <cellStyle name="_BR Jul 07 - APOD Total summary V3_Actual 2008 APOD OH Total v2_Actual 2008 APOD OH Total July v5(Q3BR)" xfId="514"/>
    <cellStyle name="_BR Jul 07 - APOD Total summary V3_Actual 2008 APOD OH Total v2_Actual 2008 APOD OH Total July v5(Q3BR)_Actual 2008 APOD OH Total Dec.v2" xfId="515"/>
    <cellStyle name="_BR Jul 07 - APOD Total summary V3_Actual 2008 APOD OH Total v2_Actual 2008 APOD OH Total July v5(Q3BR)_Actual 2008 APOD OH Total Oct Summary" xfId="516"/>
    <cellStyle name="_BR Jul 07 - APOD Total summary V3_Actual 2008 APOD OH Total v2_Actual 2008 APOD OH Total July v5(Q3BR)_Actual 2008 APOD OH Total Oct Summary.v2" xfId="517"/>
    <cellStyle name="_BR Jul 07 - APOD Total summary V3_Actual 2008 APOD OH Total v2_Actual 2008 APOD OH Total July v5(Q3BR)_Actual 2008 APOD OH Total Sep v6(Q3 BR-Expat upd)" xfId="518"/>
    <cellStyle name="_BR Jul 07 - APOD Total summary V3_Actual 2008 APOD OH Total v2_Actual 2008 APOD OH Total May v2" xfId="519"/>
    <cellStyle name="_BR Jul 07 - APOD Total summary V3_Actual 2008 APOD OH Total v2_Actual 2008 APOD OH Total May v2_Actual 2008 APOD OH Total Dec.v2" xfId="520"/>
    <cellStyle name="_BR Jul 07 - APOD Total summary V3_Actual 2008 APOD OH Total v2_Actual 2008 APOD OH Total May v2_Actual 2008 APOD OH Total Oct Summary" xfId="521"/>
    <cellStyle name="_BR Jul 07 - APOD Total summary V3_Actual 2008 APOD OH Total v2_Actual 2008 APOD OH Total May v2_Actual 2008 APOD OH Total Oct Summary.v2" xfId="522"/>
    <cellStyle name="_BR Jul 07 - APOD Total summary V3_Actual 2008 APOD OH Total v2_SSAM dashboard" xfId="523"/>
    <cellStyle name="_BR Jul 07 - APOD Total summary V3_SSAM dashboard" xfId="524"/>
    <cellStyle name="_BR Jul 07 - APOD Total V2 (LXX)" xfId="525"/>
    <cellStyle name="_BR Jul 07 - APOD Total V2 (LXX)_2009 Q1 zone BR template_master (WIP)" xfId="526"/>
    <cellStyle name="_BR Jul 07 - APOD Total V2 (LXX)_Actual 2008 APOD OH Total v2" xfId="527"/>
    <cellStyle name="_BR Jul 07 - APOD Total V2 (LXX)_Actual 2008 APOD OH Total v2_SSAM dashboard" xfId="528"/>
    <cellStyle name="_BR Jul 07 - APOD Total V2 (LXX)_SSAM dashboard" xfId="529"/>
    <cellStyle name="_BR Jul 07 - APOD Total V4 (Jade)" xfId="530"/>
    <cellStyle name="_BR Jul 07 - APOD Total V4 (Jade)_Actual 2008 APOD OH Total v2" xfId="531"/>
    <cellStyle name="_BR Jul 07 - APOD Total V4 (Jade)_Actual 2008 APOD OH Total v2_SSAM dashboard" xfId="532"/>
    <cellStyle name="_BR Jul 07 - APOD Total V4 (Jade)_SSAM dashboard" xfId="533"/>
    <cellStyle name="_BR ppt template Jan 09 20090109" xfId="534"/>
    <cellStyle name="_BR Sep APOD Total 10 (Jade-HR Personal cost)" xfId="535"/>
    <cellStyle name="_BR Sep APOD Total 10 (Jade-HR Personal cost)_Actual 2008 APOD OH Total v2" xfId="536"/>
    <cellStyle name="_BR Sep APOD Total 10 (Jade-HR Personal cost)_Actual 2008 APOD OH Total v2_SSAM dashboard" xfId="537"/>
    <cellStyle name="_BR Sep APOD Total 10 (Jade-HR Personal cost)_SSAM dashboard" xfId="538"/>
    <cellStyle name="_BR Sep APOD Total v15 (Jade-HR Personal cost)" xfId="539"/>
    <cellStyle name="_BR Sep APOD Total v15 (Jade-HR Personal cost)_Actual 2008 APOD OH Total v2" xfId="540"/>
    <cellStyle name="_BR Sep APOD Total v15 (Jade-HR Personal cost)_Actual 2008 APOD OH Total v2_SSAM dashboard" xfId="541"/>
    <cellStyle name="_BR Sep APOD Total v15 (Jade-HR Personal cost)_SSAM dashboard" xfId="542"/>
    <cellStyle name="_BR Sep APOD Total v18" xfId="543"/>
    <cellStyle name="_BR Sep APOD Total v18_Actual 2008 APOD OH Total v2" xfId="544"/>
    <cellStyle name="_BR Sep APOD Total v18_Actual 2008 APOD OH Total v2_SSAM dashboard" xfId="545"/>
    <cellStyle name="_BR Sep APOD Total v18_SSAM dashboard" xfId="546"/>
    <cellStyle name="_BR Sep APOD Total v19" xfId="547"/>
    <cellStyle name="_BR Sep APOD Total v19_Actual 2008 APOD OH Total v2" xfId="548"/>
    <cellStyle name="_BR Sep APOD Total v19_Actual 2008 APOD OH Total v2_SSAM dashboard" xfId="549"/>
    <cellStyle name="_BR Sep APOD Total v19_SSAM dashboard" xfId="550"/>
    <cellStyle name="_BR Sep APOD Total v3" xfId="551"/>
    <cellStyle name="_BR Sep APOD Total v3_Actual 2008 APOD OH Total v2" xfId="552"/>
    <cellStyle name="_BR Sep APOD Total v3_Actual 2008 APOD OH Total v2_SSAM dashboard" xfId="553"/>
    <cellStyle name="_BR Sep APOD Total v3_SSAM dashboard" xfId="554"/>
    <cellStyle name="_BR Sep APOD Total v7 (Jade)" xfId="555"/>
    <cellStyle name="_BR Sep APOD Total v7 (Jade)_Actual 2008 APOD OH Total v2" xfId="556"/>
    <cellStyle name="_BR Sep APOD Total v7 (Jade)_Actual 2008 APOD OH Total v2_SSAM dashboard" xfId="557"/>
    <cellStyle name="_BR Sep APOD Total v7 (Jade)_SSAM dashboard" xfId="558"/>
    <cellStyle name="_BR-2008 Q4 and 2009 fcst(to Horst)" xfId="559"/>
    <cellStyle name="_Breakdown + project cost 13 Feb 09" xfId="560"/>
    <cellStyle name="_Budget status for Horizon project 10th.Dec.2008" xfId="561"/>
    <cellStyle name="_capex 06Q1-SBLV_ Total" xfId="562"/>
    <cellStyle name="_CAPEX 2 Consolidation_final version" xfId="563"/>
    <cellStyle name="_Capex and expense information for Horizon project" xfId="564"/>
    <cellStyle name="_CAPEX -APOD Report  Format_ 2006.6_ABT" xfId="565"/>
    <cellStyle name="_CAPEX -APOD Report  Format_ 2006.6_ABT-CR" xfId="566"/>
    <cellStyle name="_Capex commit discloure_200710 v2" xfId="567"/>
    <cellStyle name="_Capex forecast-both JV" xfId="568"/>
    <cellStyle name="_Capex forecast-both JV_1" xfId="569"/>
    <cellStyle name="_Capex forecast-both JV_1_1.Industrialization CAPEX Forecast-Q4'08-20081220" xfId="570"/>
    <cellStyle name="_Capex forecast-both JV_1_200803" xfId="571"/>
    <cellStyle name="_Capex forecast-both JV_1_200811 Capex input form-actual(China TAF)" xfId="572"/>
    <cellStyle name="_Capex forecast-both JV_1_2008Capex  forecast CBN" xfId="573"/>
    <cellStyle name="_Capex forecast-both JV_1_Actual 2008 APOD OH Total v2" xfId="574"/>
    <cellStyle name="_Capex forecast-both JV_1_Actual 2008 APOD OH Total v2_SSAM dashboard" xfId="575"/>
    <cellStyle name="_Capex forecast-both JV_1_Book1" xfId="576"/>
    <cellStyle name="_Capex forecast-both JV_1_BR Capex &amp; expenses_Purchasing Project_20080616" xfId="577"/>
    <cellStyle name="_Capex forecast-both JV_1_BR Jul 07 - APOD Total summary V3" xfId="578"/>
    <cellStyle name="_Capex forecast-both JV_1_BR Jul 07 - APOD Total summary V3_Actual 2008 APOD OH Total v2" xfId="579"/>
    <cellStyle name="_Capex forecast-both JV_1_BR Jul 07 - APOD Total summary V3_Actual 2008 APOD OH Total v2_SSAM dashboard" xfId="580"/>
    <cellStyle name="_Capex forecast-both JV_1_BR Jul 07 - APOD Total summary V3_SSAM dashboard" xfId="581"/>
    <cellStyle name="_Capex forecast-both JV_1_BR Jul 07 - APOD Total V2 (LXX)" xfId="582"/>
    <cellStyle name="_Capex forecast-both JV_1_BR Jul 07 - APOD Total V2 (LXX)_Actual 2008 APOD OH Total v2" xfId="583"/>
    <cellStyle name="_Capex forecast-both JV_1_BR Jul 07 - APOD Total V2 (LXX)_Actual 2008 APOD OH Total v2_SSAM dashboard" xfId="584"/>
    <cellStyle name="_Capex forecast-both JV_1_BR Jul 07 - APOD Total V2 (LXX)_SSAM dashboard" xfId="585"/>
    <cellStyle name="_Capex forecast-both JV_1_BR Jul 07 - APOD Total V4 (Jade)" xfId="586"/>
    <cellStyle name="_Capex forecast-both JV_1_BR Jul 07 - APOD Total V4 (Jade)_Actual 2008 APOD OH Total v2" xfId="587"/>
    <cellStyle name="_Capex forecast-both JV_1_BR Jul 07 - APOD Total V4 (Jade)_Actual 2008 APOD OH Total v2_SSAM dashboard" xfId="588"/>
    <cellStyle name="_Capex forecast-both JV_1_BR Jul 07 - APOD Total V4 (Jade)_SSAM dashboard" xfId="589"/>
    <cellStyle name="_Capex forecast-both JV_1_BR ppt template Jan 09 20090109" xfId="590"/>
    <cellStyle name="_Capex forecast-both JV_1_BR Sep APOD Total 10 (Jade-HR Personal cost)" xfId="591"/>
    <cellStyle name="_Capex forecast-both JV_1_BR Sep APOD Total 10 (Jade-HR Personal cost)_Actual 2008 APOD OH Total v2" xfId="592"/>
    <cellStyle name="_Capex forecast-both JV_1_BR Sep APOD Total 10 (Jade-HR Personal cost)_Actual 2008 APOD OH Total v2_SSAM dashboard" xfId="593"/>
    <cellStyle name="_Capex forecast-both JV_1_BR Sep APOD Total 10 (Jade-HR Personal cost)_SSAM dashboard" xfId="594"/>
    <cellStyle name="_Capex forecast-both JV_1_BR Sep APOD Total v15 (Jade-HR Personal cost)" xfId="595"/>
    <cellStyle name="_Capex forecast-both JV_1_BR Sep APOD Total v15 (Jade-HR Personal cost)_Actual 2008 APOD OH Total v2" xfId="596"/>
    <cellStyle name="_Capex forecast-both JV_1_BR Sep APOD Total v15 (Jade-HR Personal cost)_Actual 2008 APOD OH Total v2_SSAM dashboard" xfId="597"/>
    <cellStyle name="_Capex forecast-both JV_1_BR Sep APOD Total v15 (Jade-HR Personal cost)_SSAM dashboard" xfId="598"/>
    <cellStyle name="_Capex forecast-both JV_1_BR Sep APOD Total v18" xfId="599"/>
    <cellStyle name="_Capex forecast-both JV_1_BR Sep APOD Total v18_Actual 2008 APOD OH Total v2" xfId="600"/>
    <cellStyle name="_Capex forecast-both JV_1_BR Sep APOD Total v18_Actual 2008 APOD OH Total v2_SSAM dashboard" xfId="601"/>
    <cellStyle name="_Capex forecast-both JV_1_BR Sep APOD Total v18_SSAM dashboard" xfId="602"/>
    <cellStyle name="_Capex forecast-both JV_1_BR Sep APOD Total v19" xfId="603"/>
    <cellStyle name="_Capex forecast-both JV_1_BR Sep APOD Total v19_Actual 2008 APOD OH Total v2" xfId="604"/>
    <cellStyle name="_Capex forecast-both JV_1_BR Sep APOD Total v19_Actual 2008 APOD OH Total v2_SSAM dashboard" xfId="605"/>
    <cellStyle name="_Capex forecast-both JV_1_BR Sep APOD Total v19_SSAM dashboard" xfId="606"/>
    <cellStyle name="_Capex forecast-both JV_1_BR Sep APOD Total v3" xfId="607"/>
    <cellStyle name="_Capex forecast-both JV_1_BR Sep APOD Total v3_Actual 2008 APOD OH Total v2" xfId="608"/>
    <cellStyle name="_Capex forecast-both JV_1_BR Sep APOD Total v3_Actual 2008 APOD OH Total v2_SSAM dashboard" xfId="609"/>
    <cellStyle name="_Capex forecast-both JV_1_BR Sep APOD Total v3_SSAM dashboard" xfId="610"/>
    <cellStyle name="_Capex forecast-both JV_1_BR Sep APOD Total v7 (Jade)" xfId="611"/>
    <cellStyle name="_Capex forecast-both JV_1_BR Sep APOD Total v7 (Jade)_Actual 2008 APOD OH Total v2" xfId="612"/>
    <cellStyle name="_Capex forecast-both JV_1_BR Sep APOD Total v7 (Jade)_Actual 2008 APOD OH Total v2_SSAM dashboard" xfId="613"/>
    <cellStyle name="_Capex forecast-both JV_1_BR Sep APOD Total v7 (Jade)_SSAM dashboard" xfId="614"/>
    <cellStyle name="_Capex forecast-both JV_1_CAPEC Rolling Forecast for Mold Renew&amp;Repair&amp;Improve_Jun,2006(Q2)F_New format" xfId="615"/>
    <cellStyle name="_Capex forecast-both JV_1_CAPEC Rolling Forecast for Mold Renew&amp;Repair&amp;Improve_Jun,2006(Q2)F_New format_Capex commit discloure_200710 v2" xfId="616"/>
    <cellStyle name="_Capex forecast-both JV_1_CAPEC Rolling Forecast for Mold Renew&amp;Repair&amp;Improve_Jun,2006(Q2)F_New format_SSAM Capex Qct BR" xfId="617"/>
    <cellStyle name="_Capex forecast-both JV_1_CAPEC Rolling Forecast for Mold Renew&amp;Repair&amp;Improve_Jun,2006(Q2)F_New format_SSAM Capex Qct BR_1.Industrialization CAPEX Forecast-Q4'08-20081220" xfId="618"/>
    <cellStyle name="_Capex forecast-both JV_1_CAPEC Rolling Forecast for Mold Renew&amp;Repair&amp;Improve_Jun,2006(Q2)F_New format_SSAM Capex Qct BR_2008Capex  forecast CBN" xfId="619"/>
    <cellStyle name="_Capex forecast-both JV_1_CAPEC Rolling Forecast for Mold Renew&amp;Repair&amp;Improve_Jun,2006(Q2)F_New format_SSAM Capex Qct BR_Book1" xfId="620"/>
    <cellStyle name="_Capex forecast-both JV_1_CAPEC Rolling Forecast for Mold Renew&amp;Repair&amp;Improve_Jun,2006(Q2)F_New format_SSAM Capex Qct BR_BR Capex &amp; expenses_Purchasing Project_20080616" xfId="621"/>
    <cellStyle name="_Capex forecast-both JV_1_CAPEC Rolling Forecast for Mold Renew&amp;Repair&amp;Improve_Jun,2006(Q2)F_New format_SSAM Capex Qct BR_CAPEX - IT_ Jan 08BR" xfId="622"/>
    <cellStyle name="_Capex forecast-both JV_1_CAPEC Rolling Forecast for Mold Renew&amp;Repair&amp;Improve_Jun,2006(Q2)F_New format_SSAM Capex Qct BR_CAPEX Rolling Forecast for building extend project- TF 2009 03 16" xfId="623"/>
    <cellStyle name="_Capex forecast-both JV_1_CAPEC Rolling Forecast for Mold Renew&amp;Repair&amp;Improve_Jun,2006(Q2)F_New format_SSAM Capex Qct BR_CAPEX Rolling Forecast for Mold_ Jan 08BR" xfId="624"/>
    <cellStyle name="_Capex forecast-both JV_1_CAPEC Rolling Forecast for Mold Renew&amp;Repair&amp;Improve_Jun,2006(Q2)F_New format_SSAM Capex Qct BR_Capex_Dept_Mar09 BR" xfId="625"/>
    <cellStyle name="_Capex forecast-both JV_1_CAPEC Rolling Forecast for Mold Renew&amp;Repair&amp;Improve_Jun,2006(Q2)F_New format_SSAM Capex Qct BR_Capex_IT_Mar 09 BR_plant" xfId="626"/>
    <cellStyle name="_Capex forecast-both JV_1_CAPEC Rolling Forecast for Mold Renew&amp;Repair&amp;Improve_Jun,2006(Q2)F_New format_SSAM Capex Qct BR_Capex_MM_Mar 09 BR_TF_Facility" xfId="627"/>
    <cellStyle name="_Capex forecast-both JV_1_CAPEC Rolling Forecast for Mold Renew&amp;Repair&amp;Improve_Jun,2006(Q2)F_New format_SSAM Capex Qct BR_Capex_Mold_Mar 09 BR" xfId="628"/>
    <cellStyle name="_Capex forecast-both JV_1_CAPEC Rolling Forecast for Mold Renew&amp;Repair&amp;Improve_Jun,2006(Q2)F_New format_SSAM Capex Qct BR_Capex_Tool_Apr08 BR" xfId="629"/>
    <cellStyle name="_Capex forecast-both JV_1_CAPEC Rolling Forecast for Mold Renew&amp;Repair&amp;Improve_Jun,2006(Q2)F_New format_SSAM Capex Qct BR_Dept. CAPEX Rolling forecast_Jan 08BR-1" xfId="630"/>
    <cellStyle name="_Capex forecast-both JV_1_CAPEC Rolling Forecast for Mold Renew&amp;Repair&amp;Improve_Jun,2006(Q2)F_New format_SSAM Capex Qct BR_Industrialization CAPEX Forecast-Q1'08-rev1" xfId="631"/>
    <cellStyle name="_Capex forecast-both JV_1_CAPEC Rolling Forecast for Mold Renew&amp;Repair&amp;Improve_Jun,2006(Q2)F_New format_SSAM Capex Qct BR_Industrialization CAPEX Forecast-Q2'08-rev3" xfId="632"/>
    <cellStyle name="_Capex forecast-both JV_1_CAPEC Rolling Forecast for Mold Renew&amp;Repair&amp;Improve_Jun,2006(Q2)F_New format_SSAM Capex Qct BR_Industrialization CAPEX Forecast-Q3'08" xfId="633"/>
    <cellStyle name="_Capex forecast-both JV_1_CAPEC Rolling Forecast for Mold Renew&amp;Repair&amp;Improve_Jun,2006(Q2)F_New format_SSAM Capex Qct BR_Industrialization CAPEX Forecast-Q4'08-20081210" xfId="634"/>
    <cellStyle name="_Capex forecast-both JV_1_CAPEC Rolling Forecast for Mold Renew&amp;Repair&amp;Improve_Jun,2006(Q2)F_New format_SSAM Capex Qct BR_Industrialization CAPEX Forecast-Q4'08-20081220" xfId="635"/>
    <cellStyle name="_Capex forecast-both JV_1_CAPEC Rolling Forecast for Mold Renew&amp;Repair&amp;Improve_Jun,2006(Q2)F_New format_SSAM Capex Qct BR_industrilization capex_Mar09BR-20090313" xfId="636"/>
    <cellStyle name="_Capex forecast-both JV_1_CAPEC Rolling Forecast for Mold Renew&amp;Repair&amp;Improve_Jun,2006(Q2)F_New format_SSAM Capex Qct BR_SSAM Capex Dec 08 BR_Plant Dec 4" xfId="637"/>
    <cellStyle name="_Capex forecast-both JV_1_CAPEC Rolling Forecast for Mold Renew&amp;Repair&amp;Improve_Jun,2006(Q2)F_New format_SSAM Capex Qct BR_SSAM Capex Jun08 BR_Plant  Jun 10" xfId="638"/>
    <cellStyle name="_Capex forecast-both JV_1_CAPEC Rolling Forecast for Mold Renew&amp;Repair&amp;Improve_Jun,2006(Q2)F_New format_SSAM Capex Qct BR_SSAM Capex Sept 08 BR_Plant Sept 2" xfId="639"/>
    <cellStyle name="_Capex forecast-both JV_1_CAPEX - IT_ Jan 08BR" xfId="640"/>
    <cellStyle name="_Capex forecast-both JV_1_Capex commit discloure_200710 v2" xfId="641"/>
    <cellStyle name="_Capex forecast-both JV_1_CAPEX Rolling Forecast for building extend project- TF 2009 03 16" xfId="642"/>
    <cellStyle name="_Capex forecast-both JV_1_CAPEX Rolling Forecast for Mold_ Jan 08BR" xfId="643"/>
    <cellStyle name="_Capex forecast-both JV_1_CAPEX Rolling Forecast forSSAM extend project &amp; TF 2007 11 19MYP" xfId="644"/>
    <cellStyle name="_Capex forecast-both JV_1_Capex_Dept_Mar09 BR" xfId="645"/>
    <cellStyle name="_Capex forecast-both JV_1_Capex_IT_Mar 09 BR_plant" xfId="646"/>
    <cellStyle name="_Capex forecast-both JV_1_Capex_MM_Mar 09 BR_TF_Facility" xfId="647"/>
    <cellStyle name="_Capex forecast-both JV_1_Capex_Mold_Localization_Q2'07_20070611_SSAM" xfId="648"/>
    <cellStyle name="_Capex forecast-both JV_1_Capex_Mold_Localization_Q2'07_20070611_SSAM_Capex commit discloure_200710 v2" xfId="649"/>
    <cellStyle name="_Capex forecast-both JV_1_Capex_Mold_Localization_Q2'07_20070611_SSAM_SSAM Capex Qct BR" xfId="650"/>
    <cellStyle name="_Capex forecast-both JV_1_Capex_Mold_Localization_Q2'07_20070611_SSAM_SSAM Capex Qct BR_1.Industrialization CAPEX Forecast-Q4'08-20081220" xfId="651"/>
    <cellStyle name="_Capex forecast-both JV_1_Capex_Mold_Localization_Q2'07_20070611_SSAM_SSAM Capex Qct BR_2008Capex  forecast CBN" xfId="652"/>
    <cellStyle name="_Capex forecast-both JV_1_Capex_Mold_Localization_Q2'07_20070611_SSAM_SSAM Capex Qct BR_Book1" xfId="653"/>
    <cellStyle name="_Capex forecast-both JV_1_Capex_Mold_Localization_Q2'07_20070611_SSAM_SSAM Capex Qct BR_BR Capex &amp; expenses_Purchasing Project_20080616" xfId="654"/>
    <cellStyle name="_Capex forecast-both JV_1_Capex_Mold_Localization_Q2'07_20070611_SSAM_SSAM Capex Qct BR_CAPEX - IT_ Jan 08BR" xfId="655"/>
    <cellStyle name="_Capex forecast-both JV_1_Capex_Mold_Localization_Q2'07_20070611_SSAM_SSAM Capex Qct BR_CAPEX Rolling Forecast for building extend project- TF 2009 03 16" xfId="656"/>
    <cellStyle name="_Capex forecast-both JV_1_Capex_Mold_Localization_Q2'07_20070611_SSAM_SSAM Capex Qct BR_CAPEX Rolling Forecast for Mold_ Jan 08BR" xfId="657"/>
    <cellStyle name="_Capex forecast-both JV_1_Capex_Mold_Localization_Q2'07_20070611_SSAM_SSAM Capex Qct BR_Capex_Dept_Mar09 BR" xfId="658"/>
    <cellStyle name="_Capex forecast-both JV_1_Capex_Mold_Localization_Q2'07_20070611_SSAM_SSAM Capex Qct BR_Capex_IT_Mar 09 BR_plant" xfId="659"/>
    <cellStyle name="_Capex forecast-both JV_1_Capex_Mold_Localization_Q2'07_20070611_SSAM_SSAM Capex Qct BR_Capex_MM_Mar 09 BR_TF_Facility" xfId="660"/>
    <cellStyle name="_Capex forecast-both JV_1_Capex_Mold_Localization_Q2'07_20070611_SSAM_SSAM Capex Qct BR_Capex_Mold_Mar 09 BR" xfId="661"/>
    <cellStyle name="_Capex forecast-both JV_1_Capex_Mold_Localization_Q2'07_20070611_SSAM_SSAM Capex Qct BR_Capex_Tool_Apr08 BR" xfId="662"/>
    <cellStyle name="_Capex forecast-both JV_1_Capex_Mold_Localization_Q2'07_20070611_SSAM_SSAM Capex Qct BR_Dept. CAPEX Rolling forecast_Jan 08BR-1" xfId="663"/>
    <cellStyle name="_Capex forecast-both JV_1_Capex_Mold_Localization_Q2'07_20070611_SSAM_SSAM Capex Qct BR_Industrialization CAPEX Forecast-Q1'08-rev1" xfId="664"/>
    <cellStyle name="_Capex forecast-both JV_1_Capex_Mold_Localization_Q2'07_20070611_SSAM_SSAM Capex Qct BR_Industrialization CAPEX Forecast-Q2'08-rev3" xfId="665"/>
    <cellStyle name="_Capex forecast-both JV_1_Capex_Mold_Localization_Q2'07_20070611_SSAM_SSAM Capex Qct BR_Industrialization CAPEX Forecast-Q3'08" xfId="666"/>
    <cellStyle name="_Capex forecast-both JV_1_Capex_Mold_Localization_Q2'07_20070611_SSAM_SSAM Capex Qct BR_Industrialization CAPEX Forecast-Q4'08-20081210" xfId="667"/>
    <cellStyle name="_Capex forecast-both JV_1_Capex_Mold_Localization_Q2'07_20070611_SSAM_SSAM Capex Qct BR_Industrialization CAPEX Forecast-Q4'08-20081220" xfId="668"/>
    <cellStyle name="_Capex forecast-both JV_1_Capex_Mold_Localization_Q2'07_20070611_SSAM_SSAM Capex Qct BR_industrilization capex_Mar09BR-20090313" xfId="669"/>
    <cellStyle name="_Capex forecast-both JV_1_Capex_Mold_Localization_Q2'07_20070611_SSAM_SSAM Capex Qct BR_SSAM Capex Dec 08 BR_Plant Dec 4" xfId="670"/>
    <cellStyle name="_Capex forecast-both JV_1_Capex_Mold_Localization_Q2'07_20070611_SSAM_SSAM Capex Qct BR_SSAM Capex Jun08 BR_Plant  Jun 10" xfId="671"/>
    <cellStyle name="_Capex forecast-both JV_1_Capex_Mold_Localization_Q2'07_20070611_SSAM_SSAM Capex Qct BR_SSAM Capex Sept 08 BR_Plant Sept 2" xfId="672"/>
    <cellStyle name="_Capex forecast-both JV_1_Capex_Mold_Localization_Q3'06(Dec.4)" xfId="673"/>
    <cellStyle name="_Capex forecast-both JV_1_Capex_Mold_Localization_Q3'06(Dec.4)_1.Industrialization CAPEX Forecast-Q4'08-20081220" xfId="674"/>
    <cellStyle name="_Capex forecast-both JV_1_Capex_Mold_Localization_Q3'06(Dec.4)_200803" xfId="675"/>
    <cellStyle name="_Capex forecast-both JV_1_Capex_Mold_Localization_Q3'06(Dec.4)_200811 Capex input form-actual(China TAF)" xfId="676"/>
    <cellStyle name="_Capex forecast-both JV_1_Capex_Mold_Localization_Q3'06(Dec.4)_2008Capex  forecast CBN" xfId="677"/>
    <cellStyle name="_Capex forecast-both JV_1_Capex_Mold_Localization_Q3'06(Dec.4)_Book1" xfId="678"/>
    <cellStyle name="_Capex forecast-both JV_1_Capex_Mold_Localization_Q3'06(Dec.4)_BR Capex &amp; expenses_Purchasing Project_20080616" xfId="679"/>
    <cellStyle name="_Capex forecast-both JV_1_Capex_Mold_Localization_Q3'06(Dec.4)_CAPEC Rolling Forecast for Mold Renew&amp;Repair&amp;Improve_Jun,2006(Q2)F_New format" xfId="680"/>
    <cellStyle name="_Capex forecast-both JV_1_Capex_Mold_Localization_Q3'06(Dec.4)_CAPEC Rolling Forecast for Mold Renew&amp;Repair&amp;Improve_Jun,2006(Q2)F_New format_Capex commit discloure_200710 v2" xfId="681"/>
    <cellStyle name="_Capex forecast-both JV_1_Capex_Mold_Localization_Q3'06(Dec.4)_CAPEC Rolling Forecast for Mold Renew&amp;Repair&amp;Improve_Jun,2006(Q2)F_New format_SSAM Capex Qct BR" xfId="682"/>
    <cellStyle name="_Capex forecast-both JV_1_Capex_Mold_Localization_Q3'06(Dec.4)_CAPEC Rolling Forecast for Mold Renew&amp;Repair&amp;Improve_Jun,2006(Q2)F_New format_SSAM Capex Qct BR_1.Industrialization CAPEX Forecast-Q4'08-20081220" xfId="683"/>
    <cellStyle name="_Capex forecast-both JV_1_Capex_Mold_Localization_Q3'06(Dec.4)_CAPEC Rolling Forecast for Mold Renew&amp;Repair&amp;Improve_Jun,2006(Q2)F_New format_SSAM Capex Qct BR_2008Capex  forecast CBN" xfId="684"/>
    <cellStyle name="_Capex forecast-both JV_1_Capex_Mold_Localization_Q3'06(Dec.4)_CAPEC Rolling Forecast for Mold Renew&amp;Repair&amp;Improve_Jun,2006(Q2)F_New format_SSAM Capex Qct BR_Book1" xfId="685"/>
    <cellStyle name="_Capex forecast-both JV_1_Capex_Mold_Localization_Q3'06(Dec.4)_CAPEC Rolling Forecast for Mold Renew&amp;Repair&amp;Improve_Jun,2006(Q2)F_New format_SSAM Capex Qct BR_BR Capex &amp; expenses_Purchasing Project_20080616" xfId="686"/>
    <cellStyle name="_Capex forecast-both JV_1_Capex_Mold_Localization_Q3'06(Dec.4)_CAPEC Rolling Forecast for Mold Renew&amp;Repair&amp;Improve_Jun,2006(Q2)F_New format_SSAM Capex Qct BR_CAPEX - IT_ Jan 08BR" xfId="687"/>
    <cellStyle name="_Capex forecast-both JV_1_Capex_Mold_Localization_Q3'06(Dec.4)_CAPEC Rolling Forecast for Mold Renew&amp;Repair&amp;Improve_Jun,2006(Q2)F_New format_SSAM Capex Qct BR_CAPEX Rolling Forecast for building extend project- TF 2009 03 16" xfId="688"/>
    <cellStyle name="_Capex forecast-both JV_1_Capex_Mold_Localization_Q3'06(Dec.4)_CAPEC Rolling Forecast for Mold Renew&amp;Repair&amp;Improve_Jun,2006(Q2)F_New format_SSAM Capex Qct BR_CAPEX Rolling Forecast for Mold_ Jan 08BR" xfId="689"/>
    <cellStyle name="_Capex forecast-both JV_1_Capex_Mold_Localization_Q3'06(Dec.4)_CAPEC Rolling Forecast for Mold Renew&amp;Repair&amp;Improve_Jun,2006(Q2)F_New format_SSAM Capex Qct BR_Capex_Dept_Mar09 BR" xfId="690"/>
    <cellStyle name="_Capex forecast-both JV_1_Capex_Mold_Localization_Q3'06(Dec.4)_CAPEC Rolling Forecast for Mold Renew&amp;Repair&amp;Improve_Jun,2006(Q2)F_New format_SSAM Capex Qct BR_Capex_IT_Mar 09 BR_plant" xfId="691"/>
    <cellStyle name="_Capex forecast-both JV_1_Capex_Mold_Localization_Q3'06(Dec.4)_CAPEC Rolling Forecast for Mold Renew&amp;Repair&amp;Improve_Jun,2006(Q2)F_New format_SSAM Capex Qct BR_Capex_MM_Mar 09 BR_TF_Facility" xfId="692"/>
    <cellStyle name="_Capex forecast-both JV_1_Capex_Mold_Localization_Q3'06(Dec.4)_CAPEC Rolling Forecast for Mold Renew&amp;Repair&amp;Improve_Jun,2006(Q2)F_New format_SSAM Capex Qct BR_Capex_Mold_Mar 09 BR" xfId="693"/>
    <cellStyle name="_Capex forecast-both JV_1_Capex_Mold_Localization_Q3'06(Dec.4)_CAPEC Rolling Forecast for Mold Renew&amp;Repair&amp;Improve_Jun,2006(Q2)F_New format_SSAM Capex Qct BR_Capex_Tool_Apr08 BR" xfId="694"/>
    <cellStyle name="_Capex forecast-both JV_1_Capex_Mold_Localization_Q3'06(Dec.4)_CAPEC Rolling Forecast for Mold Renew&amp;Repair&amp;Improve_Jun,2006(Q2)F_New format_SSAM Capex Qct BR_Dept. CAPEX Rolling forecast_Jan 08BR-1" xfId="695"/>
    <cellStyle name="_Capex forecast-both JV_1_Capex_Mold_Localization_Q3'06(Dec.4)_CAPEC Rolling Forecast for Mold Renew&amp;Repair&amp;Improve_Jun,2006(Q2)F_New format_SSAM Capex Qct BR_Industrialization CAPEX Forecast-Q1'08-rev1" xfId="696"/>
    <cellStyle name="_Capex forecast-both JV_1_Capex_Mold_Localization_Q3'06(Dec.4)_CAPEC Rolling Forecast for Mold Renew&amp;Repair&amp;Improve_Jun,2006(Q2)F_New format_SSAM Capex Qct BR_Industrialization CAPEX Forecast-Q2'08-rev3" xfId="697"/>
    <cellStyle name="_Capex forecast-both JV_1_Capex_Mold_Localization_Q3'06(Dec.4)_CAPEC Rolling Forecast for Mold Renew&amp;Repair&amp;Improve_Jun,2006(Q2)F_New format_SSAM Capex Qct BR_Industrialization CAPEX Forecast-Q3'08" xfId="698"/>
    <cellStyle name="_Capex forecast-both JV_1_Capex_Mold_Localization_Q3'06(Dec.4)_CAPEC Rolling Forecast for Mold Renew&amp;Repair&amp;Improve_Jun,2006(Q2)F_New format_SSAM Capex Qct BR_Industrialization CAPEX Forecast-Q4'08-20081210" xfId="699"/>
    <cellStyle name="_Capex forecast-both JV_1_Capex_Mold_Localization_Q3'06(Dec.4)_CAPEC Rolling Forecast for Mold Renew&amp;Repair&amp;Improve_Jun,2006(Q2)F_New format_SSAM Capex Qct BR_Industrialization CAPEX Forecast-Q4'08-20081220" xfId="700"/>
    <cellStyle name="_Capex forecast-both JV_1_Capex_Mold_Localization_Q3'06(Dec.4)_CAPEC Rolling Forecast for Mold Renew&amp;Repair&amp;Improve_Jun,2006(Q2)F_New format_SSAM Capex Qct BR_industrilization capex_Mar09BR-20090313" xfId="701"/>
    <cellStyle name="_Capex forecast-both JV_1_Capex_Mold_Localization_Q3'06(Dec.4)_CAPEC Rolling Forecast for Mold Renew&amp;Repair&amp;Improve_Jun,2006(Q2)F_New format_SSAM Capex Qct BR_SSAM Capex Dec 08 BR_Plant Dec 4" xfId="702"/>
    <cellStyle name="_Capex forecast-both JV_1_Capex_Mold_Localization_Q3'06(Dec.4)_CAPEC Rolling Forecast for Mold Renew&amp;Repair&amp;Improve_Jun,2006(Q2)F_New format_SSAM Capex Qct BR_SSAM Capex Jun08 BR_Plant  Jun 10" xfId="703"/>
    <cellStyle name="_Capex forecast-both JV_1_Capex_Mold_Localization_Q3'06(Dec.4)_CAPEC Rolling Forecast for Mold Renew&amp;Repair&amp;Improve_Jun,2006(Q2)F_New format_SSAM Capex Qct BR_SSAM Capex Sept 08 BR_Plant Sept 2" xfId="704"/>
    <cellStyle name="_Capex forecast-both JV_1_Capex_Mold_Localization_Q3'06(Dec.4)_CAPEX - IT_ Jan 08BR" xfId="705"/>
    <cellStyle name="_Capex forecast-both JV_1_Capex_Mold_Localization_Q3'06(Dec.4)_Capex commit discloure_200710 v2" xfId="706"/>
    <cellStyle name="_Capex forecast-both JV_1_Capex_Mold_Localization_Q3'06(Dec.4)_CAPEX Rolling Forecast for building extend project- TF 2009 03 16" xfId="707"/>
    <cellStyle name="_Capex forecast-both JV_1_Capex_Mold_Localization_Q3'06(Dec.4)_CAPEX Rolling Forecast for Mold_ Jan 08BR" xfId="708"/>
    <cellStyle name="_Capex forecast-both JV_1_Capex_Mold_Localization_Q3'06(Dec.4)_Capex_Dept_Mar09 BR" xfId="709"/>
    <cellStyle name="_Capex forecast-both JV_1_Capex_Mold_Localization_Q3'06(Dec.4)_Capex_IT_Mar 09 BR_plant" xfId="710"/>
    <cellStyle name="_Capex forecast-both JV_1_Capex_Mold_Localization_Q3'06(Dec.4)_Capex_MM_Mar 09 BR_TF_Facility" xfId="711"/>
    <cellStyle name="_Capex forecast-both JV_1_Capex_Mold_Localization_Q3'06(Dec.4)_Capex_Mold_Localization_Q2'07_20070611_SSAM" xfId="712"/>
    <cellStyle name="_Capex forecast-both JV_1_Capex_Mold_Localization_Q3'06(Dec.4)_Capex_Mold_Localization_Q2'07_20070611_SSAM_Capex commit discloure_200710 v2" xfId="713"/>
    <cellStyle name="_Capex forecast-both JV_1_Capex_Mold_Localization_Q3'06(Dec.4)_Capex_Mold_Localization_Q2'07_20070611_SSAM_SSAM Capex Qct BR" xfId="714"/>
    <cellStyle name="_Capex forecast-both JV_1_Capex_Mold_Localization_Q3'06(Dec.4)_Capex_Mold_Localization_Q2'07_20070611_SSAM_SSAM Capex Qct BR_1.Industrialization CAPEX Forecast-Q4'08-20081220" xfId="715"/>
    <cellStyle name="_Capex forecast-both JV_1_Capex_Mold_Localization_Q3'06(Dec.4)_Capex_Mold_Localization_Q2'07_20070611_SSAM_SSAM Capex Qct BR_2008Capex  forecast CBN" xfId="716"/>
    <cellStyle name="_Capex forecast-both JV_1_Capex_Mold_Localization_Q3'06(Dec.4)_Capex_Mold_Localization_Q2'07_20070611_SSAM_SSAM Capex Qct BR_Book1" xfId="717"/>
    <cellStyle name="_Capex forecast-both JV_1_Capex_Mold_Localization_Q3'06(Dec.4)_Capex_Mold_Localization_Q2'07_20070611_SSAM_SSAM Capex Qct BR_BR Capex &amp; expenses_Purchasing Project_20080616" xfId="718"/>
    <cellStyle name="_Capex forecast-both JV_1_Capex_Mold_Localization_Q3'06(Dec.4)_Capex_Mold_Localization_Q2'07_20070611_SSAM_SSAM Capex Qct BR_CAPEX - IT_ Jan 08BR" xfId="719"/>
    <cellStyle name="_Capex forecast-both JV_1_Capex_Mold_Localization_Q3'06(Dec.4)_Capex_Mold_Localization_Q2'07_20070611_SSAM_SSAM Capex Qct BR_CAPEX Rolling Forecast for building extend project- TF 2009 03 16" xfId="720"/>
    <cellStyle name="_Capex forecast-both JV_1_Capex_Mold_Localization_Q3'06(Dec.4)_Capex_Mold_Localization_Q2'07_20070611_SSAM_SSAM Capex Qct BR_CAPEX Rolling Forecast for Mold_ Jan 08BR" xfId="721"/>
    <cellStyle name="_Capex forecast-both JV_1_Capex_Mold_Localization_Q3'06(Dec.4)_Capex_Mold_Localization_Q2'07_20070611_SSAM_SSAM Capex Qct BR_Capex_Dept_Mar09 BR" xfId="722"/>
    <cellStyle name="_Capex forecast-both JV_1_Capex_Mold_Localization_Q3'06(Dec.4)_Capex_Mold_Localization_Q2'07_20070611_SSAM_SSAM Capex Qct BR_Capex_IT_Mar 09 BR_plant" xfId="723"/>
    <cellStyle name="_Capex forecast-both JV_1_Capex_Mold_Localization_Q3'06(Dec.4)_Capex_Mold_Localization_Q2'07_20070611_SSAM_SSAM Capex Qct BR_Capex_MM_Mar 09 BR_TF_Facility" xfId="724"/>
    <cellStyle name="_Capex forecast-both JV_1_Capex_Mold_Localization_Q3'06(Dec.4)_Capex_Mold_Localization_Q2'07_20070611_SSAM_SSAM Capex Qct BR_Capex_Mold_Mar 09 BR" xfId="725"/>
    <cellStyle name="_Capex forecast-both JV_1_Capex_Mold_Localization_Q3'06(Dec.4)_Capex_Mold_Localization_Q2'07_20070611_SSAM_SSAM Capex Qct BR_Capex_Tool_Apr08 BR" xfId="726"/>
    <cellStyle name="_Capex forecast-both JV_1_Capex_Mold_Localization_Q3'06(Dec.4)_Capex_Mold_Localization_Q2'07_20070611_SSAM_SSAM Capex Qct BR_Dept. CAPEX Rolling forecast_Jan 08BR-1" xfId="727"/>
    <cellStyle name="_Capex forecast-both JV_1_Capex_Mold_Localization_Q3'06(Dec.4)_Capex_Mold_Localization_Q2'07_20070611_SSAM_SSAM Capex Qct BR_Industrialization CAPEX Forecast-Q1'08-rev1" xfId="728"/>
    <cellStyle name="_Capex forecast-both JV_1_Capex_Mold_Localization_Q3'06(Dec.4)_Capex_Mold_Localization_Q2'07_20070611_SSAM_SSAM Capex Qct BR_Industrialization CAPEX Forecast-Q2'08-rev3" xfId="729"/>
    <cellStyle name="_Capex forecast-both JV_1_Capex_Mold_Localization_Q3'06(Dec.4)_Capex_Mold_Localization_Q2'07_20070611_SSAM_SSAM Capex Qct BR_Industrialization CAPEX Forecast-Q3'08" xfId="730"/>
    <cellStyle name="_Capex forecast-both JV_1_Capex_Mold_Localization_Q3'06(Dec.4)_Capex_Mold_Localization_Q2'07_20070611_SSAM_SSAM Capex Qct BR_Industrialization CAPEX Forecast-Q4'08-20081210" xfId="731"/>
    <cellStyle name="_Capex forecast-both JV_1_Capex_Mold_Localization_Q3'06(Dec.4)_Capex_Mold_Localization_Q2'07_20070611_SSAM_SSAM Capex Qct BR_Industrialization CAPEX Forecast-Q4'08-20081220" xfId="732"/>
    <cellStyle name="_Capex forecast-both JV_1_Capex_Mold_Localization_Q3'06(Dec.4)_Capex_Mold_Localization_Q2'07_20070611_SSAM_SSAM Capex Qct BR_industrilization capex_Mar09BR-20090313" xfId="733"/>
    <cellStyle name="_Capex forecast-both JV_1_Capex_Mold_Localization_Q3'06(Dec.4)_Capex_Mold_Localization_Q2'07_20070611_SSAM_SSAM Capex Qct BR_SSAM Capex Dec 08 BR_Plant Dec 4" xfId="734"/>
    <cellStyle name="_Capex forecast-both JV_1_Capex_Mold_Localization_Q3'06(Dec.4)_Capex_Mold_Localization_Q2'07_20070611_SSAM_SSAM Capex Qct BR_SSAM Capex Jun08 BR_Plant  Jun 10" xfId="735"/>
    <cellStyle name="_Capex forecast-both JV_1_Capex_Mold_Localization_Q3'06(Dec.4)_Capex_Mold_Localization_Q2'07_20070611_SSAM_SSAM Capex Qct BR_SSAM Capex Sept 08 BR_Plant Sept 2" xfId="736"/>
    <cellStyle name="_Capex forecast-both JV_1_Capex_Mold_Localization_Q3'06(Dec.4)_Capex_Mold_Mar 09 BR" xfId="737"/>
    <cellStyle name="_Capex forecast-both JV_1_Capex_Mold_Localization_Q3'06(Dec.4)_Capex_Tool_Apr08 BR" xfId="738"/>
    <cellStyle name="_Capex forecast-both JV_1_Capex_Mold_Localization_Q3'06(Dec.4)_Dept. CAPEX Rolling forecast_Jan 08BR-1" xfId="739"/>
    <cellStyle name="_Capex forecast-both JV_1_Capex_Mold_Localization_Q3'06(Dec.4)_Industrialization CAPEX Forecast-Q1'08-rev1" xfId="740"/>
    <cellStyle name="_Capex forecast-both JV_1_Capex_Mold_Localization_Q3'06(Dec.4)_Industrialization CAPEX Forecast-Q2'08-rev3" xfId="741"/>
    <cellStyle name="_Capex forecast-both JV_1_Capex_Mold_Localization_Q3'06(Dec.4)_Industrialization CAPEX Forecast-Q3'08" xfId="742"/>
    <cellStyle name="_Capex forecast-both JV_1_Capex_Mold_Localization_Q3'06(Dec.4)_Industrialization CAPEX Forecast-Q4'08-20081210" xfId="743"/>
    <cellStyle name="_Capex forecast-both JV_1_Capex_Mold_Localization_Q3'06(Dec.4)_Industrialization CAPEX Forecast-Q4'08-20081220" xfId="744"/>
    <cellStyle name="_Capex forecast-both JV_1_Capex_Mold_Localization_Q3'06(Dec.4)_industrilization capex_Mar09BR-20090313" xfId="745"/>
    <cellStyle name="_Capex forecast-both JV_1_Capex_Mold_Localization_Q3'06(Dec.4)_SSAM Capex Dec 08 BR_Plant Dec 4" xfId="746"/>
    <cellStyle name="_Capex forecast-both JV_1_Capex_Mold_Localization_Q3'06(Dec.4)_SSAM Capex Jun08 BR_Plant  Jun 10" xfId="747"/>
    <cellStyle name="_Capex forecast-both JV_1_Capex_Mold_Localization_Q3'06(Dec.4)_SSAM Capex Q2'07 IBR" xfId="748"/>
    <cellStyle name="_Capex forecast-both JV_1_Capex_Mold_Localization_Q3'06(Dec.4)_SSAM Capex Q2'07 IBR_Capex commit discloure_200710 v2" xfId="749"/>
    <cellStyle name="_Capex forecast-both JV_1_Capex_Mold_Localization_Q3'06(Dec.4)_SSAM Capex Q2'07 IBR_SSAM Capex Qct BR" xfId="750"/>
    <cellStyle name="_Capex forecast-both JV_1_Capex_Mold_Localization_Q3'06(Dec.4)_SSAM Capex Q2'07 IBR_SSAM Capex Qct BR_1.Industrialization CAPEX Forecast-Q4'08-20081220" xfId="751"/>
    <cellStyle name="_Capex forecast-both JV_1_Capex_Mold_Localization_Q3'06(Dec.4)_SSAM Capex Q2'07 IBR_SSAM Capex Qct BR_2008Capex  forecast CBN" xfId="752"/>
    <cellStyle name="_Capex forecast-both JV_1_Capex_Mold_Localization_Q3'06(Dec.4)_SSAM Capex Q2'07 IBR_SSAM Capex Qct BR_Book1" xfId="753"/>
    <cellStyle name="_Capex forecast-both JV_1_Capex_Mold_Localization_Q3'06(Dec.4)_SSAM Capex Q2'07 IBR_SSAM Capex Qct BR_BR Capex &amp; expenses_Purchasing Project_20080616" xfId="754"/>
    <cellStyle name="_Capex forecast-both JV_1_Capex_Mold_Localization_Q3'06(Dec.4)_SSAM Capex Q2'07 IBR_SSAM Capex Qct BR_CAPEX - IT_ Jan 08BR" xfId="755"/>
    <cellStyle name="_Capex forecast-both JV_1_Capex_Mold_Localization_Q3'06(Dec.4)_SSAM Capex Q2'07 IBR_SSAM Capex Qct BR_CAPEX Rolling Forecast for building extend project- TF 2009 03 16" xfId="756"/>
    <cellStyle name="_Capex forecast-both JV_1_Capex_Mold_Localization_Q3'06(Dec.4)_SSAM Capex Q2'07 IBR_SSAM Capex Qct BR_CAPEX Rolling Forecast for Mold_ Jan 08BR" xfId="757"/>
    <cellStyle name="_Capex forecast-both JV_1_Capex_Mold_Localization_Q3'06(Dec.4)_SSAM Capex Q2'07 IBR_SSAM Capex Qct BR_Capex_Dept_Mar09 BR" xfId="758"/>
    <cellStyle name="_Capex forecast-both JV_1_Capex_Mold_Localization_Q3'06(Dec.4)_SSAM Capex Q2'07 IBR_SSAM Capex Qct BR_Capex_IT_Mar 09 BR_plant" xfId="759"/>
    <cellStyle name="_Capex forecast-both JV_1_Capex_Mold_Localization_Q3'06(Dec.4)_SSAM Capex Q2'07 IBR_SSAM Capex Qct BR_Capex_MM_Mar 09 BR_TF_Facility" xfId="760"/>
    <cellStyle name="_Capex forecast-both JV_1_Capex_Mold_Localization_Q3'06(Dec.4)_SSAM Capex Q2'07 IBR_SSAM Capex Qct BR_Capex_Mold_Mar 09 BR" xfId="761"/>
    <cellStyle name="_Capex forecast-both JV_1_Capex_Mold_Localization_Q3'06(Dec.4)_SSAM Capex Q2'07 IBR_SSAM Capex Qct BR_Capex_Tool_Apr08 BR" xfId="762"/>
    <cellStyle name="_Capex forecast-both JV_1_Capex_Mold_Localization_Q3'06(Dec.4)_SSAM Capex Q2'07 IBR_SSAM Capex Qct BR_Dept. CAPEX Rolling forecast_Jan 08BR-1" xfId="763"/>
    <cellStyle name="_Capex forecast-both JV_1_Capex_Mold_Localization_Q3'06(Dec.4)_SSAM Capex Q2'07 IBR_SSAM Capex Qct BR_Industrialization CAPEX Forecast-Q1'08-rev1" xfId="764"/>
    <cellStyle name="_Capex forecast-both JV_1_Capex_Mold_Localization_Q3'06(Dec.4)_SSAM Capex Q2'07 IBR_SSAM Capex Qct BR_Industrialization CAPEX Forecast-Q2'08-rev3" xfId="765"/>
    <cellStyle name="_Capex forecast-both JV_1_Capex_Mold_Localization_Q3'06(Dec.4)_SSAM Capex Q2'07 IBR_SSAM Capex Qct BR_Industrialization CAPEX Forecast-Q3'08" xfId="766"/>
    <cellStyle name="_Capex forecast-both JV_1_Capex_Mold_Localization_Q3'06(Dec.4)_SSAM Capex Q2'07 IBR_SSAM Capex Qct BR_Industrialization CAPEX Forecast-Q4'08-20081210" xfId="767"/>
    <cellStyle name="_Capex forecast-both JV_1_Capex_Mold_Localization_Q3'06(Dec.4)_SSAM Capex Q2'07 IBR_SSAM Capex Qct BR_Industrialization CAPEX Forecast-Q4'08-20081220" xfId="768"/>
    <cellStyle name="_Capex forecast-both JV_1_Capex_Mold_Localization_Q3'06(Dec.4)_SSAM Capex Q2'07 IBR_SSAM Capex Qct BR_industrilization capex_Mar09BR-20090313" xfId="769"/>
    <cellStyle name="_Capex forecast-both JV_1_Capex_Mold_Localization_Q3'06(Dec.4)_SSAM Capex Q2'07 IBR_SSAM Capex Qct BR_SSAM Capex Dec 08 BR_Plant Dec 4" xfId="770"/>
    <cellStyle name="_Capex forecast-both JV_1_Capex_Mold_Localization_Q3'06(Dec.4)_SSAM Capex Q2'07 IBR_SSAM Capex Qct BR_SSAM Capex Jun08 BR_Plant  Jun 10" xfId="771"/>
    <cellStyle name="_Capex forecast-both JV_1_Capex_Mold_Localization_Q3'06(Dec.4)_SSAM Capex Q2'07 IBR_SSAM Capex Qct BR_SSAM Capex Sept 08 BR_Plant Sept 2" xfId="772"/>
    <cellStyle name="_Capex forecast-both JV_1_Capex_Mold_Localization_Q3'06(Dec.4)_SSAM Capex Q2'07 IBR-update" xfId="773"/>
    <cellStyle name="_Capex forecast-both JV_1_Capex_Mold_Localization_Q3'06(Dec.4)_SSAM Capex Q2'07 IBR-update_Capex commit discloure_200710 v2" xfId="774"/>
    <cellStyle name="_Capex forecast-both JV_1_Capex_Mold_Localization_Q3'06(Dec.4)_SSAM Capex Q2'07 IBR-update_SSAM Capex Qct BR" xfId="775"/>
    <cellStyle name="_Capex forecast-both JV_1_Capex_Mold_Localization_Q3'06(Dec.4)_SSAM Capex Q2'07 IBR-update_SSAM Capex Qct BR_1.Industrialization CAPEX Forecast-Q4'08-20081220" xfId="776"/>
    <cellStyle name="_Capex forecast-both JV_1_Capex_Mold_Localization_Q3'06(Dec.4)_SSAM Capex Q2'07 IBR-update_SSAM Capex Qct BR_2008Capex  forecast CBN" xfId="777"/>
    <cellStyle name="_Capex forecast-both JV_1_Capex_Mold_Localization_Q3'06(Dec.4)_SSAM Capex Q2'07 IBR-update_SSAM Capex Qct BR_Book1" xfId="778"/>
    <cellStyle name="_Capex forecast-both JV_1_Capex_Mold_Localization_Q3'06(Dec.4)_SSAM Capex Q2'07 IBR-update_SSAM Capex Qct BR_BR Capex &amp; expenses_Purchasing Project_20080616" xfId="779"/>
    <cellStyle name="_Capex forecast-both JV_1_Capex_Mold_Localization_Q3'06(Dec.4)_SSAM Capex Q2'07 IBR-update_SSAM Capex Qct BR_CAPEX - IT_ Jan 08BR" xfId="780"/>
    <cellStyle name="_Capex forecast-both JV_1_Capex_Mold_Localization_Q3'06(Dec.4)_SSAM Capex Q2'07 IBR-update_SSAM Capex Qct BR_CAPEX Rolling Forecast for building extend project- TF 2009 03 16" xfId="781"/>
    <cellStyle name="_Capex forecast-both JV_1_Capex_Mold_Localization_Q3'06(Dec.4)_SSAM Capex Q2'07 IBR-update_SSAM Capex Qct BR_CAPEX Rolling Forecast for Mold_ Jan 08BR" xfId="782"/>
    <cellStyle name="_Capex forecast-both JV_1_Capex_Mold_Localization_Q3'06(Dec.4)_SSAM Capex Q2'07 IBR-update_SSAM Capex Qct BR_Capex_Dept_Mar09 BR" xfId="783"/>
    <cellStyle name="_Capex forecast-both JV_1_Capex_Mold_Localization_Q3'06(Dec.4)_SSAM Capex Q2'07 IBR-update_SSAM Capex Qct BR_Capex_IT_Mar 09 BR_plant" xfId="784"/>
    <cellStyle name="_Capex forecast-both JV_1_Capex_Mold_Localization_Q3'06(Dec.4)_SSAM Capex Q2'07 IBR-update_SSAM Capex Qct BR_Capex_MM_Mar 09 BR_TF_Facility" xfId="785"/>
    <cellStyle name="_Capex forecast-both JV_1_Capex_Mold_Localization_Q3'06(Dec.4)_SSAM Capex Q2'07 IBR-update_SSAM Capex Qct BR_Capex_Mold_Mar 09 BR" xfId="786"/>
    <cellStyle name="_Capex forecast-both JV_1_Capex_Mold_Localization_Q3'06(Dec.4)_SSAM Capex Q2'07 IBR-update_SSAM Capex Qct BR_Capex_Tool_Apr08 BR" xfId="787"/>
    <cellStyle name="_Capex forecast-both JV_1_Capex_Mold_Localization_Q3'06(Dec.4)_SSAM Capex Q2'07 IBR-update_SSAM Capex Qct BR_Dept. CAPEX Rolling forecast_Jan 08BR-1" xfId="788"/>
    <cellStyle name="_Capex forecast-both JV_1_Capex_Mold_Localization_Q3'06(Dec.4)_SSAM Capex Q2'07 IBR-update_SSAM Capex Qct BR_Industrialization CAPEX Forecast-Q1'08-rev1" xfId="789"/>
    <cellStyle name="_Capex forecast-both JV_1_Capex_Mold_Localization_Q3'06(Dec.4)_SSAM Capex Q2'07 IBR-update_SSAM Capex Qct BR_Industrialization CAPEX Forecast-Q2'08-rev3" xfId="790"/>
    <cellStyle name="_Capex forecast-both JV_1_Capex_Mold_Localization_Q3'06(Dec.4)_SSAM Capex Q2'07 IBR-update_SSAM Capex Qct BR_Industrialization CAPEX Forecast-Q3'08" xfId="791"/>
    <cellStyle name="_Capex forecast-both JV_1_Capex_Mold_Localization_Q3'06(Dec.4)_SSAM Capex Q2'07 IBR-update_SSAM Capex Qct BR_Industrialization CAPEX Forecast-Q4'08-20081210" xfId="792"/>
    <cellStyle name="_Capex forecast-both JV_1_Capex_Mold_Localization_Q3'06(Dec.4)_SSAM Capex Q2'07 IBR-update_SSAM Capex Qct BR_Industrialization CAPEX Forecast-Q4'08-20081220" xfId="793"/>
    <cellStyle name="_Capex forecast-both JV_1_Capex_Mold_Localization_Q3'06(Dec.4)_SSAM Capex Q2'07 IBR-update_SSAM Capex Qct BR_industrilization capex_Mar09BR-20090313" xfId="794"/>
    <cellStyle name="_Capex forecast-both JV_1_Capex_Mold_Localization_Q3'06(Dec.4)_SSAM Capex Q2'07 IBR-update_SSAM Capex Qct BR_SSAM Capex Dec 08 BR_Plant Dec 4" xfId="795"/>
    <cellStyle name="_Capex forecast-both JV_1_Capex_Mold_Localization_Q3'06(Dec.4)_SSAM Capex Q2'07 IBR-update_SSAM Capex Qct BR_SSAM Capex Jun08 BR_Plant  Jun 10" xfId="796"/>
    <cellStyle name="_Capex forecast-both JV_1_Capex_Mold_Localization_Q3'06(Dec.4)_SSAM Capex Q2'07 IBR-update_SSAM Capex Qct BR_SSAM Capex Sept 08 BR_Plant Sept 2" xfId="797"/>
    <cellStyle name="_Capex forecast-both JV_1_Capex_Mold_Localization_Q3'06(Dec.4)_SSAM Capex Sept 08 BR_Plant Sept 2" xfId="798"/>
    <cellStyle name="_Capex forecast-both JV_1_Capex_Mold_Mar 09 BR" xfId="799"/>
    <cellStyle name="_Capex forecast-both JV_1_Capex_Tool_Apr08 BR" xfId="800"/>
    <cellStyle name="_Capex forecast-both JV_1_Dept. CAPEX Rolling forecast_Jan 08BR-1" xfId="801"/>
    <cellStyle name="_Capex forecast-both JV_1_Indiustrialization CAPEX Forecast-Q2'07" xfId="802"/>
    <cellStyle name="_Capex forecast-both JV_1_Indiustrialization CAPEX Forecast-Q2'07_Capex commit discloure_200710 v2" xfId="803"/>
    <cellStyle name="_Capex forecast-both JV_1_Indiustrialization CAPEX Forecast-Q2'07_SSAM Capex Qct BR" xfId="804"/>
    <cellStyle name="_Capex forecast-both JV_1_Indiustrialization CAPEX Forecast-Q2'07_SSAM Capex Qct BR_1.Industrialization CAPEX Forecast-Q4'08-20081220" xfId="805"/>
    <cellStyle name="_Capex forecast-both JV_1_Indiustrialization CAPEX Forecast-Q2'07_SSAM Capex Qct BR_2008Capex  forecast CBN" xfId="806"/>
    <cellStyle name="_Capex forecast-both JV_1_Indiustrialization CAPEX Forecast-Q2'07_SSAM Capex Qct BR_Book1" xfId="807"/>
    <cellStyle name="_Capex forecast-both JV_1_Indiustrialization CAPEX Forecast-Q2'07_SSAM Capex Qct BR_BR Capex &amp; expenses_Purchasing Project_20080616" xfId="808"/>
    <cellStyle name="_Capex forecast-both JV_1_Indiustrialization CAPEX Forecast-Q2'07_SSAM Capex Qct BR_CAPEX - IT_ Jan 08BR" xfId="809"/>
    <cellStyle name="_Capex forecast-both JV_1_Indiustrialization CAPEX Forecast-Q2'07_SSAM Capex Qct BR_CAPEX Rolling Forecast for building extend project- TF 2009 03 16" xfId="810"/>
    <cellStyle name="_Capex forecast-both JV_1_Indiustrialization CAPEX Forecast-Q2'07_SSAM Capex Qct BR_CAPEX Rolling Forecast for Mold_ Jan 08BR" xfId="811"/>
    <cellStyle name="_Capex forecast-both JV_1_Indiustrialization CAPEX Forecast-Q2'07_SSAM Capex Qct BR_Capex_Dept_Mar09 BR" xfId="812"/>
    <cellStyle name="_Capex forecast-both JV_1_Indiustrialization CAPEX Forecast-Q2'07_SSAM Capex Qct BR_Capex_IT_Mar 09 BR_plant" xfId="813"/>
    <cellStyle name="_Capex forecast-both JV_1_Indiustrialization CAPEX Forecast-Q2'07_SSAM Capex Qct BR_Capex_MM_Mar 09 BR_TF_Facility" xfId="814"/>
    <cellStyle name="_Capex forecast-both JV_1_Indiustrialization CAPEX Forecast-Q2'07_SSAM Capex Qct BR_Capex_Mold_Mar 09 BR" xfId="815"/>
    <cellStyle name="_Capex forecast-both JV_1_Indiustrialization CAPEX Forecast-Q2'07_SSAM Capex Qct BR_Capex_Tool_Apr08 BR" xfId="816"/>
    <cellStyle name="_Capex forecast-both JV_1_Indiustrialization CAPEX Forecast-Q2'07_SSAM Capex Qct BR_Dept. CAPEX Rolling forecast_Jan 08BR-1" xfId="817"/>
    <cellStyle name="_Capex forecast-both JV_1_Indiustrialization CAPEX Forecast-Q2'07_SSAM Capex Qct BR_Industrialization CAPEX Forecast-Q1'08-rev1" xfId="818"/>
    <cellStyle name="_Capex forecast-both JV_1_Indiustrialization CAPEX Forecast-Q2'07_SSAM Capex Qct BR_Industrialization CAPEX Forecast-Q2'08-rev3" xfId="819"/>
    <cellStyle name="_Capex forecast-both JV_1_Indiustrialization CAPEX Forecast-Q2'07_SSAM Capex Qct BR_Industrialization CAPEX Forecast-Q3'08" xfId="820"/>
    <cellStyle name="_Capex forecast-both JV_1_Indiustrialization CAPEX Forecast-Q2'07_SSAM Capex Qct BR_Industrialization CAPEX Forecast-Q4'08-20081210" xfId="821"/>
    <cellStyle name="_Capex forecast-both JV_1_Indiustrialization CAPEX Forecast-Q2'07_SSAM Capex Qct BR_Industrialization CAPEX Forecast-Q4'08-20081220" xfId="822"/>
    <cellStyle name="_Capex forecast-both JV_1_Indiustrialization CAPEX Forecast-Q2'07_SSAM Capex Qct BR_industrilization capex_Mar09BR-20090313" xfId="823"/>
    <cellStyle name="_Capex forecast-both JV_1_Indiustrialization CAPEX Forecast-Q2'07_SSAM Capex Qct BR_SSAM Capex Dec 08 BR_Plant Dec 4" xfId="824"/>
    <cellStyle name="_Capex forecast-both JV_1_Indiustrialization CAPEX Forecast-Q2'07_SSAM Capex Qct BR_SSAM Capex Jun08 BR_Plant  Jun 10" xfId="825"/>
    <cellStyle name="_Capex forecast-both JV_1_Indiustrialization CAPEX Forecast-Q2'07_SSAM Capex Qct BR_SSAM Capex Sept 08 BR_Plant Sept 2" xfId="826"/>
    <cellStyle name="_Capex forecast-both JV_1_Industrialization CAPEX Forecast-Q1'08-rev1" xfId="827"/>
    <cellStyle name="_Capex forecast-both JV_1_Industrialization CAPEX Forecast-Q2'08-rev3" xfId="828"/>
    <cellStyle name="_Capex forecast-both JV_1_Industrialization CAPEX Forecast-Q3'08" xfId="829"/>
    <cellStyle name="_Capex forecast-both JV_1_Industrialization CAPEX Forecast-Q4'08-20081210" xfId="830"/>
    <cellStyle name="_Capex forecast-both JV_1_Industrialization CAPEX Forecast-Q4'08-20081220" xfId="831"/>
    <cellStyle name="_Capex forecast-both JV_1_industrilization capex_Mar09BR-20090313" xfId="832"/>
    <cellStyle name="_Capex forecast-both JV_1_SSAM Capex Dec 08 BR_Plant Dec 4" xfId="833"/>
    <cellStyle name="_Capex forecast-both JV_1_SSAM Capex Jun08 BR_Plant  Jun 10" xfId="834"/>
    <cellStyle name="_Capex forecast-both JV_1_SSAM Capex Q2'07 IBR" xfId="835"/>
    <cellStyle name="_Capex forecast-both JV_1_SSAM Capex Q2'07 IBR_Capex commit discloure_200710 v2" xfId="836"/>
    <cellStyle name="_Capex forecast-both JV_1_SSAM Capex Q2'07 IBR_SSAM Capex Qct BR" xfId="837"/>
    <cellStyle name="_Capex forecast-both JV_1_SSAM Capex Q2'07 IBR_SSAM Capex Qct BR_1.Industrialization CAPEX Forecast-Q4'08-20081220" xfId="838"/>
    <cellStyle name="_Capex forecast-both JV_1_SSAM Capex Q2'07 IBR_SSAM Capex Qct BR_2008Capex  forecast CBN" xfId="839"/>
    <cellStyle name="_Capex forecast-both JV_1_SSAM Capex Q2'07 IBR_SSAM Capex Qct BR_Book1" xfId="840"/>
    <cellStyle name="_Capex forecast-both JV_1_SSAM Capex Q2'07 IBR_SSAM Capex Qct BR_BR Capex &amp; expenses_Purchasing Project_20080616" xfId="841"/>
    <cellStyle name="_Capex forecast-both JV_1_SSAM Capex Q2'07 IBR_SSAM Capex Qct BR_CAPEX - IT_ Jan 08BR" xfId="842"/>
    <cellStyle name="_Capex forecast-both JV_1_SSAM Capex Q2'07 IBR_SSAM Capex Qct BR_CAPEX Rolling Forecast for building extend project- TF 2009 03 16" xfId="843"/>
    <cellStyle name="_Capex forecast-both JV_1_SSAM Capex Q2'07 IBR_SSAM Capex Qct BR_CAPEX Rolling Forecast for Mold_ Jan 08BR" xfId="844"/>
    <cellStyle name="_Capex forecast-both JV_1_SSAM Capex Q2'07 IBR_SSAM Capex Qct BR_Capex_Dept_Mar09 BR" xfId="845"/>
    <cellStyle name="_Capex forecast-both JV_1_SSAM Capex Q2'07 IBR_SSAM Capex Qct BR_Capex_IT_Mar 09 BR_plant" xfId="846"/>
    <cellStyle name="_Capex forecast-both JV_1_SSAM Capex Q2'07 IBR_SSAM Capex Qct BR_Capex_MM_Mar 09 BR_TF_Facility" xfId="847"/>
    <cellStyle name="_Capex forecast-both JV_1_SSAM Capex Q2'07 IBR_SSAM Capex Qct BR_Capex_Mold_Mar 09 BR" xfId="848"/>
    <cellStyle name="_Capex forecast-both JV_1_SSAM Capex Q2'07 IBR_SSAM Capex Qct BR_Capex_Tool_Apr08 BR" xfId="849"/>
    <cellStyle name="_Capex forecast-both JV_1_SSAM Capex Q2'07 IBR_SSAM Capex Qct BR_Dept. CAPEX Rolling forecast_Jan 08BR-1" xfId="850"/>
    <cellStyle name="_Capex forecast-both JV_1_SSAM Capex Q2'07 IBR_SSAM Capex Qct BR_Industrialization CAPEX Forecast-Q1'08-rev1" xfId="851"/>
    <cellStyle name="_Capex forecast-both JV_1_SSAM Capex Q2'07 IBR_SSAM Capex Qct BR_Industrialization CAPEX Forecast-Q2'08-rev3" xfId="852"/>
    <cellStyle name="_Capex forecast-both JV_1_SSAM Capex Q2'07 IBR_SSAM Capex Qct BR_Industrialization CAPEX Forecast-Q3'08" xfId="853"/>
    <cellStyle name="_Capex forecast-both JV_1_SSAM Capex Q2'07 IBR_SSAM Capex Qct BR_Industrialization CAPEX Forecast-Q4'08-20081210" xfId="854"/>
    <cellStyle name="_Capex forecast-both JV_1_SSAM Capex Q2'07 IBR_SSAM Capex Qct BR_Industrialization CAPEX Forecast-Q4'08-20081220" xfId="855"/>
    <cellStyle name="_Capex forecast-both JV_1_SSAM Capex Q2'07 IBR_SSAM Capex Qct BR_industrilization capex_Mar09BR-20090313" xfId="856"/>
    <cellStyle name="_Capex forecast-both JV_1_SSAM Capex Q2'07 IBR_SSAM Capex Qct BR_SSAM Capex Dec 08 BR_Plant Dec 4" xfId="857"/>
    <cellStyle name="_Capex forecast-both JV_1_SSAM Capex Q2'07 IBR_SSAM Capex Qct BR_SSAM Capex Jun08 BR_Plant  Jun 10" xfId="858"/>
    <cellStyle name="_Capex forecast-both JV_1_SSAM Capex Q2'07 IBR_SSAM Capex Qct BR_SSAM Capex Sept 08 BR_Plant Sept 2" xfId="859"/>
    <cellStyle name="_Capex forecast-both JV_1_SSAM Capex Q2'07 IBR-update" xfId="860"/>
    <cellStyle name="_Capex forecast-both JV_1_SSAM Capex Q2'07 IBR-update_Capex commit discloure_200710 v2" xfId="861"/>
    <cellStyle name="_Capex forecast-both JV_1_SSAM Capex Q2'07 IBR-update_SSAM Capex Qct BR" xfId="862"/>
    <cellStyle name="_Capex forecast-both JV_1_SSAM Capex Q2'07 IBR-update_SSAM Capex Qct BR_1.Industrialization CAPEX Forecast-Q4'08-20081220" xfId="863"/>
    <cellStyle name="_Capex forecast-both JV_1_SSAM Capex Q2'07 IBR-update_SSAM Capex Qct BR_2008Capex  forecast CBN" xfId="864"/>
    <cellStyle name="_Capex forecast-both JV_1_SSAM Capex Q2'07 IBR-update_SSAM Capex Qct BR_Book1" xfId="865"/>
    <cellStyle name="_Capex forecast-both JV_1_SSAM Capex Q2'07 IBR-update_SSAM Capex Qct BR_BR Capex &amp; expenses_Purchasing Project_20080616" xfId="866"/>
    <cellStyle name="_Capex forecast-both JV_1_SSAM Capex Q2'07 IBR-update_SSAM Capex Qct BR_CAPEX - IT_ Jan 08BR" xfId="867"/>
    <cellStyle name="_Capex forecast-both JV_1_SSAM Capex Q2'07 IBR-update_SSAM Capex Qct BR_CAPEX Rolling Forecast for building extend project- TF 2009 03 16" xfId="868"/>
    <cellStyle name="_Capex forecast-both JV_1_SSAM Capex Q2'07 IBR-update_SSAM Capex Qct BR_CAPEX Rolling Forecast for Mold_ Jan 08BR" xfId="869"/>
    <cellStyle name="_Capex forecast-both JV_1_SSAM Capex Q2'07 IBR-update_SSAM Capex Qct BR_Capex_Dept_Mar09 BR" xfId="870"/>
    <cellStyle name="_Capex forecast-both JV_1_SSAM Capex Q2'07 IBR-update_SSAM Capex Qct BR_Capex_IT_Mar 09 BR_plant" xfId="871"/>
    <cellStyle name="_Capex forecast-both JV_1_SSAM Capex Q2'07 IBR-update_SSAM Capex Qct BR_Capex_MM_Mar 09 BR_TF_Facility" xfId="872"/>
    <cellStyle name="_Capex forecast-both JV_1_SSAM Capex Q2'07 IBR-update_SSAM Capex Qct BR_Capex_Mold_Mar 09 BR" xfId="873"/>
    <cellStyle name="_Capex forecast-both JV_1_SSAM Capex Q2'07 IBR-update_SSAM Capex Qct BR_Capex_Tool_Apr08 BR" xfId="874"/>
    <cellStyle name="_Capex forecast-both JV_1_SSAM Capex Q2'07 IBR-update_SSAM Capex Qct BR_Dept. CAPEX Rolling forecast_Jan 08BR-1" xfId="875"/>
    <cellStyle name="_Capex forecast-both JV_1_SSAM Capex Q2'07 IBR-update_SSAM Capex Qct BR_Industrialization CAPEX Forecast-Q1'08-rev1" xfId="876"/>
    <cellStyle name="_Capex forecast-both JV_1_SSAM Capex Q2'07 IBR-update_SSAM Capex Qct BR_Industrialization CAPEX Forecast-Q2'08-rev3" xfId="877"/>
    <cellStyle name="_Capex forecast-both JV_1_SSAM Capex Q2'07 IBR-update_SSAM Capex Qct BR_Industrialization CAPEX Forecast-Q3'08" xfId="878"/>
    <cellStyle name="_Capex forecast-both JV_1_SSAM Capex Q2'07 IBR-update_SSAM Capex Qct BR_Industrialization CAPEX Forecast-Q4'08-20081210" xfId="879"/>
    <cellStyle name="_Capex forecast-both JV_1_SSAM Capex Q2'07 IBR-update_SSAM Capex Qct BR_Industrialization CAPEX Forecast-Q4'08-20081220" xfId="880"/>
    <cellStyle name="_Capex forecast-both JV_1_SSAM Capex Q2'07 IBR-update_SSAM Capex Qct BR_industrilization capex_Mar09BR-20090313" xfId="881"/>
    <cellStyle name="_Capex forecast-both JV_1_SSAM Capex Q2'07 IBR-update_SSAM Capex Qct BR_SSAM Capex Dec 08 BR_Plant Dec 4" xfId="882"/>
    <cellStyle name="_Capex forecast-both JV_1_SSAM Capex Q2'07 IBR-update_SSAM Capex Qct BR_SSAM Capex Jun08 BR_Plant  Jun 10" xfId="883"/>
    <cellStyle name="_Capex forecast-both JV_1_SSAM Capex Q2'07 IBR-update_SSAM Capex Qct BR_SSAM Capex Sept 08 BR_Plant Sept 2" xfId="884"/>
    <cellStyle name="_Capex forecast-both JV_1_SSAM Capex Sept 08 BR_Plant Sept 2" xfId="885"/>
    <cellStyle name="_Capex forecast-both JV_1_SSAM dashboard" xfId="886"/>
    <cellStyle name="_CAPEX Format" xfId="887"/>
    <cellStyle name="_Capex Jun BR" xfId="888"/>
    <cellStyle name="_Capex Jun BR_Capex commit discloure_200710 v2" xfId="889"/>
    <cellStyle name="_Capex_Methods" xfId="890"/>
    <cellStyle name="_Capex_Mold_Localization_Q2'07_20070605_MK modifications" xfId="891"/>
    <cellStyle name="_CAPEX-BR Sep05-SWEEC-template" xfId="892"/>
    <cellStyle name="_CCM - AAV35256 - 25K - 08072009" xfId="893"/>
    <cellStyle name="_CCM - AAV35256 - 25K - 08072009_Colombus project card August WK32.2009" xfId="894"/>
    <cellStyle name="_CCM - AAV35256 - 25K - 08072009_Overall Investments" xfId="895"/>
    <cellStyle name="_CCM - AAV35256 - 25K - 08072009_Overall Investments reviewed WPF + Pravin Sep 09" xfId="896"/>
    <cellStyle name="_CCM - AAV35256 - 25K - 08072009_Overall Investments V2 Oct  09" xfId="897"/>
    <cellStyle name="_CCM - AAV35256 - 43K - 01072009" xfId="898"/>
    <cellStyle name="_CCM - AAV35256 - 43K - 01072009_Colombus project card August WK32.2009" xfId="899"/>
    <cellStyle name="_CCM - AAV35256 - 43K - 01072009_Overall Investments" xfId="900"/>
    <cellStyle name="_CCM - AAV35256 - 43K - 01072009_Overall Investments reviewed WPF + Pravin Sep 09" xfId="901"/>
    <cellStyle name="_CCM - AAV35256 - 43K - 01072009_Overall Investments V2 Oct  09" xfId="902"/>
    <cellStyle name="_CCM - AAV35256 - 43K - 08072009" xfId="903"/>
    <cellStyle name="_CCM - AAV35256 - 43K - 08072009_Colombus project card August WK32.2009" xfId="904"/>
    <cellStyle name="_CCM - AAV35256 - 43K - 08072009_Overall Investments" xfId="905"/>
    <cellStyle name="_CCM - AAV35256 - 43K - 08072009_Overall Investments reviewed WPF + Pravin Sep 09" xfId="906"/>
    <cellStyle name="_CCM - AAV35256 - 43K - 08072009_Overall Investments V2 Oct  09" xfId="907"/>
    <cellStyle name="_CCM - AAV35256 - 61K - 08072009" xfId="908"/>
    <cellStyle name="_CCM - AAV35256 - 61K - 08072009_Colombus project card August WK32.2009" xfId="909"/>
    <cellStyle name="_CCM - AAV35256 - 61K - 08072009_Overall Investments" xfId="910"/>
    <cellStyle name="_CCM - AAV35256 - 61K - 08072009_Overall Investments reviewed WPF + Pravin Sep 09" xfId="911"/>
    <cellStyle name="_CCM - AAV35256 - 61K - 08072009_Overall Investments V2 Oct  09" xfId="912"/>
    <cellStyle name="_CCO &amp; Local PL_200712" xfId="913"/>
    <cellStyle name="_CCO &amp; Local PL_200712_13. Delta Price_200803" xfId="914"/>
    <cellStyle name="_CCO &amp; Local PL_200712_13. Delta Price_200803_Consolidated - 2008 Q1 zone BR Ess (APOD IND) v1" xfId="915"/>
    <cellStyle name="_CCO &amp; Local PL_200712_13. Delta Price_200803_Consolidated - 2008 Q1 zone BR essbase retrievals v4" xfId="916"/>
    <cellStyle name="_CCO &amp; Local PL_200712_13. Delta Price_200803_Consolidated - 2008 Q1 zone BR essbase retrievals v4 (APOD IND)" xfId="917"/>
    <cellStyle name="_CCO &amp; Local PL_200712_17. CCO by country_200803" xfId="918"/>
    <cellStyle name="_CCO &amp; Local PL_200712_17. CCO by country_200803_Consolidated - 2008 Q1 zone BR Ess (APOD IND) v1" xfId="919"/>
    <cellStyle name="_CCO &amp; Local PL_200712_17. CCO by country_200803_Consolidated - 2008 Q1 zone BR essbase retrievals v4" xfId="920"/>
    <cellStyle name="_CCO &amp; Local PL_200712_17. CCO by country_200803_Consolidated - 2008 Q1 zone BR essbase retrievals v4 (APOD IND)" xfId="921"/>
    <cellStyle name="_CCO &amp; Local PL_200712_2008 Q1 zone BR submission" xfId="922"/>
    <cellStyle name="_CCO &amp; Local PL_200712_2008 Q1 zone BR submission_Consolidated - 2008 Q1 zone BR Ess (APOD IND) v1" xfId="923"/>
    <cellStyle name="_CCO &amp; Local PL_200712_2008 Q1 zone BR submission_Consolidated - 2008 Q1 zone BR essbase retrievals v4" xfId="924"/>
    <cellStyle name="_CCO &amp; Local PL_200712_2008 Q1 zone BR submission_Consolidated - 2008 Q1 zone BR essbase retrievals v4 (APOD IND)" xfId="925"/>
    <cellStyle name="_CCO &amp; Local PL_200712_backlog" xfId="926"/>
    <cellStyle name="_CCO &amp; Local PL_200712_backlog_Consolidated - 2008 Q1 zone BR Ess (APOD IND) v1" xfId="927"/>
    <cellStyle name="_CCO &amp; Local PL_200712_backlog_Consolidated - 2008 Q1 zone BR essbase retrievals v4" xfId="928"/>
    <cellStyle name="_CCO &amp; Local PL_200712_backlog_Consolidated - 2008 Q1 zone BR essbase retrievals v4 (APOD IND)" xfId="929"/>
    <cellStyle name="_CCO &amp; Local PL_200712_Consolidated - 2008 Q1 zone BR essbase retrievals v3" xfId="930"/>
    <cellStyle name="_CCO &amp; Local PL_200712_Consolidated - 2008 Q1 zone BR essbase retrievals v3_Consolidated - 2008 Q1 zone BR Ess (APOD IND) v1" xfId="931"/>
    <cellStyle name="_CCO &amp; Local PL_200712_Consolidated - 2008 Q1 zone BR essbase retrievals v3_Consolidated - 2008 Q1 zone BR essbase retrievals v4" xfId="932"/>
    <cellStyle name="_CCO &amp; Local PL_200712_Consolidated - 2008 Q1 zone BR essbase retrievals v3_Consolidated - 2008 Q1 zone BR essbase retrievals v4 (APOD IND)" xfId="933"/>
    <cellStyle name="_CCO &amp; Local PL_200712_OG sales by entity" xfId="934"/>
    <cellStyle name="_CCO &amp; Local PL_200712_OG sales by entity_Consolidated - 2008 Q1 zone BR Ess (APOD IND) v1" xfId="935"/>
    <cellStyle name="_CCO &amp; Local PL_200712_OG sales by entity_Consolidated - 2008 Q1 zone BR essbase retrievals v4" xfId="936"/>
    <cellStyle name="_CCO &amp; Local PL_200712_OG sales by entity_Consolidated - 2008 Q1 zone BR essbase retrievals v4 (APOD IND)" xfId="937"/>
    <cellStyle name="_CCO &amp; Local PL_200712_zone growth ambition" xfId="938"/>
    <cellStyle name="_CCO &amp; Local PL_200712_zone growth ambition_Consolidated - 2008 Q1 zone BR Ess (APOD IND) v1" xfId="939"/>
    <cellStyle name="_CCO &amp; Local PL_200712_zone growth ambition_Consolidated - 2008 Q1 zone BR essbase retrievals v4" xfId="940"/>
    <cellStyle name="_CCO &amp; Local PL_200712_zone growth ambition_Consolidated - 2008 Q1 zone BR essbase retrievals v4 (APOD IND)" xfId="941"/>
    <cellStyle name="_CCO by country_2007.12" xfId="942"/>
    <cellStyle name="_Central_Sept 07_INS China- 070912V3" xfId="943"/>
    <cellStyle name="_China Productivity Report by Entity BR Comparision" xfId="944"/>
    <cellStyle name="_China Productivity Report by Entity-Apr BR" xfId="945"/>
    <cellStyle name="_Colombus - SCT offer 09092009v01 - without 3D" xfId="946"/>
    <cellStyle name="_Colombus - SCT offer 23092009v02 - without 3D" xfId="947"/>
    <cellStyle name="_Colombus MicroBCM offer 30072009v01 - without 3D - breakdown with =S= format" xfId="948"/>
    <cellStyle name="_Colombus MicroBCM offer 30072009v02 - without 3D" xfId="949"/>
    <cellStyle name="_Colombus project card August WK32.2009" xfId="950"/>
    <cellStyle name="_Columbus - PCS as on 19-Nov '09 year wise Cost" xfId="951"/>
    <cellStyle name="_Committed CAPEX_2007" xfId="952"/>
    <cellStyle name="_Committed CAPEX_2009" xfId="953"/>
    <cellStyle name="_Consolidated - 2008 Q1 zone BR essbase retrievals v3" xfId="954"/>
    <cellStyle name="_Consolidated - 2008 Q1 zone BR essbase retrievals v3_Consolidated - 2008 Q1 zone BR Ess (APOD IND) v1" xfId="955"/>
    <cellStyle name="_Consolidated - 2008 Q1 zone BR essbase retrievals v3_Consolidated - 2008 Q1 zone BR essbase retrievals v4" xfId="956"/>
    <cellStyle name="_Consolidated - 2008 Q1 zone BR essbase retrievals v3_Consolidated - 2008 Q1 zone BR essbase retrievals v4 (APOD IND)" xfId="957"/>
    <cellStyle name="_Copy of Malan project database 12-18" xfId="958"/>
    <cellStyle name="_Copy of MDB Worksheet 20100309" xfId="959"/>
    <cellStyle name="_CVD 2009-03-15" xfId="960"/>
    <cellStyle name="_daily" xfId="961"/>
    <cellStyle name="_DecBR09 Working Sheet v6" xfId="962"/>
    <cellStyle name="_Dep calculation_hyd_2008 fcst" xfId="963"/>
    <cellStyle name="_depreciation" xfId="964"/>
    <cellStyle name="_dhruva WPF expense Sep 25" xfId="965"/>
    <cellStyle name="_dimmer package cost 02 08" xfId="966"/>
    <cellStyle name="_Doc. 4_Template 090500 RFQ form with BOM and checklist_vdraft2" xfId="967"/>
    <cellStyle name="_Doc. 4_Template 090500 RFQ form with BOM and checklist_vdraft2_Colombus project card August WK32.2009" xfId="968"/>
    <cellStyle name="_Doc. 4_Template 090500 RFQ form with BOM and checklist_vdraft2_Overall Investments" xfId="969"/>
    <cellStyle name="_Doc. 4_Template 090500 RFQ form with BOM and checklist_vdraft2_Overall Investments reviewed WPF + Pravin Sep 09" xfId="970"/>
    <cellStyle name="_Doc. 4_Template 090500 RFQ form with BOM and checklist_vdraft2_Overall Investments V2 Oct  09" xfId="971"/>
    <cellStyle name="_Doc. 7_Validation checklist_explained" xfId="972"/>
    <cellStyle name="_Doc. 7_Validation checklist_explained_Colombus project card August WK32.2009" xfId="973"/>
    <cellStyle name="_Doc. 7_Validation checklist_explained_Overall Investments" xfId="974"/>
    <cellStyle name="_Doc. 7_Validation checklist_explained_Overall Investments reviewed WPF + Pravin Sep 09" xfId="975"/>
    <cellStyle name="_Doc. 7_Validation checklist_explained_Overall Investments V2 Oct  09" xfId="976"/>
    <cellStyle name="_ELAELA-V redesign - Material Offer June 29" xfId="977"/>
    <cellStyle name="_ELAELA-V redesign - Material Offer June 29_Colombus project card August WK32.2009" xfId="978"/>
    <cellStyle name="_ELAELA-V redesign - Material Offer June 29_Overall Investments" xfId="979"/>
    <cellStyle name="_ELAELA-V redesign - Material Offer June 29_Overall Investments reviewed WPF + Pravin Sep 09" xfId="980"/>
    <cellStyle name="_ELAELA-V redesign - Material Offer June 29_Overall Investments V2 Oct  09" xfId="981"/>
    <cellStyle name="_ELAELAV redesign offer Shanghai_100207" xfId="982"/>
    <cellStyle name="_ELAELAV redesign offer Shanghai_100207_Colombus project card August WK32.2009" xfId="983"/>
    <cellStyle name="_ELAELAV redesign offer Shanghai_100207_Overall Investments" xfId="984"/>
    <cellStyle name="_ELAELAV redesign offer Shanghai_100207_Overall Investments reviewed WPF + Pravin Sep 09" xfId="985"/>
    <cellStyle name="_ELAELAV redesign offer Shanghai_100207_Overall Investments V2 Oct  09" xfId="986"/>
    <cellStyle name="_ELAELAV redesign SIL NRE 27072007" xfId="987"/>
    <cellStyle name="_ELAELAV redesign SIL NRE 27072007_Colombus project card August WK32.2009" xfId="988"/>
    <cellStyle name="_ELAELAV redesign SIL NRE 27072007_Overall Investments" xfId="989"/>
    <cellStyle name="_ELAELAV redesign SIL NRE 27072007_Overall Investments reviewed WPF + Pravin Sep 09" xfId="990"/>
    <cellStyle name="_ELAELAV redesign SIL NRE 27072007_Overall Investments V2 Oct  09" xfId="991"/>
    <cellStyle name="_Elari 40580-RC-315W 10122008 no ICT box build" xfId="992"/>
    <cellStyle name="_ELP&amp;H  project card 2008-11.19" xfId="993"/>
    <cellStyle name="_ELP&amp;H_Cost analysis 23rd.Dec(CCV)" xfId="994"/>
    <cellStyle name="_ETU solution comparison" xfId="995"/>
    <cellStyle name="_Excel File of WPF Package Jan09" xfId="996"/>
    <cellStyle name="_Excel template for new BR slides_V2" xfId="997"/>
    <cellStyle name="_Export ATS48 production FCST 2008_09_v1" xfId="998"/>
    <cellStyle name="_Export sales_Jul 07" xfId="999"/>
    <cellStyle name="_ExportsalesIG_Oct07" xfId="1000"/>
    <cellStyle name="_FLV" xfId="1001"/>
    <cellStyle name="_Forecast 2009-03" xfId="1002"/>
    <cellStyle name="_Forecast 2009-03-02" xfId="1003"/>
    <cellStyle name="_Forecast 2009-03-03" xfId="1004"/>
    <cellStyle name="_G&amp;I 2007 Productivity update - APOD_V3 - Q4 (transfer update)" xfId="1005"/>
    <cellStyle name="_G&amp;I 2007 Productivity update - APOD_V3 - Q4 (transfer update)_13. Delta Price_200803" xfId="1006"/>
    <cellStyle name="_G&amp;I 2007 Productivity update - APOD_V3 - Q4 (transfer update)_13. Delta Price_200803_Consolidated - 2008 Q1 zone BR Ess (APOD IND) v1" xfId="1007"/>
    <cellStyle name="_G&amp;I 2007 Productivity update - APOD_V3 - Q4 (transfer update)_13. Delta Price_200803_Consolidated - 2008 Q1 zone BR essbase retrievals v4" xfId="1008"/>
    <cellStyle name="_G&amp;I 2007 Productivity update - APOD_V3 - Q4 (transfer update)_13. Delta Price_200803_Consolidated - 2008 Q1 zone BR essbase retrievals v4 (APOD IND)" xfId="1009"/>
    <cellStyle name="_G&amp;I 2007 Productivity update - APOD_V3 - Q4 (transfer update)_17. CCO by country_200803" xfId="1010"/>
    <cellStyle name="_G&amp;I 2007 Productivity update - APOD_V3 - Q4 (transfer update)_17. CCO by country_200803_Consolidated - 2008 Q1 zone BR Ess (APOD IND) v1" xfId="1011"/>
    <cellStyle name="_G&amp;I 2007 Productivity update - APOD_V3 - Q4 (transfer update)_17. CCO by country_200803_Consolidated - 2008 Q1 zone BR essbase retrievals v4" xfId="1012"/>
    <cellStyle name="_G&amp;I 2007 Productivity update - APOD_V3 - Q4 (transfer update)_17. CCO by country_200803_Consolidated - 2008 Q1 zone BR essbase retrievals v4 (APOD IND)" xfId="1013"/>
    <cellStyle name="_G&amp;I 2007 Productivity update - APOD_V3 - Q4 (transfer update)_2008 Q1 zone BR submission" xfId="1014"/>
    <cellStyle name="_G&amp;I 2007 Productivity update - APOD_V3 - Q4 (transfer update)_2008 Q1 zone BR submission_Consolidated - 2008 Q1 zone BR Ess (APOD IND) v1" xfId="1015"/>
    <cellStyle name="_G&amp;I 2007 Productivity update - APOD_V3 - Q4 (transfer update)_2008 Q1 zone BR submission_Consolidated - 2008 Q1 zone BR essbase retrievals v4" xfId="1016"/>
    <cellStyle name="_G&amp;I 2007 Productivity update - APOD_V3 - Q4 (transfer update)_2008 Q1 zone BR submission_Consolidated - 2008 Q1 zone BR essbase retrievals v4 (APOD IND)" xfId="1017"/>
    <cellStyle name="_G&amp;I 2007 Productivity update - APOD_V3 - Q4 (transfer update)_backlog" xfId="1018"/>
    <cellStyle name="_G&amp;I 2007 Productivity update - APOD_V3 - Q4 (transfer update)_backlog_Consolidated - 2008 Q1 zone BR Ess (APOD IND) v1" xfId="1019"/>
    <cellStyle name="_G&amp;I 2007 Productivity update - APOD_V3 - Q4 (transfer update)_backlog_Consolidated - 2008 Q1 zone BR essbase retrievals v4" xfId="1020"/>
    <cellStyle name="_G&amp;I 2007 Productivity update - APOD_V3 - Q4 (transfer update)_backlog_Consolidated - 2008 Q1 zone BR essbase retrievals v4 (APOD IND)" xfId="1021"/>
    <cellStyle name="_G&amp;I 2007 Productivity update - APOD_V3 - Q4 (transfer update)_Consolidated - 2008 Q1 zone BR essbase retrievals v3" xfId="1022"/>
    <cellStyle name="_G&amp;I 2007 Productivity update - APOD_V3 - Q4 (transfer update)_Consolidated - 2008 Q1 zone BR essbase retrievals v3_Consolidated - 2008 Q1 zone BR Ess (APOD IND) v1" xfId="1023"/>
    <cellStyle name="_G&amp;I 2007 Productivity update - APOD_V3 - Q4 (transfer update)_Consolidated - 2008 Q1 zone BR essbase retrievals v3_Consolidated - 2008 Q1 zone BR essbase retrievals v4" xfId="1024"/>
    <cellStyle name="_G&amp;I 2007 Productivity update - APOD_V3 - Q4 (transfer update)_Consolidated - 2008 Q1 zone BR essbase retrievals v3_Consolidated - 2008 Q1 zone BR essbase retrievals v4 (APOD IND)" xfId="1025"/>
    <cellStyle name="_G&amp;I 2007 Productivity update - APOD_V3 - Q4 (transfer update)_OG sales by entity" xfId="1026"/>
    <cellStyle name="_G&amp;I 2007 Productivity update - APOD_V3 - Q4 (transfer update)_OG sales by entity_Consolidated - 2008 Q1 zone BR Ess (APOD IND) v1" xfId="1027"/>
    <cellStyle name="_G&amp;I 2007 Productivity update - APOD_V3 - Q4 (transfer update)_OG sales by entity_Consolidated - 2008 Q1 zone BR essbase retrievals v4" xfId="1028"/>
    <cellStyle name="_G&amp;I 2007 Productivity update - APOD_V3 - Q4 (transfer update)_OG sales by entity_Consolidated - 2008 Q1 zone BR essbase retrievals v4 (APOD IND)" xfId="1029"/>
    <cellStyle name="_G&amp;I 2007 Productivity update - APOD_V3 - Q4 (transfer update)_zone growth ambition" xfId="1030"/>
    <cellStyle name="_G&amp;I 2007 Productivity update - APOD_V3 - Q4 (transfer update)_zone growth ambition_Consolidated - 2008 Q1 zone BR Ess (APOD IND) v1" xfId="1031"/>
    <cellStyle name="_G&amp;I 2007 Productivity update - APOD_V3 - Q4 (transfer update)_zone growth ambition_Consolidated - 2008 Q1 zone BR essbase retrievals v4" xfId="1032"/>
    <cellStyle name="_G&amp;I 2007 Productivity update - APOD_V3 - Q4 (transfer update)_zone growth ambition_Consolidated - 2008 Q1 zone BR essbase retrievals v4 (APOD IND)" xfId="1033"/>
    <cellStyle name="_Growth projects SSPA v2" xfId="1034"/>
    <cellStyle name="_Gulf new parts list_V1.3" xfId="1035"/>
    <cellStyle name="_HC Effieiency exercise - 19 Oct 2007" xfId="1036"/>
    <cellStyle name="_HC summary-January" xfId="1037"/>
    <cellStyle name="_HC TF-Mar 17" xfId="1038"/>
    <cellStyle name="_HDCT MKT-June" xfId="1039"/>
    <cellStyle name="_Headcount, MBC&amp;SFC evolution - SEIDS Ind" xfId="1040"/>
    <cellStyle name="_Hongyun_Quotation_BK" xfId="1041"/>
    <cellStyle name="_Hourly Rate Caculation" xfId="1042"/>
    <cellStyle name="_IA management meeting &amp; IBR material-Sept 08" xfId="1043"/>
    <cellStyle name="_IBC Monthly report Package200701_rev" xfId="1044"/>
    <cellStyle name="_IBC Monthly report Package200702" xfId="1045"/>
    <cellStyle name="_IBC Monthly report Package200703-new" xfId="1046"/>
    <cellStyle name="_IBC Monthly report Package200704" xfId="1047"/>
    <cellStyle name="_IBC Monthly report Package200705" xfId="1048"/>
    <cellStyle name="_IBC Monthly report Package200706" xfId="1049"/>
    <cellStyle name="_IBC Monthly report Package200707" xfId="1050"/>
    <cellStyle name="_IBC Monthly report Package200708" xfId="1051"/>
    <cellStyle name="_IBC Monthly report Package200709" xfId="1052"/>
    <cellStyle name="_IBC Monthly report Package200710" xfId="1053"/>
    <cellStyle name="_IBC Monthly report Package200711" xfId="1054"/>
    <cellStyle name="_IBC Monthly report Package200712" xfId="1055"/>
    <cellStyle name="_IBC Monthly report Package200801" xfId="1056"/>
    <cellStyle name="_India GF Inventory Days_Feb08 (Jade)" xfId="1057"/>
    <cellStyle name="_India GF Inventory Days_Mar08 (Jade)" xfId="1058"/>
    <cellStyle name="_Infrascan NRE cost Apr. 2006" xfId="1059"/>
    <cellStyle name="_Infrascan NRE cost Apr. 2006_Colombus project card August WK32.2009" xfId="1060"/>
    <cellStyle name="_Infrascan NRE cost Apr. 2006_Overall Investments" xfId="1061"/>
    <cellStyle name="_Infrascan NRE cost Apr. 2006_Overall Investments reviewed WPF + Pravin Sep 09" xfId="1062"/>
    <cellStyle name="_Infrascan NRE cost Apr. 2006_Overall Investments V2 Oct  09" xfId="1063"/>
    <cellStyle name="_Investment data 23rd.Sept.2008" xfId="1064"/>
    <cellStyle name="_Investment plan for Horizon project(Sepam 20&amp;40)" xfId="1065"/>
    <cellStyle name="_Jabil Material BOM Offer - Alim U July09 - From frederic.D" xfId="1066"/>
    <cellStyle name="_Jabil Material BOM Offer - Alim U July09 - From frederic.D_Colombus project card August WK32.2009" xfId="1067"/>
    <cellStyle name="_Jabil Material BOM Offer - Alim U July09 - From frederic.D_Overall Investments" xfId="1068"/>
    <cellStyle name="_Jabil Material BOM Offer - Alim U July09 - From frederic.D_Overall Investments reviewed WPF + Pravin Sep 09" xfId="1069"/>
    <cellStyle name="_Jabil Material BOM Offer - Alim U July09 - From frederic.D_Overall Investments V2 Oct  09" xfId="1070"/>
    <cellStyle name="_Jabil Material BOM Offer - Dhruva Colombus SCT Aug09 - Amended by George" xfId="1071"/>
    <cellStyle name="_Jabil Material BOM Offer - Dhruva MicroBCM July09 - updated by George zhu" xfId="1072"/>
    <cellStyle name="_Jabil Material BOM Offer - K1 Oct09 - From Frederic" xfId="1073"/>
    <cellStyle name="_Jabil Material BOM Offer - Trinity BCM Toli Oct09 - from Frederic" xfId="1074"/>
    <cellStyle name="_Jun BR and 2008 Bgt" xfId="1075"/>
    <cellStyle name="_k1 - BU Quote -67.5k 2009-9-16" xfId="1076"/>
    <cellStyle name="_K1 ETU technical BOM_1014" xfId="1077"/>
    <cellStyle name="_K1 forecast may 2009 V1" xfId="1078"/>
    <cellStyle name="_k1 PCBA offer 2009-10-16" xfId="1079"/>
    <cellStyle name="_k1 PCBA offer 2009-10-16V01" xfId="1080"/>
    <cellStyle name="_K1 project-2@0907" xfId="1081"/>
    <cellStyle name="_Karakoram K1 Cost File ver.draft 090519" xfId="1082"/>
    <cellStyle name="_KARAM Budget Update_May 29_V2" xfId="1083"/>
    <cellStyle name="_KARAM Budget Update_Sep 14_V9_PCP 071019" xfId="1084"/>
    <cellStyle name="_KARAM Budget Update_Sep 14_V9_Transfer 071019" xfId="1085"/>
    <cellStyle name="_KARAM Budget Update_Sep 14_V9_updated 071019" xfId="1086"/>
    <cellStyle name="_Karam Project Dashboard" xfId="1087"/>
    <cellStyle name="_Karam Task, Budget" xfId="1088"/>
    <cellStyle name="_KPI Jan 2008 - APOD" xfId="1089"/>
    <cellStyle name="_Labor cost _ LVP_080916" xfId="1090"/>
    <cellStyle name="_LADMA actual" xfId="1091"/>
    <cellStyle name="_layout1" xfId="1092"/>
    <cellStyle name="_LeasingLaptopbyMar2008list" xfId="1093"/>
    <cellStyle name="_LMVP Growth projects v2_add WPF" xfId="1094"/>
    <cellStyle name="_Localization asumpitions" xfId="1095"/>
    <cellStyle name="_Localize List_20090812" xfId="1096"/>
    <cellStyle name="_LVP - Template Q3" xfId="1097"/>
    <cellStyle name="_LVP CSC 2007-2008-2009 - June 3td  2009" xfId="1098"/>
    <cellStyle name="_LVP CSC 2008-2009 - June 8th" xfId="1099"/>
    <cellStyle name="_LVP HR scoreboard _ 200809" xfId="1100"/>
    <cellStyle name="_Malan project card 2008-09-01" xfId="1101"/>
    <cellStyle name="_Malan project database 6nd.Nov" xfId="1102"/>
    <cellStyle name="_Malan project database 7.3(add JiFeng)" xfId="1103"/>
    <cellStyle name="_Malan project database 7nd.Nov" xfId="1104"/>
    <cellStyle name="_Malan4 budget v1.0" xfId="1105"/>
    <cellStyle name="_Malan4 MicD schedule v1.0" xfId="1106"/>
    <cellStyle name="_MAP_Jan2009V1" xfId="1107"/>
    <cellStyle name="_MAP-Sep2007 review v3" xfId="1108"/>
    <cellStyle name="_Masterpact cost _ 2007" xfId="1109"/>
    <cellStyle name="_Masterpact_NW_Jan-Nov07_141207" xfId="1110"/>
    <cellStyle name="_Material BOM Offer - BTT (Rev 01) (Internal)" xfId="1111"/>
    <cellStyle name="_Material BOM Offer - BTT (Rev 01) (Internal)_Colombus project card August WK32.2009" xfId="1112"/>
    <cellStyle name="_Material BOM Offer - BTT (Rev 01) (Internal)_Overall Investments" xfId="1113"/>
    <cellStyle name="_Material BOM Offer - BTT (Rev 01) (Internal)_Overall Investments reviewed WPF + Pravin Sep 09" xfId="1114"/>
    <cellStyle name="_Material BOM Offer - BTT (Rev 01) (Internal)_Overall Investments V2 Oct  09" xfId="1115"/>
    <cellStyle name="_Material Bom Offer - Clipsal Universal Dimmer (Rev 01)---updated" xfId="1116"/>
    <cellStyle name="_Material Bom Offer - Clipsal Universal Dimmer (Rev 01)---updated_Colombus project card August WK32.2009" xfId="1117"/>
    <cellStyle name="_Material Bom Offer - Clipsal Universal Dimmer (Rev 01)---updated_Overall Investments" xfId="1118"/>
    <cellStyle name="_Material Bom Offer - Clipsal Universal Dimmer (Rev 01)---updated_Overall Investments reviewed WPF + Pravin Sep 09" xfId="1119"/>
    <cellStyle name="_Material Bom Offer - Clipsal Universal Dimmer (Rev 01)---updated_Overall Investments V2 Oct  09" xfId="1120"/>
    <cellStyle name="_Material BOM Offer - ELS Low Runner July30th 07" xfId="1121"/>
    <cellStyle name="_Material BOM Offer - ELS Low Runner July30th 07_Colombus project card August WK32.2009" xfId="1122"/>
    <cellStyle name="_Material BOM Offer - ELS Low Runner July30th 07_Overall Investments" xfId="1123"/>
    <cellStyle name="_Material BOM Offer - ELS Low Runner July30th 07_Overall Investments reviewed WPF + Pravin Sep 09" xfId="1124"/>
    <cellStyle name="_Material BOM Offer - ELS Low Runner July30th 07_Overall Investments V2 Oct  09" xfId="1125"/>
    <cellStyle name="_Material BOM Offer - MGBX (Rev 03) Sept07" xfId="1126"/>
    <cellStyle name="_Material BOM Offer - MGBX (Rev 03) Sept07_Colombus project card August WK32.2009" xfId="1127"/>
    <cellStyle name="_Material BOM Offer - MGBX (Rev 03) Sept07_Overall Investments" xfId="1128"/>
    <cellStyle name="_Material BOM Offer - MGBX (Rev 03) Sept07_Overall Investments reviewed WPF + Pravin Sep 09" xfId="1129"/>
    <cellStyle name="_Material BOM Offer - MGBX (Rev 03) Sept07_Overall Investments V2 Oct  09" xfId="1130"/>
    <cellStyle name="_Material BOM Offer - PLC Redesign R64L (Rev 01)" xfId="1131"/>
    <cellStyle name="_Material BOM Offer - PLC Redesign R64L (Rev 01)_Colombus project card August WK32.2009" xfId="1132"/>
    <cellStyle name="_Material BOM Offer - PLC Redesign R64L (Rev 01)_Overall Investments" xfId="1133"/>
    <cellStyle name="_Material BOM Offer - PLC Redesign R64L (Rev 01)_Overall Investments reviewed WPF + Pravin Sep 09" xfId="1134"/>
    <cellStyle name="_Material BOM Offer - PLC Redesign R64L (Rev 01)_Overall Investments V2 Oct  09" xfId="1135"/>
    <cellStyle name="_Material BOM Offer - SINBA (Rev 01)" xfId="1136"/>
    <cellStyle name="_Material BOM Offer - SINBA (Rev 01)_Colombus project card August WK32.2009" xfId="1137"/>
    <cellStyle name="_Material BOM Offer - SINBA (Rev 01)_Overall Investments" xfId="1138"/>
    <cellStyle name="_Material BOM Offer - SINBA (Rev 01)_Overall Investments reviewed WPF + Pravin Sep 09" xfId="1139"/>
    <cellStyle name="_Material BOM Offer - SINBA (Rev 01)_Overall Investments V2 Oct  09" xfId="1140"/>
    <cellStyle name="_Material BOM Offer - TAC internal cost bom &amp; report august13th" xfId="1141"/>
    <cellStyle name="_Material BOM Offer - TAC internal cost bom &amp; report august13th_Colombus project card August WK32.2009" xfId="1142"/>
    <cellStyle name="_Material BOM Offer - TAC internal cost bom &amp; report august13th_Overall Investments" xfId="1143"/>
    <cellStyle name="_Material BOM Offer - TAC internal cost bom &amp; report august13th_Overall Investments reviewed WPF + Pravin Sep 09" xfId="1144"/>
    <cellStyle name="_Material BOM Offer - TAC internal cost bom &amp; report august13th_Overall Investments V2 Oct  09" xfId="1145"/>
    <cellStyle name="_material list " xfId="1146"/>
    <cellStyle name="_Material RFQ final 2006 04 11" xfId="1147"/>
    <cellStyle name="_Material RFQ final 2006 04 11_Colombus project card August WK32.2009" xfId="1148"/>
    <cellStyle name="_Material RFQ final 2006 04 11_Overall Investments" xfId="1149"/>
    <cellStyle name="_Material RFQ final 2006 04 11_Overall Investments reviewed WPF + Pravin Sep 09" xfId="1150"/>
    <cellStyle name="_Material RFQ final 2006 04 11_Overall Investments V2 Oct  09" xfId="1151"/>
    <cellStyle name="_MBC&amp;SFC evolution - SBLV" xfId="1152"/>
    <cellStyle name="_MBC&amp;SFC evolution - SELA" xfId="1153"/>
    <cellStyle name="_MBC&amp;SFC evolution - SSIC" xfId="1154"/>
    <cellStyle name="_MBC&amp;SFC evolution - SSLVTA" xfId="1155"/>
    <cellStyle name="_MBC&amp;SFC HC - Oct.19 V1" xfId="1156"/>
    <cellStyle name="_MBC&amp;SFC HC report 0710-SC&amp;L" xfId="1157"/>
    <cellStyle name="_MBC&amp;SFC Headcount report" xfId="1158"/>
    <cellStyle name="_MBGX Manufacturing Phototpe offer and NRC offer 04122007v01" xfId="1159"/>
    <cellStyle name="_MBGX Manufacturing Phototpe offer and NRC offer 04122007v01_Colombus project card August WK32.2009" xfId="1160"/>
    <cellStyle name="_MBGX Manufacturing Phototpe offer and NRC offer 04122007v01_Overall Investments" xfId="1161"/>
    <cellStyle name="_MBGX Manufacturing Phototpe offer and NRC offer 04122007v01_Overall Investments reviewed WPF + Pravin Sep 09" xfId="1162"/>
    <cellStyle name="_MBGX Manufacturing Phototpe offer and NRC offer 04122007v01_Overall Investments V2 Oct  09" xfId="1163"/>
    <cellStyle name="_MBGX NRE offer 10092007v01" xfId="1164"/>
    <cellStyle name="_MBGX NRE offer 10092007v01_Colombus project card August WK32.2009" xfId="1165"/>
    <cellStyle name="_MBGX NRE offer 10092007v01_Overall Investments" xfId="1166"/>
    <cellStyle name="_MBGX NRE offer 10092007v01_Overall Investments reviewed WPF + Pravin Sep 09" xfId="1167"/>
    <cellStyle name="_MBGX NRE offer 10092007v01_Overall Investments V2 Oct  09" xfId="1168"/>
    <cellStyle name="_MBGX Offer 28112007 v01 Internal" xfId="1169"/>
    <cellStyle name="_MBGX Offer 28112007 v01 Internal_Colombus project card August WK32.2009" xfId="1170"/>
    <cellStyle name="_MBGX Offer 28112007 v01 Internal_Overall Investments" xfId="1171"/>
    <cellStyle name="_MBGX Offer 28112007 v01 Internal_Overall Investments reviewed WPF + Pravin Sep 09" xfId="1172"/>
    <cellStyle name="_MBGX Offer 28112007 v01 Internal_Overall Investments V2 Oct  09" xfId="1173"/>
    <cellStyle name="_MDB Worksheet 20100225" xfId="1174"/>
    <cellStyle name="_MDB Worksheet 20100310" xfId="1175"/>
    <cellStyle name="_ME quotation of 110-0386-01-01" xfId="1176"/>
    <cellStyle name="_ME quotation of 110-0386-01-01_Colombus project card August WK32.2009" xfId="1177"/>
    <cellStyle name="_ME quotation of 110-0386-01-01_Overall Investments" xfId="1178"/>
    <cellStyle name="_ME quotation of 110-0386-01-01_Overall Investments reviewed WPF + Pravin Sep 09" xfId="1179"/>
    <cellStyle name="_ME quotation of 110-0386-01-01_Overall Investments V2 Oct  09" xfId="1180"/>
    <cellStyle name="_ME quotation of 110-0389-01-01" xfId="1181"/>
    <cellStyle name="_ME quotation of 110-0389-01-01_Colombus project card August WK32.2009" xfId="1182"/>
    <cellStyle name="_ME quotation of 110-0389-01-01_Overall Investments" xfId="1183"/>
    <cellStyle name="_ME quotation of 110-0389-01-01_Overall Investments reviewed WPF + Pravin Sep 09" xfId="1184"/>
    <cellStyle name="_ME quotation of 110-0389-01-01_Overall Investments V2 Oct  09" xfId="1185"/>
    <cellStyle name="_ME quotation of 110-0392-01-01" xfId="1186"/>
    <cellStyle name="_ME quotation of 110-0392-01-01_Colombus project card August WK32.2009" xfId="1187"/>
    <cellStyle name="_ME quotation of 110-0392-01-01_Overall Investments" xfId="1188"/>
    <cellStyle name="_ME quotation of 110-0392-01-01_Overall Investments reviewed WPF + Pravin Sep 09" xfId="1189"/>
    <cellStyle name="_ME quotation of 110-0392-01-01_Overall Investments V2 Oct  09" xfId="1190"/>
    <cellStyle name="_ME quotation of 110-0393-01-01" xfId="1191"/>
    <cellStyle name="_ME quotation of 110-0393-01-01_Colombus project card August WK32.2009" xfId="1192"/>
    <cellStyle name="_ME quotation of 110-0393-01-01_Overall Investments" xfId="1193"/>
    <cellStyle name="_ME quotation of 110-0393-01-01_Overall Investments reviewed WPF + Pravin Sep 09" xfId="1194"/>
    <cellStyle name="_ME quotation of 110-0393-01-01_Overall Investments V2 Oct  09" xfId="1195"/>
    <cellStyle name="_ME quotation of 110-0394-01-01" xfId="1196"/>
    <cellStyle name="_ME quotation of 110-0394-01-01_Colombus project card August WK32.2009" xfId="1197"/>
    <cellStyle name="_ME quotation of 110-0394-01-01_Overall Investments" xfId="1198"/>
    <cellStyle name="_ME quotation of 110-0394-01-01_Overall Investments reviewed WPF + Pravin Sep 09" xfId="1199"/>
    <cellStyle name="_ME quotation of 110-0394-01-01_Overall Investments V2 Oct  09" xfId="1200"/>
    <cellStyle name="_ME quotation of Horus Redesign" xfId="1201"/>
    <cellStyle name="_ME quotation of Horus Redesign_Colombus project card August WK32.2009" xfId="1202"/>
    <cellStyle name="_ME quotation of Horus Redesign_Overall Investments" xfId="1203"/>
    <cellStyle name="_ME quotation of Horus Redesign_Overall Investments reviewed WPF + Pravin Sep 09" xfId="1204"/>
    <cellStyle name="_ME quotation of Horus Redesign_Overall Investments V2 Oct  09" xfId="1205"/>
    <cellStyle name="_Mic schedule" xfId="1206"/>
    <cellStyle name="_MicroBCM NRE offer 2009-08-05" xfId="1207"/>
    <cellStyle name="_MicroBCM NRE offer 2009-08-05_Colombus project card August WK32.2009" xfId="1208"/>
    <cellStyle name="_MicroBCM NRE offer 2009-08-05_Overall Investments" xfId="1209"/>
    <cellStyle name="_MicroBCM NRE offer 2009-08-05_Overall Investments reviewed WPF + Pravin Sep 09" xfId="1210"/>
    <cellStyle name="_MicroBCM NRE offer 2009-08-05_Overall Investments V2 Oct  09" xfId="1211"/>
    <cellStyle name="_Micrologic fcst" xfId="1212"/>
    <cellStyle name="_Micrologic process bom total" xfId="1213"/>
    <cellStyle name="_Micrologic process bom total20081015" xfId="1214"/>
    <cellStyle name="_Micrologic station layout" xfId="1215"/>
    <cellStyle name="_MISOR COST BOM - From Nathalie" xfId="1216"/>
    <cellStyle name="_Mkt Monthlyreport-Jun HR v3" xfId="1217"/>
    <cellStyle name="_MM_SBLV_Zhaoyongcun" xfId="1218"/>
    <cellStyle name="_MM_SSPA_MYP" xfId="1219"/>
    <cellStyle name="_Monthly HDCT 200903" xfId="1220"/>
    <cellStyle name="_Monthly report Package200611_rev" xfId="1221"/>
    <cellStyle name="_Negotiation saving" xfId="1222"/>
    <cellStyle name="_new daily" xfId="1223"/>
    <cellStyle name="_NEW SSPA capacity  0708" xfId="1224"/>
    <cellStyle name="_NEW SSPA capacity 0201v1.0" xfId="1225"/>
    <cellStyle name="_NRE cost 751 751R June 2006" xfId="1226"/>
    <cellStyle name="_NRE cost 751 751R June 2006 (2)" xfId="1227"/>
    <cellStyle name="_NRE cost 751 751R June 2006 (2)_Colombus project card August WK32.2009" xfId="1228"/>
    <cellStyle name="_NRE cost 751 751R June 2006 (2)_Overall Investments" xfId="1229"/>
    <cellStyle name="_NRE cost 751 751R June 2006 (2)_Overall Investments reviewed WPF + Pravin Sep 09" xfId="1230"/>
    <cellStyle name="_NRE cost 751 751R June 2006 (2)_Overall Investments V2 Oct  09" xfId="1231"/>
    <cellStyle name="_NRE cost 751 751R June 2006_Colombus project card August WK32.2009" xfId="1232"/>
    <cellStyle name="_NRE cost 751 751R June 2006_Overall Investments" xfId="1233"/>
    <cellStyle name="_NRE cost 751 751R June 2006_Overall Investments reviewed WPF + Pravin Sep 09" xfId="1234"/>
    <cellStyle name="_NRE cost 751 751R June 2006_Overall Investments V2 Oct  09" xfId="1235"/>
    <cellStyle name="_NRE cost 751 June 2006" xfId="1236"/>
    <cellStyle name="_NRE cost 751 June 2006_Colombus project card August WK32.2009" xfId="1237"/>
    <cellStyle name="_NRE cost 751 June 2006_Overall Investments" xfId="1238"/>
    <cellStyle name="_NRE cost 751 June 2006_Overall Investments reviewed WPF + Pravin Sep 09" xfId="1239"/>
    <cellStyle name="_NRE cost 751 June 2006_Overall Investments V2 Oct  09" xfId="1240"/>
    <cellStyle name="_NRE offer" xfId="1241"/>
    <cellStyle name="_NRE offer Clone" xfId="1242"/>
    <cellStyle name="_NRE offer LK" xfId="1243"/>
    <cellStyle name="_NS100 4p bom" xfId="1244"/>
    <cellStyle name="_Oct BR and 2009 Bgt Log" xfId="1245"/>
    <cellStyle name="_Oct BR and 2009 Bgt WH" xfId="1246"/>
    <cellStyle name="_OG sales by entity" xfId="1247"/>
    <cellStyle name="_OG sales by entity_Consolidated - 2008 Q1 zone BR Ess (APOD IND) v1" xfId="1248"/>
    <cellStyle name="_OG sales by entity_Consolidated - 2008 Q1 zone BR essbase retrievals v4" xfId="1249"/>
    <cellStyle name="_OG sales by entity_Consolidated - 2008 Q1 zone BR essbase retrievals v4 (APOD IND)" xfId="1250"/>
    <cellStyle name="_Ohmega Offer05032009" xfId="1251"/>
    <cellStyle name="_Overall Investments" xfId="1252"/>
    <cellStyle name="_Overall Investments 6th.Nov" xfId="1253"/>
    <cellStyle name="_Overall Investments for TRINITY -INS SH review" xfId="1254"/>
    <cellStyle name="_Overall Investments reviewed with WPF" xfId="1255"/>
    <cellStyle name="_Overall Investments reviewed WPF + Pravin Sep 09" xfId="1256"/>
    <cellStyle name="_Overall Investments V3 Nov  09" xfId="1257"/>
    <cellStyle name="_Overall Investments_Colombus project card August WK32.2009" xfId="1258"/>
    <cellStyle name="_Overhead RF_200703_v2_Total" xfId="1259"/>
    <cellStyle name="_Overhead RF_200703_v2_Total_Actual 2008 APOD OH Total v2" xfId="1260"/>
    <cellStyle name="_Overhead RF_200703_v2_Total_Actual 2008 APOD OH Total v2_SSAM dashboard" xfId="1261"/>
    <cellStyle name="_Overhead RF_200703_v2_Total_BR Jul 07 - APOD Total summary V3" xfId="1262"/>
    <cellStyle name="_Overhead RF_200703_v2_Total_BR Jul 07 - APOD Total summary V3_Actual 2008 APOD OH Total v2" xfId="1263"/>
    <cellStyle name="_Overhead RF_200703_v2_Total_BR Jul 07 - APOD Total summary V3_Actual 2008 APOD OH Total v2_SSAM dashboard" xfId="1264"/>
    <cellStyle name="_Overhead RF_200703_v2_Total_BR Jul 07 - APOD Total summary V3_SSAM dashboard" xfId="1265"/>
    <cellStyle name="_Overhead RF_200703_v2_Total_BR Jul 07 - APOD Total V2 (LXX)" xfId="1266"/>
    <cellStyle name="_Overhead RF_200703_v2_Total_BR Jul 07 - APOD Total V2 (LXX)_Actual 2008 APOD OH Total v2" xfId="1267"/>
    <cellStyle name="_Overhead RF_200703_v2_Total_BR Jul 07 - APOD Total V2 (LXX)_Actual 2008 APOD OH Total v2_SSAM dashboard" xfId="1268"/>
    <cellStyle name="_Overhead RF_200703_v2_Total_BR Jul 07 - APOD Total V2 (LXX)_SSAM dashboard" xfId="1269"/>
    <cellStyle name="_Overhead RF_200703_v2_Total_BR Jul 07 - APOD Total V4 (Jade)" xfId="1270"/>
    <cellStyle name="_Overhead RF_200703_v2_Total_BR Jul 07 - APOD Total V4 (Jade)_Actual 2008 APOD OH Total v2" xfId="1271"/>
    <cellStyle name="_Overhead RF_200703_v2_Total_BR Jul 07 - APOD Total V4 (Jade)_Actual 2008 APOD OH Total v2_SSAM dashboard" xfId="1272"/>
    <cellStyle name="_Overhead RF_200703_v2_Total_BR Jul 07 - APOD Total V4 (Jade)_SSAM dashboard" xfId="1273"/>
    <cellStyle name="_Overhead RF_200703_v2_Total_BR Sep APOD Total 10 (Jade-HR Personal cost)" xfId="1274"/>
    <cellStyle name="_Overhead RF_200703_v2_Total_BR Sep APOD Total 10 (Jade-HR Personal cost)_Actual 2008 APOD OH Total v2" xfId="1275"/>
    <cellStyle name="_Overhead RF_200703_v2_Total_BR Sep APOD Total 10 (Jade-HR Personal cost)_Actual 2008 APOD OH Total v2_SSAM dashboard" xfId="1276"/>
    <cellStyle name="_Overhead RF_200703_v2_Total_BR Sep APOD Total 10 (Jade-HR Personal cost)_SSAM dashboard" xfId="1277"/>
    <cellStyle name="_Overhead RF_200703_v2_Total_BR Sep APOD Total v15 (Jade-HR Personal cost)" xfId="1278"/>
    <cellStyle name="_Overhead RF_200703_v2_Total_BR Sep APOD Total v15 (Jade-HR Personal cost)_Actual 2008 APOD OH Total v2" xfId="1279"/>
    <cellStyle name="_Overhead RF_200703_v2_Total_BR Sep APOD Total v15 (Jade-HR Personal cost)_Actual 2008 APOD OH Total v2_SSAM dashboard" xfId="1280"/>
    <cellStyle name="_Overhead RF_200703_v2_Total_BR Sep APOD Total v15 (Jade-HR Personal cost)_SSAM dashboard" xfId="1281"/>
    <cellStyle name="_Overhead RF_200703_v2_Total_BR Sep APOD Total v18" xfId="1282"/>
    <cellStyle name="_Overhead RF_200703_v2_Total_BR Sep APOD Total v18_Actual 2008 APOD OH Total v2" xfId="1283"/>
    <cellStyle name="_Overhead RF_200703_v2_Total_BR Sep APOD Total v18_Actual 2008 APOD OH Total v2_SSAM dashboard" xfId="1284"/>
    <cellStyle name="_Overhead RF_200703_v2_Total_BR Sep APOD Total v18_SSAM dashboard" xfId="1285"/>
    <cellStyle name="_Overhead RF_200703_v2_Total_BR Sep APOD Total v19" xfId="1286"/>
    <cellStyle name="_Overhead RF_200703_v2_Total_BR Sep APOD Total v19_Actual 2008 APOD OH Total v2" xfId="1287"/>
    <cellStyle name="_Overhead RF_200703_v2_Total_BR Sep APOD Total v19_Actual 2008 APOD OH Total v2_SSAM dashboard" xfId="1288"/>
    <cellStyle name="_Overhead RF_200703_v2_Total_BR Sep APOD Total v19_SSAM dashboard" xfId="1289"/>
    <cellStyle name="_Overhead RF_200703_v2_Total_BR Sep APOD Total v3" xfId="1290"/>
    <cellStyle name="_Overhead RF_200703_v2_Total_BR Sep APOD Total v3_Actual 2008 APOD OH Total v2" xfId="1291"/>
    <cellStyle name="_Overhead RF_200703_v2_Total_BR Sep APOD Total v3_Actual 2008 APOD OH Total v2_SSAM dashboard" xfId="1292"/>
    <cellStyle name="_Overhead RF_200703_v2_Total_BR Sep APOD Total v3_SSAM dashboard" xfId="1293"/>
    <cellStyle name="_Overhead RF_200703_v2_Total_BR Sep APOD Total v7 (Jade)" xfId="1294"/>
    <cellStyle name="_Overhead RF_200703_v2_Total_BR Sep APOD Total v7 (Jade)_Actual 2008 APOD OH Total v2" xfId="1295"/>
    <cellStyle name="_Overhead RF_200703_v2_Total_BR Sep APOD Total v7 (Jade)_Actual 2008 APOD OH Total v2_SSAM dashboard" xfId="1296"/>
    <cellStyle name="_Overhead RF_200703_v2_Total_BR Sep APOD Total v7 (Jade)_SSAM dashboard" xfId="1297"/>
    <cellStyle name="_Overhead RF_200703_v2_Total_Overhead 200704 in k CNY" xfId="1298"/>
    <cellStyle name="_Overhead RF_200703_v2_Total_Overhead 200704 in k CNY_Actual 2008 APOD OH Total v2" xfId="1299"/>
    <cellStyle name="_Overhead RF_200703_v2_Total_Overhead 200704 in k CNY_Actual 2008 APOD OH Total v2_SSAM dashboard" xfId="1300"/>
    <cellStyle name="_Overhead RF_200703_v2_Total_Overhead 200704 in k CNY_BR Jul 07 - APOD Total summary V3" xfId="1301"/>
    <cellStyle name="_Overhead RF_200703_v2_Total_Overhead 200704 in k CNY_BR Jul 07 - APOD Total summary V3_Actual 2008 APOD OH Total v2" xfId="1302"/>
    <cellStyle name="_Overhead RF_200703_v2_Total_Overhead 200704 in k CNY_BR Jul 07 - APOD Total summary V3_Actual 2008 APOD OH Total v2_SSAM dashboard" xfId="1303"/>
    <cellStyle name="_Overhead RF_200703_v2_Total_Overhead 200704 in k CNY_BR Jul 07 - APOD Total summary V3_SSAM dashboard" xfId="1304"/>
    <cellStyle name="_Overhead RF_200703_v2_Total_Overhead 200704 in k CNY_BR Jul 07 - APOD Total V2 (LXX)" xfId="1305"/>
    <cellStyle name="_Overhead RF_200703_v2_Total_Overhead 200704 in k CNY_BR Jul 07 - APOD Total V2 (LXX)_Actual 2008 APOD OH Total v2" xfId="1306"/>
    <cellStyle name="_Overhead RF_200703_v2_Total_Overhead 200704 in k CNY_BR Jul 07 - APOD Total V2 (LXX)_Actual 2008 APOD OH Total v2_SSAM dashboard" xfId="1307"/>
    <cellStyle name="_Overhead RF_200703_v2_Total_Overhead 200704 in k CNY_BR Jul 07 - APOD Total V2 (LXX)_SSAM dashboard" xfId="1308"/>
    <cellStyle name="_Overhead RF_200703_v2_Total_Overhead 200704 in k CNY_BR Jul 07 - APOD Total V4 (Jade)" xfId="1309"/>
    <cellStyle name="_Overhead RF_200703_v2_Total_Overhead 200704 in k CNY_BR Jul 07 - APOD Total V4 (Jade)_Actual 2008 APOD OH Total v2" xfId="1310"/>
    <cellStyle name="_Overhead RF_200703_v2_Total_Overhead 200704 in k CNY_BR Jul 07 - APOD Total V4 (Jade)_Actual 2008 APOD OH Total v2_SSAM dashboard" xfId="1311"/>
    <cellStyle name="_Overhead RF_200703_v2_Total_Overhead 200704 in k CNY_BR Jul 07 - APOD Total V4 (Jade)_SSAM dashboard" xfId="1312"/>
    <cellStyle name="_Overhead RF_200703_v2_Total_Overhead 200704 in k CNY_BR Sep APOD Total 10 (Jade-HR Personal cost)" xfId="1313"/>
    <cellStyle name="_Overhead RF_200703_v2_Total_Overhead 200704 in k CNY_BR Sep APOD Total 10 (Jade-HR Personal cost)_Actual 2008 APOD OH Total v2" xfId="1314"/>
    <cellStyle name="_Overhead RF_200703_v2_Total_Overhead 200704 in k CNY_BR Sep APOD Total 10 (Jade-HR Personal cost)_Actual 2008 APOD OH Total v2_SSAM dashboard" xfId="1315"/>
    <cellStyle name="_Overhead RF_200703_v2_Total_Overhead 200704 in k CNY_BR Sep APOD Total 10 (Jade-HR Personal cost)_SSAM dashboard" xfId="1316"/>
    <cellStyle name="_Overhead RF_200703_v2_Total_Overhead 200704 in k CNY_BR Sep APOD Total v15 (Jade-HR Personal cost)" xfId="1317"/>
    <cellStyle name="_Overhead RF_200703_v2_Total_Overhead 200704 in k CNY_BR Sep APOD Total v15 (Jade-HR Personal cost)_Actual 2008 APOD OH Total v2" xfId="1318"/>
    <cellStyle name="_Overhead RF_200703_v2_Total_Overhead 200704 in k CNY_BR Sep APOD Total v15 (Jade-HR Personal cost)_Actual 2008 APOD OH Total v2_SSAM dashboard" xfId="1319"/>
    <cellStyle name="_Overhead RF_200703_v2_Total_Overhead 200704 in k CNY_BR Sep APOD Total v15 (Jade-HR Personal cost)_SSAM dashboard" xfId="1320"/>
    <cellStyle name="_Overhead RF_200703_v2_Total_Overhead 200704 in k CNY_BR Sep APOD Total v18" xfId="1321"/>
    <cellStyle name="_Overhead RF_200703_v2_Total_Overhead 200704 in k CNY_BR Sep APOD Total v18_Actual 2008 APOD OH Total v2" xfId="1322"/>
    <cellStyle name="_Overhead RF_200703_v2_Total_Overhead 200704 in k CNY_BR Sep APOD Total v18_Actual 2008 APOD OH Total v2_SSAM dashboard" xfId="1323"/>
    <cellStyle name="_Overhead RF_200703_v2_Total_Overhead 200704 in k CNY_BR Sep APOD Total v18_SSAM dashboard" xfId="1324"/>
    <cellStyle name="_Overhead RF_200703_v2_Total_Overhead 200704 in k CNY_BR Sep APOD Total v19" xfId="1325"/>
    <cellStyle name="_Overhead RF_200703_v2_Total_Overhead 200704 in k CNY_BR Sep APOD Total v19_Actual 2008 APOD OH Total v2" xfId="1326"/>
    <cellStyle name="_Overhead RF_200703_v2_Total_Overhead 200704 in k CNY_BR Sep APOD Total v19_Actual 2008 APOD OH Total v2_SSAM dashboard" xfId="1327"/>
    <cellStyle name="_Overhead RF_200703_v2_Total_Overhead 200704 in k CNY_BR Sep APOD Total v19_SSAM dashboard" xfId="1328"/>
    <cellStyle name="_Overhead RF_200703_v2_Total_Overhead 200704 in k CNY_BR Sep APOD Total v3" xfId="1329"/>
    <cellStyle name="_Overhead RF_200703_v2_Total_Overhead 200704 in k CNY_BR Sep APOD Total v3_Actual 2008 APOD OH Total v2" xfId="1330"/>
    <cellStyle name="_Overhead RF_200703_v2_Total_Overhead 200704 in k CNY_BR Sep APOD Total v3_Actual 2008 APOD OH Total v2_SSAM dashboard" xfId="1331"/>
    <cellStyle name="_Overhead RF_200703_v2_Total_Overhead 200704 in k CNY_BR Sep APOD Total v3_SSAM dashboard" xfId="1332"/>
    <cellStyle name="_Overhead RF_200703_v2_Total_Overhead 200704 in k CNY_BR Sep APOD Total v7 (Jade)" xfId="1333"/>
    <cellStyle name="_Overhead RF_200703_v2_Total_Overhead 200704 in k CNY_BR Sep APOD Total v7 (Jade)_Actual 2008 APOD OH Total v2" xfId="1334"/>
    <cellStyle name="_Overhead RF_200703_v2_Total_Overhead 200704 in k CNY_BR Sep APOD Total v7 (Jade)_Actual 2008 APOD OH Total v2_SSAM dashboard" xfId="1335"/>
    <cellStyle name="_Overhead RF_200703_v2_Total_Overhead 200704 in k CNY_BR Sep APOD Total v7 (Jade)_SSAM dashboard" xfId="1336"/>
    <cellStyle name="_Overhead RF_200703_v2_Total_Overhead 200704 in k CNY_SSAM dashboard" xfId="1337"/>
    <cellStyle name="_Overhead RF_200703_v2_Total_SSAM dashboard" xfId="1338"/>
    <cellStyle name="_Overhead RF_200703_v2_Total_Template" xfId="1339"/>
    <cellStyle name="_Overhead RF_200703_v2_Total_Template_Actual 2008 APOD OH Total v2" xfId="1340"/>
    <cellStyle name="_Overhead RF_200703_v2_Total_Template_Actual 2008 APOD OH Total v2_SSAM dashboard" xfId="1341"/>
    <cellStyle name="_Overhead RF_200703_v2_Total_Template_BR Jul 07 - APOD Total summary V3" xfId="1342"/>
    <cellStyle name="_Overhead RF_200703_v2_Total_Template_BR Jul 07 - APOD Total summary V3_Actual 2008 APOD OH Total v2" xfId="1343"/>
    <cellStyle name="_Overhead RF_200703_v2_Total_Template_BR Jul 07 - APOD Total summary V3_Actual 2008 APOD OH Total v2_SSAM dashboard" xfId="1344"/>
    <cellStyle name="_Overhead RF_200703_v2_Total_Template_BR Jul 07 - APOD Total summary V3_SSAM dashboard" xfId="1345"/>
    <cellStyle name="_Overhead RF_200703_v2_Total_Template_BR Jul 07 - APOD Total V2 (LXX)" xfId="1346"/>
    <cellStyle name="_Overhead RF_200703_v2_Total_Template_BR Jul 07 - APOD Total V2 (LXX)_Actual 2008 APOD OH Total v2" xfId="1347"/>
    <cellStyle name="_Overhead RF_200703_v2_Total_Template_BR Jul 07 - APOD Total V2 (LXX)_Actual 2008 APOD OH Total v2_SSAM dashboard" xfId="1348"/>
    <cellStyle name="_Overhead RF_200703_v2_Total_Template_BR Jul 07 - APOD Total V2 (LXX)_SSAM dashboard" xfId="1349"/>
    <cellStyle name="_Overhead RF_200703_v2_Total_Template_BR Jul 07 - APOD Total V4 (Jade)" xfId="1350"/>
    <cellStyle name="_Overhead RF_200703_v2_Total_Template_BR Jul 07 - APOD Total V4 (Jade)_Actual 2008 APOD OH Total v2" xfId="1351"/>
    <cellStyle name="_Overhead RF_200703_v2_Total_Template_BR Jul 07 - APOD Total V4 (Jade)_Actual 2008 APOD OH Total v2_SSAM dashboard" xfId="1352"/>
    <cellStyle name="_Overhead RF_200703_v2_Total_Template_BR Jul 07 - APOD Total V4 (Jade)_SSAM dashboard" xfId="1353"/>
    <cellStyle name="_Overhead RF_200703_v2_Total_Template_BR Sep APOD Total 10 (Jade-HR Personal cost)" xfId="1354"/>
    <cellStyle name="_Overhead RF_200703_v2_Total_Template_BR Sep APOD Total 10 (Jade-HR Personal cost)_Actual 2008 APOD OH Total v2" xfId="1355"/>
    <cellStyle name="_Overhead RF_200703_v2_Total_Template_BR Sep APOD Total 10 (Jade-HR Personal cost)_Actual 2008 APOD OH Total v2_SSAM dashboard" xfId="1356"/>
    <cellStyle name="_Overhead RF_200703_v2_Total_Template_BR Sep APOD Total 10 (Jade-HR Personal cost)_SSAM dashboard" xfId="1357"/>
    <cellStyle name="_Overhead RF_200703_v2_Total_Template_BR Sep APOD Total v15 (Jade-HR Personal cost)" xfId="1358"/>
    <cellStyle name="_Overhead RF_200703_v2_Total_Template_BR Sep APOD Total v15 (Jade-HR Personal cost)_Actual 2008 APOD OH Total v2" xfId="1359"/>
    <cellStyle name="_Overhead RF_200703_v2_Total_Template_BR Sep APOD Total v15 (Jade-HR Personal cost)_Actual 2008 APOD OH Total v2_SSAM dashboard" xfId="1360"/>
    <cellStyle name="_Overhead RF_200703_v2_Total_Template_BR Sep APOD Total v15 (Jade-HR Personal cost)_SSAM dashboard" xfId="1361"/>
    <cellStyle name="_Overhead RF_200703_v2_Total_Template_BR Sep APOD Total v18" xfId="1362"/>
    <cellStyle name="_Overhead RF_200703_v2_Total_Template_BR Sep APOD Total v18_Actual 2008 APOD OH Total v2" xfId="1363"/>
    <cellStyle name="_Overhead RF_200703_v2_Total_Template_BR Sep APOD Total v18_Actual 2008 APOD OH Total v2_SSAM dashboard" xfId="1364"/>
    <cellStyle name="_Overhead RF_200703_v2_Total_Template_BR Sep APOD Total v18_SSAM dashboard" xfId="1365"/>
    <cellStyle name="_Overhead RF_200703_v2_Total_Template_BR Sep APOD Total v19" xfId="1366"/>
    <cellStyle name="_Overhead RF_200703_v2_Total_Template_BR Sep APOD Total v19_Actual 2008 APOD OH Total v2" xfId="1367"/>
    <cellStyle name="_Overhead RF_200703_v2_Total_Template_BR Sep APOD Total v19_Actual 2008 APOD OH Total v2_SSAM dashboard" xfId="1368"/>
    <cellStyle name="_Overhead RF_200703_v2_Total_Template_BR Sep APOD Total v19_SSAM dashboard" xfId="1369"/>
    <cellStyle name="_Overhead RF_200703_v2_Total_Template_BR Sep APOD Total v3" xfId="1370"/>
    <cellStyle name="_Overhead RF_200703_v2_Total_Template_BR Sep APOD Total v3_Actual 2008 APOD OH Total v2" xfId="1371"/>
    <cellStyle name="_Overhead RF_200703_v2_Total_Template_BR Sep APOD Total v3_Actual 2008 APOD OH Total v2_SSAM dashboard" xfId="1372"/>
    <cellStyle name="_Overhead RF_200703_v2_Total_Template_BR Sep APOD Total v3_SSAM dashboard" xfId="1373"/>
    <cellStyle name="_Overhead RF_200703_v2_Total_Template_BR Sep APOD Total v7 (Jade)" xfId="1374"/>
    <cellStyle name="_Overhead RF_200703_v2_Total_Template_BR Sep APOD Total v7 (Jade)_Actual 2008 APOD OH Total v2" xfId="1375"/>
    <cellStyle name="_Overhead RF_200703_v2_Total_Template_BR Sep APOD Total v7 (Jade)_Actual 2008 APOD OH Total v2_SSAM dashboard" xfId="1376"/>
    <cellStyle name="_Overhead RF_200703_v2_Total_Template_BR Sep APOD Total v7 (Jade)_SSAM dashboard" xfId="1377"/>
    <cellStyle name="_Overhead RF_200703_v2_Total_Template_SSAM dashboard" xfId="1378"/>
    <cellStyle name="_Overhead RF_200703_v8_Total (LXX)" xfId="1379"/>
    <cellStyle name="_Overhead RF_200703_v8_Total (LXX)_Actual 2008 APOD OH Total v2" xfId="1380"/>
    <cellStyle name="_Overhead RF_200703_v8_Total (LXX)_Actual 2008 APOD OH Total v2_SSAM dashboard" xfId="1381"/>
    <cellStyle name="_Overhead RF_200703_v8_Total (LXX)_BR Jul 07 - APOD Total summary V3" xfId="1382"/>
    <cellStyle name="_Overhead RF_200703_v8_Total (LXX)_BR Jul 07 - APOD Total summary V3_Actual 2008 APOD OH Total v2" xfId="1383"/>
    <cellStyle name="_Overhead RF_200703_v8_Total (LXX)_BR Jul 07 - APOD Total summary V3_Actual 2008 APOD OH Total v2_SSAM dashboard" xfId="1384"/>
    <cellStyle name="_Overhead RF_200703_v8_Total (LXX)_BR Jul 07 - APOD Total summary V3_SSAM dashboard" xfId="1385"/>
    <cellStyle name="_Overhead RF_200703_v8_Total (LXX)_BR Jul 07 - APOD Total V2 (LXX)" xfId="1386"/>
    <cellStyle name="_Overhead RF_200703_v8_Total (LXX)_BR Jul 07 - APOD Total V2 (LXX)_Actual 2008 APOD OH Total v2" xfId="1387"/>
    <cellStyle name="_Overhead RF_200703_v8_Total (LXX)_BR Jul 07 - APOD Total V2 (LXX)_Actual 2008 APOD OH Total v2_SSAM dashboard" xfId="1388"/>
    <cellStyle name="_Overhead RF_200703_v8_Total (LXX)_BR Jul 07 - APOD Total V2 (LXX)_SSAM dashboard" xfId="1389"/>
    <cellStyle name="_Overhead RF_200703_v8_Total (LXX)_BR Jul 07 - APOD Total V4 (Jade)" xfId="1390"/>
    <cellStyle name="_Overhead RF_200703_v8_Total (LXX)_BR Jul 07 - APOD Total V4 (Jade)_Actual 2008 APOD OH Total v2" xfId="1391"/>
    <cellStyle name="_Overhead RF_200703_v8_Total (LXX)_BR Jul 07 - APOD Total V4 (Jade)_Actual 2008 APOD OH Total v2_SSAM dashboard" xfId="1392"/>
    <cellStyle name="_Overhead RF_200703_v8_Total (LXX)_BR Jul 07 - APOD Total V4 (Jade)_SSAM dashboard" xfId="1393"/>
    <cellStyle name="_Overhead RF_200703_v8_Total (LXX)_BR Sep APOD Total 10 (Jade-HR Personal cost)" xfId="1394"/>
    <cellStyle name="_Overhead RF_200703_v8_Total (LXX)_BR Sep APOD Total 10 (Jade-HR Personal cost)_Actual 2008 APOD OH Total v2" xfId="1395"/>
    <cellStyle name="_Overhead RF_200703_v8_Total (LXX)_BR Sep APOD Total 10 (Jade-HR Personal cost)_Actual 2008 APOD OH Total v2_SSAM dashboard" xfId="1396"/>
    <cellStyle name="_Overhead RF_200703_v8_Total (LXX)_BR Sep APOD Total 10 (Jade-HR Personal cost)_SSAM dashboard" xfId="1397"/>
    <cellStyle name="_Overhead RF_200703_v8_Total (LXX)_BR Sep APOD Total v15 (Jade-HR Personal cost)" xfId="1398"/>
    <cellStyle name="_Overhead RF_200703_v8_Total (LXX)_BR Sep APOD Total v15 (Jade-HR Personal cost)_Actual 2008 APOD OH Total v2" xfId="1399"/>
    <cellStyle name="_Overhead RF_200703_v8_Total (LXX)_BR Sep APOD Total v15 (Jade-HR Personal cost)_Actual 2008 APOD OH Total v2_SSAM dashboard" xfId="1400"/>
    <cellStyle name="_Overhead RF_200703_v8_Total (LXX)_BR Sep APOD Total v15 (Jade-HR Personal cost)_SSAM dashboard" xfId="1401"/>
    <cellStyle name="_Overhead RF_200703_v8_Total (LXX)_BR Sep APOD Total v18" xfId="1402"/>
    <cellStyle name="_Overhead RF_200703_v8_Total (LXX)_BR Sep APOD Total v18_Actual 2008 APOD OH Total v2" xfId="1403"/>
    <cellStyle name="_Overhead RF_200703_v8_Total (LXX)_BR Sep APOD Total v18_Actual 2008 APOD OH Total v2_SSAM dashboard" xfId="1404"/>
    <cellStyle name="_Overhead RF_200703_v8_Total (LXX)_BR Sep APOD Total v18_SSAM dashboard" xfId="1405"/>
    <cellStyle name="_Overhead RF_200703_v8_Total (LXX)_BR Sep APOD Total v19" xfId="1406"/>
    <cellStyle name="_Overhead RF_200703_v8_Total (LXX)_BR Sep APOD Total v19_Actual 2008 APOD OH Total v2" xfId="1407"/>
    <cellStyle name="_Overhead RF_200703_v8_Total (LXX)_BR Sep APOD Total v19_Actual 2008 APOD OH Total v2_SSAM dashboard" xfId="1408"/>
    <cellStyle name="_Overhead RF_200703_v8_Total (LXX)_BR Sep APOD Total v19_SSAM dashboard" xfId="1409"/>
    <cellStyle name="_Overhead RF_200703_v8_Total (LXX)_BR Sep APOD Total v3" xfId="1410"/>
    <cellStyle name="_Overhead RF_200703_v8_Total (LXX)_BR Sep APOD Total v3_Actual 2008 APOD OH Total v2" xfId="1411"/>
    <cellStyle name="_Overhead RF_200703_v8_Total (LXX)_BR Sep APOD Total v3_Actual 2008 APOD OH Total v2_SSAM dashboard" xfId="1412"/>
    <cellStyle name="_Overhead RF_200703_v8_Total (LXX)_BR Sep APOD Total v3_SSAM dashboard" xfId="1413"/>
    <cellStyle name="_Overhead RF_200703_v8_Total (LXX)_BR Sep APOD Total v7 (Jade)" xfId="1414"/>
    <cellStyle name="_Overhead RF_200703_v8_Total (LXX)_BR Sep APOD Total v7 (Jade)_Actual 2008 APOD OH Total v2" xfId="1415"/>
    <cellStyle name="_Overhead RF_200703_v8_Total (LXX)_BR Sep APOD Total v7 (Jade)_Actual 2008 APOD OH Total v2_SSAM dashboard" xfId="1416"/>
    <cellStyle name="_Overhead RF_200703_v8_Total (LXX)_BR Sep APOD Total v7 (Jade)_SSAM dashboard" xfId="1417"/>
    <cellStyle name="_Overhead RF_200703_v8_Total (LXX)_Overhead 200704 in k CNY" xfId="1418"/>
    <cellStyle name="_Overhead RF_200703_v8_Total (LXX)_Overhead 200704 in k CNY_Actual 2008 APOD OH Total v2" xfId="1419"/>
    <cellStyle name="_Overhead RF_200703_v8_Total (LXX)_Overhead 200704 in k CNY_Actual 2008 APOD OH Total v2_SSAM dashboard" xfId="1420"/>
    <cellStyle name="_Overhead RF_200703_v8_Total (LXX)_Overhead 200704 in k CNY_BR Jul 07 - APOD Total summary V3" xfId="1421"/>
    <cellStyle name="_Overhead RF_200703_v8_Total (LXX)_Overhead 200704 in k CNY_BR Jul 07 - APOD Total summary V3_Actual 2008 APOD OH Total v2" xfId="1422"/>
    <cellStyle name="_Overhead RF_200703_v8_Total (LXX)_Overhead 200704 in k CNY_BR Jul 07 - APOD Total summary V3_Actual 2008 APOD OH Total v2_SSAM dashboard" xfId="1423"/>
    <cellStyle name="_Overhead RF_200703_v8_Total (LXX)_Overhead 200704 in k CNY_BR Jul 07 - APOD Total summary V3_SSAM dashboard" xfId="1424"/>
    <cellStyle name="_Overhead RF_200703_v8_Total (LXX)_Overhead 200704 in k CNY_BR Jul 07 - APOD Total V2 (LXX)" xfId="1425"/>
    <cellStyle name="_Overhead RF_200703_v8_Total (LXX)_Overhead 200704 in k CNY_BR Jul 07 - APOD Total V2 (LXX)_Actual 2008 APOD OH Total v2" xfId="1426"/>
    <cellStyle name="_Overhead RF_200703_v8_Total (LXX)_Overhead 200704 in k CNY_BR Jul 07 - APOD Total V2 (LXX)_Actual 2008 APOD OH Total v2_SSAM dashboard" xfId="1427"/>
    <cellStyle name="_Overhead RF_200703_v8_Total (LXX)_Overhead 200704 in k CNY_BR Jul 07 - APOD Total V2 (LXX)_SSAM dashboard" xfId="1428"/>
    <cellStyle name="_Overhead RF_200703_v8_Total (LXX)_Overhead 200704 in k CNY_BR Jul 07 - APOD Total V4 (Jade)" xfId="1429"/>
    <cellStyle name="_Overhead RF_200703_v8_Total (LXX)_Overhead 200704 in k CNY_BR Jul 07 - APOD Total V4 (Jade)_Actual 2008 APOD OH Total v2" xfId="1430"/>
    <cellStyle name="_Overhead RF_200703_v8_Total (LXX)_Overhead 200704 in k CNY_BR Jul 07 - APOD Total V4 (Jade)_Actual 2008 APOD OH Total v2_SSAM dashboard" xfId="1431"/>
    <cellStyle name="_Overhead RF_200703_v8_Total (LXX)_Overhead 200704 in k CNY_BR Jul 07 - APOD Total V4 (Jade)_SSAM dashboard" xfId="1432"/>
    <cellStyle name="_Overhead RF_200703_v8_Total (LXX)_Overhead 200704 in k CNY_BR Sep APOD Total 10 (Jade-HR Personal cost)" xfId="1433"/>
    <cellStyle name="_Overhead RF_200703_v8_Total (LXX)_Overhead 200704 in k CNY_BR Sep APOD Total 10 (Jade-HR Personal cost)_Actual 2008 APOD OH Total v2" xfId="1434"/>
    <cellStyle name="_Overhead RF_200703_v8_Total (LXX)_Overhead 200704 in k CNY_BR Sep APOD Total 10 (Jade-HR Personal cost)_Actual 2008 APOD OH Total v2_SSAM dashboard" xfId="1435"/>
    <cellStyle name="_Overhead RF_200703_v8_Total (LXX)_Overhead 200704 in k CNY_BR Sep APOD Total 10 (Jade-HR Personal cost)_SSAM dashboard" xfId="1436"/>
    <cellStyle name="_Overhead RF_200703_v8_Total (LXX)_Overhead 200704 in k CNY_BR Sep APOD Total v15 (Jade-HR Personal cost)" xfId="1437"/>
    <cellStyle name="_Overhead RF_200703_v8_Total (LXX)_Overhead 200704 in k CNY_BR Sep APOD Total v15 (Jade-HR Personal cost)_Actual 2008 APOD OH Total v2" xfId="1438"/>
    <cellStyle name="_Overhead RF_200703_v8_Total (LXX)_Overhead 200704 in k CNY_BR Sep APOD Total v15 (Jade-HR Personal cost)_Actual 2008 APOD OH Total v2_SSAM dashboard" xfId="1439"/>
    <cellStyle name="_Overhead RF_200703_v8_Total (LXX)_Overhead 200704 in k CNY_BR Sep APOD Total v15 (Jade-HR Personal cost)_SSAM dashboard" xfId="1440"/>
    <cellStyle name="_Overhead RF_200703_v8_Total (LXX)_Overhead 200704 in k CNY_BR Sep APOD Total v18" xfId="1441"/>
    <cellStyle name="_Overhead RF_200703_v8_Total (LXX)_Overhead 200704 in k CNY_BR Sep APOD Total v18_Actual 2008 APOD OH Total v2" xfId="1442"/>
    <cellStyle name="_Overhead RF_200703_v8_Total (LXX)_Overhead 200704 in k CNY_BR Sep APOD Total v18_Actual 2008 APOD OH Total v2_SSAM dashboard" xfId="1443"/>
    <cellStyle name="_Overhead RF_200703_v8_Total (LXX)_Overhead 200704 in k CNY_BR Sep APOD Total v18_SSAM dashboard" xfId="1444"/>
    <cellStyle name="_Overhead RF_200703_v8_Total (LXX)_Overhead 200704 in k CNY_BR Sep APOD Total v19" xfId="1445"/>
    <cellStyle name="_Overhead RF_200703_v8_Total (LXX)_Overhead 200704 in k CNY_BR Sep APOD Total v19_Actual 2008 APOD OH Total v2" xfId="1446"/>
    <cellStyle name="_Overhead RF_200703_v8_Total (LXX)_Overhead 200704 in k CNY_BR Sep APOD Total v19_Actual 2008 APOD OH Total v2_SSAM dashboard" xfId="1447"/>
    <cellStyle name="_Overhead RF_200703_v8_Total (LXX)_Overhead 200704 in k CNY_BR Sep APOD Total v19_SSAM dashboard" xfId="1448"/>
    <cellStyle name="_Overhead RF_200703_v8_Total (LXX)_Overhead 200704 in k CNY_BR Sep APOD Total v3" xfId="1449"/>
    <cellStyle name="_Overhead RF_200703_v8_Total (LXX)_Overhead 200704 in k CNY_BR Sep APOD Total v3_Actual 2008 APOD OH Total v2" xfId="1450"/>
    <cellStyle name="_Overhead RF_200703_v8_Total (LXX)_Overhead 200704 in k CNY_BR Sep APOD Total v3_Actual 2008 APOD OH Total v2_SSAM dashboard" xfId="1451"/>
    <cellStyle name="_Overhead RF_200703_v8_Total (LXX)_Overhead 200704 in k CNY_BR Sep APOD Total v3_SSAM dashboard" xfId="1452"/>
    <cellStyle name="_Overhead RF_200703_v8_Total (LXX)_Overhead 200704 in k CNY_BR Sep APOD Total v7 (Jade)" xfId="1453"/>
    <cellStyle name="_Overhead RF_200703_v8_Total (LXX)_Overhead 200704 in k CNY_BR Sep APOD Total v7 (Jade)_Actual 2008 APOD OH Total v2" xfId="1454"/>
    <cellStyle name="_Overhead RF_200703_v8_Total (LXX)_Overhead 200704 in k CNY_BR Sep APOD Total v7 (Jade)_Actual 2008 APOD OH Total v2_SSAM dashboard" xfId="1455"/>
    <cellStyle name="_Overhead RF_200703_v8_Total (LXX)_Overhead 200704 in k CNY_BR Sep APOD Total v7 (Jade)_SSAM dashboard" xfId="1456"/>
    <cellStyle name="_Overhead RF_200703_v8_Total (LXX)_Overhead 200704 in k CNY_SSAM dashboard" xfId="1457"/>
    <cellStyle name="_Overhead RF_200703_v8_Total (LXX)_SSAM dashboard" xfId="1458"/>
    <cellStyle name="_Overhead RF_200703_v8_Total (LXX)_Template" xfId="1459"/>
    <cellStyle name="_Overhead RF_200703_v8_Total (LXX)_Template_Actual 2008 APOD OH Total v2" xfId="1460"/>
    <cellStyle name="_Overhead RF_200703_v8_Total (LXX)_Template_Actual 2008 APOD OH Total v2_SSAM dashboard" xfId="1461"/>
    <cellStyle name="_Overhead RF_200703_v8_Total (LXX)_Template_BR Jul 07 - APOD Total summary V3" xfId="1462"/>
    <cellStyle name="_Overhead RF_200703_v8_Total (LXX)_Template_BR Jul 07 - APOD Total summary V3_Actual 2008 APOD OH Total v2" xfId="1463"/>
    <cellStyle name="_Overhead RF_200703_v8_Total (LXX)_Template_BR Jul 07 - APOD Total summary V3_Actual 2008 APOD OH Total v2_SSAM dashboard" xfId="1464"/>
    <cellStyle name="_Overhead RF_200703_v8_Total (LXX)_Template_BR Jul 07 - APOD Total summary V3_SSAM dashboard" xfId="1465"/>
    <cellStyle name="_Overhead RF_200703_v8_Total (LXX)_Template_BR Jul 07 - APOD Total V2 (LXX)" xfId="1466"/>
    <cellStyle name="_Overhead RF_200703_v8_Total (LXX)_Template_BR Jul 07 - APOD Total V2 (LXX)_Actual 2008 APOD OH Total v2" xfId="1467"/>
    <cellStyle name="_Overhead RF_200703_v8_Total (LXX)_Template_BR Jul 07 - APOD Total V2 (LXX)_Actual 2008 APOD OH Total v2_SSAM dashboard" xfId="1468"/>
    <cellStyle name="_Overhead RF_200703_v8_Total (LXX)_Template_BR Jul 07 - APOD Total V2 (LXX)_SSAM dashboard" xfId="1469"/>
    <cellStyle name="_Overhead RF_200703_v8_Total (LXX)_Template_BR Jul 07 - APOD Total V4 (Jade)" xfId="1470"/>
    <cellStyle name="_Overhead RF_200703_v8_Total (LXX)_Template_BR Jul 07 - APOD Total V4 (Jade)_Actual 2008 APOD OH Total v2" xfId="1471"/>
    <cellStyle name="_Overhead RF_200703_v8_Total (LXX)_Template_BR Jul 07 - APOD Total V4 (Jade)_Actual 2008 APOD OH Total v2_SSAM dashboard" xfId="1472"/>
    <cellStyle name="_Overhead RF_200703_v8_Total (LXX)_Template_BR Jul 07 - APOD Total V4 (Jade)_SSAM dashboard" xfId="1473"/>
    <cellStyle name="_Overhead RF_200703_v8_Total (LXX)_Template_BR Sep APOD Total 10 (Jade-HR Personal cost)" xfId="1474"/>
    <cellStyle name="_Overhead RF_200703_v8_Total (LXX)_Template_BR Sep APOD Total 10 (Jade-HR Personal cost)_Actual 2008 APOD OH Total v2" xfId="1475"/>
    <cellStyle name="_Overhead RF_200703_v8_Total (LXX)_Template_BR Sep APOD Total 10 (Jade-HR Personal cost)_Actual 2008 APOD OH Total v2_SSAM dashboard" xfId="1476"/>
    <cellStyle name="_Overhead RF_200703_v8_Total (LXX)_Template_BR Sep APOD Total 10 (Jade-HR Personal cost)_SSAM dashboard" xfId="1477"/>
    <cellStyle name="_Overhead RF_200703_v8_Total (LXX)_Template_BR Sep APOD Total v15 (Jade-HR Personal cost)" xfId="1478"/>
    <cellStyle name="_Overhead RF_200703_v8_Total (LXX)_Template_BR Sep APOD Total v15 (Jade-HR Personal cost)_Actual 2008 APOD OH Total v2" xfId="1479"/>
    <cellStyle name="_Overhead RF_200703_v8_Total (LXX)_Template_BR Sep APOD Total v15 (Jade-HR Personal cost)_Actual 2008 APOD OH Total v2_SSAM dashboard" xfId="1480"/>
    <cellStyle name="_Overhead RF_200703_v8_Total (LXX)_Template_BR Sep APOD Total v15 (Jade-HR Personal cost)_SSAM dashboard" xfId="1481"/>
    <cellStyle name="_Overhead RF_200703_v8_Total (LXX)_Template_BR Sep APOD Total v18" xfId="1482"/>
    <cellStyle name="_Overhead RF_200703_v8_Total (LXX)_Template_BR Sep APOD Total v18_Actual 2008 APOD OH Total v2" xfId="1483"/>
    <cellStyle name="_Overhead RF_200703_v8_Total (LXX)_Template_BR Sep APOD Total v18_Actual 2008 APOD OH Total v2_SSAM dashboard" xfId="1484"/>
    <cellStyle name="_Overhead RF_200703_v8_Total (LXX)_Template_BR Sep APOD Total v18_SSAM dashboard" xfId="1485"/>
    <cellStyle name="_Overhead RF_200703_v8_Total (LXX)_Template_BR Sep APOD Total v19" xfId="1486"/>
    <cellStyle name="_Overhead RF_200703_v8_Total (LXX)_Template_BR Sep APOD Total v19_Actual 2008 APOD OH Total v2" xfId="1487"/>
    <cellStyle name="_Overhead RF_200703_v8_Total (LXX)_Template_BR Sep APOD Total v19_Actual 2008 APOD OH Total v2_SSAM dashboard" xfId="1488"/>
    <cellStyle name="_Overhead RF_200703_v8_Total (LXX)_Template_BR Sep APOD Total v19_SSAM dashboard" xfId="1489"/>
    <cellStyle name="_Overhead RF_200703_v8_Total (LXX)_Template_BR Sep APOD Total v3" xfId="1490"/>
    <cellStyle name="_Overhead RF_200703_v8_Total (LXX)_Template_BR Sep APOD Total v3_Actual 2008 APOD OH Total v2" xfId="1491"/>
    <cellStyle name="_Overhead RF_200703_v8_Total (LXX)_Template_BR Sep APOD Total v3_Actual 2008 APOD OH Total v2_SSAM dashboard" xfId="1492"/>
    <cellStyle name="_Overhead RF_200703_v8_Total (LXX)_Template_BR Sep APOD Total v3_SSAM dashboard" xfId="1493"/>
    <cellStyle name="_Overhead RF_200703_v8_Total (LXX)_Template_BR Sep APOD Total v7 (Jade)" xfId="1494"/>
    <cellStyle name="_Overhead RF_200703_v8_Total (LXX)_Template_BR Sep APOD Total v7 (Jade)_Actual 2008 APOD OH Total v2" xfId="1495"/>
    <cellStyle name="_Overhead RF_200703_v8_Total (LXX)_Template_BR Sep APOD Total v7 (Jade)_Actual 2008 APOD OH Total v2_SSAM dashboard" xfId="1496"/>
    <cellStyle name="_Overhead RF_200703_v8_Total (LXX)_Template_BR Sep APOD Total v7 (Jade)_SSAM dashboard" xfId="1497"/>
    <cellStyle name="_Overhead RF_200703_v8_Total (LXX)_Template_SSAM dashboard" xfId="1498"/>
    <cellStyle name="_P&amp;L breakdown" xfId="1499"/>
    <cellStyle name="_packing estimation for SH05-Q090" xfId="1500"/>
    <cellStyle name="_packing for SH06-Q005" xfId="1501"/>
    <cellStyle name="_packing for SH06-Q086" xfId="1502"/>
    <cellStyle name="_Part and existing cost EMA" xfId="1503"/>
    <cellStyle name="_parts cost for CERA qualification" xfId="1504"/>
    <cellStyle name="_parts cost for CERA qualification V10" xfId="1505"/>
    <cellStyle name="_PCP-Sales-2006-2008(20060704)" xfId="1506"/>
    <cellStyle name="_Personnel Movement and ST Trend - Feb 08" xfId="1507"/>
    <cellStyle name="_PL" xfId="1508"/>
    <cellStyle name="_Process investment forecast_SSLVTA_20110815" xfId="1509"/>
    <cellStyle name="_Production-plan-Aug 07 (SSPA)" xfId="1510"/>
    <cellStyle name="_Project Card Zhenshin 3.8　Ver1.0" xfId="1511"/>
    <cellStyle name="_Project transfer management tool box - 3td revision 19th June 2007" xfId="1512"/>
    <cellStyle name="_Project transfer management tool box- SMT 20100211" xfId="1513"/>
    <cellStyle name="_prototypes templates" xfId="1514"/>
    <cellStyle name="_prototypes templates_18mm Energy Meter EP Offer 20thAug 2007" xfId="1515"/>
    <cellStyle name="_prototypes templates_18mm Energy Meter EP Offer 20thAug 2007_Colombus project card August WK32.2009" xfId="1516"/>
    <cellStyle name="_prototypes templates_18mm Energy Meter EP Offer 20thAug 2007_Overall Investments" xfId="1517"/>
    <cellStyle name="_prototypes templates_18mm Energy Meter EP Offer 20thAug 2007_Overall Investments reviewed WPF + Pravin Sep 09" xfId="1518"/>
    <cellStyle name="_prototypes templates_18mm Energy Meter EP Offer 20thAug 2007_Overall Investments V2 Oct  09" xfId="1519"/>
    <cellStyle name="_prototypes templates_Alim-U Offer 23072009" xfId="1520"/>
    <cellStyle name="_prototypes templates_Alim-U Offer 23072009_Colombus project card August WK32.2009" xfId="1521"/>
    <cellStyle name="_prototypes templates_Alim-U Offer 23072009_Overall Investments" xfId="1522"/>
    <cellStyle name="_prototypes templates_Alim-U Offer 23072009_Overall Investments reviewed WPF + Pravin Sep 09" xfId="1523"/>
    <cellStyle name="_prototypes templates_Alim-U Offer 23072009_Overall Investments V2 Oct  09" xfId="1524"/>
    <cellStyle name="_prototypes templates_Argos Offer20092008" xfId="1525"/>
    <cellStyle name="_prototypes templates_BCM - AAV68845 - 34K - 08072009" xfId="1526"/>
    <cellStyle name="_prototypes templates_BCM - AAV68845 - 34K - 08072009_Colombus project card August WK32.2009" xfId="1527"/>
    <cellStyle name="_prototypes templates_BCM - AAV68845 - 34K - 08072009_Overall Investments" xfId="1528"/>
    <cellStyle name="_prototypes templates_BCM - AAV68845 - 34K - 08072009_Overall Investments reviewed WPF + Pravin Sep 09" xfId="1529"/>
    <cellStyle name="_prototypes templates_BCM - AAV68845 - 34K - 08072009_Overall Investments V2 Oct  09" xfId="1530"/>
    <cellStyle name="_prototypes templates_BCM - AAV68845 - 52K - 08072009" xfId="1531"/>
    <cellStyle name="_prototypes templates_BCM - AAV68845 - 52K - 08072009_Colombus project card August WK32.2009" xfId="1532"/>
    <cellStyle name="_prototypes templates_BCM - AAV68845 - 52K - 08072009_Overall Investments" xfId="1533"/>
    <cellStyle name="_prototypes templates_BCM - AAV68845 - 52K - 08072009_Overall Investments reviewed WPF + Pravin Sep 09" xfId="1534"/>
    <cellStyle name="_prototypes templates_BCM - AAV68845 - 52K - 08072009_Overall Investments V2 Oct  09" xfId="1535"/>
    <cellStyle name="_prototypes templates_BCM Toli PCBA offer 2009-10-30 from Jabil" xfId="1536"/>
    <cellStyle name="_prototypes templates_BCM-CCM NRE List 25062009v01" xfId="1537"/>
    <cellStyle name="_prototypes templates_BCM-CCM NRE List 25062009v01_Colombus project card August WK32.2009" xfId="1538"/>
    <cellStyle name="_prototypes templates_BCM-CCM NRE List 25062009v01_Overall Investments" xfId="1539"/>
    <cellStyle name="_prototypes templates_BCM-CCM NRE List 25062009v01_Overall Investments reviewed WPF + Pravin Sep 09" xfId="1540"/>
    <cellStyle name="_prototypes templates_BCM-CCM NRE List 25062009v01_Overall Investments V2 Oct  09" xfId="1541"/>
    <cellStyle name="_prototypes templates_CCM - AAV35256 - 25K - 08072009" xfId="1542"/>
    <cellStyle name="_prototypes templates_CCM - AAV35256 - 25K - 08072009_Colombus project card August WK32.2009" xfId="1543"/>
    <cellStyle name="_prototypes templates_CCM - AAV35256 - 25K - 08072009_Overall Investments" xfId="1544"/>
    <cellStyle name="_prototypes templates_CCM - AAV35256 - 25K - 08072009_Overall Investments reviewed WPF + Pravin Sep 09" xfId="1545"/>
    <cellStyle name="_prototypes templates_CCM - AAV35256 - 25K - 08072009_Overall Investments V2 Oct  09" xfId="1546"/>
    <cellStyle name="_prototypes templates_CCM - AAV35256 - 43K - 01072009" xfId="1547"/>
    <cellStyle name="_prototypes templates_CCM - AAV35256 - 43K - 01072009_Colombus project card August WK32.2009" xfId="1548"/>
    <cellStyle name="_prototypes templates_CCM - AAV35256 - 43K - 01072009_Overall Investments" xfId="1549"/>
    <cellStyle name="_prototypes templates_CCM - AAV35256 - 43K - 01072009_Overall Investments reviewed WPF + Pravin Sep 09" xfId="1550"/>
    <cellStyle name="_prototypes templates_CCM - AAV35256 - 43K - 01072009_Overall Investments V2 Oct  09" xfId="1551"/>
    <cellStyle name="_prototypes templates_CCM - AAV35256 - 61K - 08072009" xfId="1552"/>
    <cellStyle name="_prototypes templates_CCM - AAV35256 - 61K - 08072009_Colombus project card August WK32.2009" xfId="1553"/>
    <cellStyle name="_prototypes templates_CCM - AAV35256 - 61K - 08072009_Overall Investments" xfId="1554"/>
    <cellStyle name="_prototypes templates_CCM - AAV35256 - 61K - 08072009_Overall Investments reviewed WPF + Pravin Sep 09" xfId="1555"/>
    <cellStyle name="_prototypes templates_CCM - AAV35256 - 61K - 08072009_Overall Investments V2 Oct  09" xfId="1556"/>
    <cellStyle name="_prototypes templates_Colombus - SCT offer 09092009v01 - without 3D" xfId="1557"/>
    <cellStyle name="_prototypes templates_Colombus - SCT offer 23092009v02 - without 3D" xfId="1558"/>
    <cellStyle name="_prototypes templates_Colombus MicroBCM offer 30072009v01 - without 3D - breakdown with =S= format" xfId="1559"/>
    <cellStyle name="_prototypes templates_Colombus MicroBCM offer 30072009v02 - without 3D" xfId="1560"/>
    <cellStyle name="_prototypes templates_Colombus project card August WK32.2009" xfId="1561"/>
    <cellStyle name="_prototypes templates_ELAELAV redesign offer Shanghai_100207" xfId="1562"/>
    <cellStyle name="_prototypes templates_ELAELAV redesign offer Shanghai_100207_Colombus project card August WK32.2009" xfId="1563"/>
    <cellStyle name="_prototypes templates_ELAELAV redesign offer Shanghai_100207_Overall Investments" xfId="1564"/>
    <cellStyle name="_prototypes templates_ELAELAV redesign offer Shanghai_100207_Overall Investments reviewed WPF + Pravin Sep 09" xfId="1565"/>
    <cellStyle name="_prototypes templates_ELAELAV redesign offer Shanghai_100207_Overall Investments V2 Oct  09" xfId="1566"/>
    <cellStyle name="_prototypes templates_ELAELAV redesign SIL NRE 27072007" xfId="1567"/>
    <cellStyle name="_prototypes templates_ELAELAV redesign SIL NRE 27072007_Colombus project card August WK32.2009" xfId="1568"/>
    <cellStyle name="_prototypes templates_ELAELAV redesign SIL NRE 27072007_Overall Investments" xfId="1569"/>
    <cellStyle name="_prototypes templates_ELAELAV redesign SIL NRE 27072007_Overall Investments reviewed WPF + Pravin Sep 09" xfId="1570"/>
    <cellStyle name="_prototypes templates_ELAELAV redesign SIL NRE 27072007_Overall Investments V2 Oct  09" xfId="1571"/>
    <cellStyle name="_prototypes templates_k1 - BU Quote -67.5k 2009-9-16" xfId="1572"/>
    <cellStyle name="_prototypes templates_k1 PCBA offer 2009-10-16" xfId="1573"/>
    <cellStyle name="_prototypes templates_k1 PCBA offer 2009-10-16V01" xfId="1574"/>
    <cellStyle name="_prototypes templates_Material BOM Offer - ELS Low Runner July30th 07" xfId="1575"/>
    <cellStyle name="_prototypes templates_Material BOM Offer - ELS Low Runner July30th 07_Colombus project card August WK32.2009" xfId="1576"/>
    <cellStyle name="_prototypes templates_Material BOM Offer - ELS Low Runner July30th 07_Overall Investments" xfId="1577"/>
    <cellStyle name="_prototypes templates_Material BOM Offer - ELS Low Runner July30th 07_Overall Investments reviewed WPF + Pravin Sep 09" xfId="1578"/>
    <cellStyle name="_prototypes templates_Material BOM Offer - ELS Low Runner July30th 07_Overall Investments V2 Oct  09" xfId="1579"/>
    <cellStyle name="_prototypes templates_MBGX Manufacturing Phototpe offer and NRC offer 04122007v01" xfId="1580"/>
    <cellStyle name="_prototypes templates_MBGX Manufacturing Phototpe offer and NRC offer 04122007v01_Colombus project card August WK32.2009" xfId="1581"/>
    <cellStyle name="_prototypes templates_MBGX Manufacturing Phototpe offer and NRC offer 04122007v01_Overall Investments" xfId="1582"/>
    <cellStyle name="_prototypes templates_MBGX Manufacturing Phototpe offer and NRC offer 04122007v01_Overall Investments reviewed WPF + Pravin Sep 09" xfId="1583"/>
    <cellStyle name="_prototypes templates_MBGX Manufacturing Phototpe offer and NRC offer 04122007v01_Overall Investments V2 Oct  09" xfId="1584"/>
    <cellStyle name="_prototypes templates_MBGX NRE offer 10092007v01" xfId="1585"/>
    <cellStyle name="_prototypes templates_MBGX NRE offer 10092007v01_Colombus project card August WK32.2009" xfId="1586"/>
    <cellStyle name="_prototypes templates_MBGX NRE offer 10092007v01_Overall Investments" xfId="1587"/>
    <cellStyle name="_prototypes templates_MBGX NRE offer 10092007v01_Overall Investments reviewed WPF + Pravin Sep 09" xfId="1588"/>
    <cellStyle name="_prototypes templates_MBGX NRE offer 10092007v01_Overall Investments V2 Oct  09" xfId="1589"/>
    <cellStyle name="_prototypes templates_MBGX Offer 28112007 v01 Internal" xfId="1590"/>
    <cellStyle name="_prototypes templates_MBGX Offer 28112007 v01 Internal_Colombus project card August WK32.2009" xfId="1591"/>
    <cellStyle name="_prototypes templates_MBGX Offer 28112007 v01 Internal_Overall Investments" xfId="1592"/>
    <cellStyle name="_prototypes templates_MBGX Offer 28112007 v01 Internal_Overall Investments reviewed WPF + Pravin Sep 09" xfId="1593"/>
    <cellStyle name="_prototypes templates_MBGX Offer 28112007 v01 Internal_Overall Investments V2 Oct  09" xfId="1594"/>
    <cellStyle name="_prototypes templates_NRE offer" xfId="1595"/>
    <cellStyle name="_prototypes templates_NRE offer Clone" xfId="1596"/>
    <cellStyle name="_prototypes templates_NRE offer LK" xfId="1597"/>
    <cellStyle name="_prototypes templates_Ohmega Offer05032009" xfId="1598"/>
    <cellStyle name="_prototypes templates_Overall Investments" xfId="1599"/>
    <cellStyle name="_prototypes templates_Overall Investments reviewed WPF + Pravin Sep 09" xfId="1600"/>
    <cellStyle name="_prototypes templates_Overall Investments V2 Oct  09" xfId="1601"/>
    <cellStyle name="_Proxima Sensor investment tracking" xfId="1602"/>
    <cellStyle name="_Proxima Sensor investment tracking_20070910" xfId="1603"/>
    <cellStyle name="_Q1.06-Q1.07Tooling Budget( Renew and repair)Dec.19.05" xfId="1604"/>
    <cellStyle name="_Q3'07 Price 072607 (Updated with NewTPC price)" xfId="1605"/>
    <cellStyle name="_Q3'07 Price 072607 (Updated with NewTPC price)_Colombus project card August WK32.2009" xfId="1606"/>
    <cellStyle name="_Q3'07 Price 072607 (Updated with NewTPC price)_Overall Investments" xfId="1607"/>
    <cellStyle name="_Q3'07 Price 072607 (Updated with NewTPC price)_Overall Investments reviewed WPF + Pravin Sep 09" xfId="1608"/>
    <cellStyle name="_Q3'07 Price 072607 (Updated with NewTPC price)_Overall Investments V2 Oct  09" xfId="1609"/>
    <cellStyle name="_Q3-BR preparation_fcst_V2" xfId="1610"/>
    <cellStyle name="_Quote Argos GHE10123AA 20092008final 28k" xfId="1611"/>
    <cellStyle name="_Quote Argos GHE10130AA 23102008 final 22k" xfId="1612"/>
    <cellStyle name="_QVE productivity BR 0901" xfId="1613"/>
    <cellStyle name="_R1000_2008_V4_exp" xfId="1614"/>
    <cellStyle name="_R1000_2008_V4_HR" xfId="1615"/>
    <cellStyle name="_R1000_2009_KARAM &amp; LTLR Transfer_v3" xfId="1616"/>
    <cellStyle name="_Risk management_factory Moving &amp; NPI Project_ELP&amp;H V2 25th.Dec.2008" xfId="1617"/>
    <cellStyle name="_Risk management_factory Moving &amp; NPI Project_Malan&amp;ELP&amp;HV2 24th.Dec.2008" xfId="1618"/>
    <cellStyle name="_Risk Management_WPF NPI_HMI Project_081201_V3_new schedule" xfId="1619"/>
    <cellStyle name="_Risk Management_WPF NPI_Malan Project_WK52_v1_20081224" xfId="1620"/>
    <cellStyle name="_sales previsions" xfId="1621"/>
    <cellStyle name="_SBLV BR HC_V2" xfId="1622"/>
    <cellStyle name="_SBLV Tooling Budget - liang YN" xfId="1623"/>
    <cellStyle name="_SBLV YTD Committed CAPEX statistic2006_Updated" xfId="1624"/>
    <cellStyle name="_SBLV YTD Committed CAPEX statistic2006_Updated_1.Industrialization CAPEX Forecast-Q4'08-20081220" xfId="1625"/>
    <cellStyle name="_SBLV YTD Committed CAPEX statistic2006_Updated_200803" xfId="1626"/>
    <cellStyle name="_SBLV YTD Committed CAPEX statistic2006_Updated_200811 Capex input form-actual(China TAF)" xfId="1627"/>
    <cellStyle name="_SBLV YTD Committed CAPEX statistic2006_Updated_2008Capex  forecast CBN" xfId="1628"/>
    <cellStyle name="_SBLV YTD Committed CAPEX statistic2006_Updated_Book1" xfId="1629"/>
    <cellStyle name="_SBLV YTD Committed CAPEX statistic2006_Updated_BR Capex &amp; expenses_Purchasing Project_20080616" xfId="1630"/>
    <cellStyle name="_SBLV YTD Committed CAPEX statistic2006_Updated_CAPEC Rolling Forecast for Mold Renew&amp;Repair&amp;Improve_Jun,2006(Q2)F_New format" xfId="1631"/>
    <cellStyle name="_SBLV YTD Committed CAPEX statistic2006_Updated_CAPEC Rolling Forecast for Mold Renew&amp;Repair&amp;Improve_Jun,2006(Q2)F_New format_Capex commit discloure_200710 v2" xfId="1632"/>
    <cellStyle name="_SBLV YTD Committed CAPEX statistic2006_Updated_CAPEC Rolling Forecast for Mold Renew&amp;Repair&amp;Improve_Jun,2006(Q2)F_New format_SSAM Capex Qct BR" xfId="1633"/>
    <cellStyle name="_SBLV YTD Committed CAPEX statistic2006_Updated_CAPEC Rolling Forecast for Mold Renew&amp;Repair&amp;Improve_Jun,2006(Q2)F_New format_SSAM Capex Qct BR_1.Industrialization CAPEX Forecast-Q4'08-20081220" xfId="1634"/>
    <cellStyle name="_SBLV YTD Committed CAPEX statistic2006_Updated_CAPEC Rolling Forecast for Mold Renew&amp;Repair&amp;Improve_Jun,2006(Q2)F_New format_SSAM Capex Qct BR_2008Capex  forecast CBN" xfId="1635"/>
    <cellStyle name="_SBLV YTD Committed CAPEX statistic2006_Updated_CAPEC Rolling Forecast for Mold Renew&amp;Repair&amp;Improve_Jun,2006(Q2)F_New format_SSAM Capex Qct BR_Book1" xfId="1636"/>
    <cellStyle name="_SBLV YTD Committed CAPEX statistic2006_Updated_CAPEC Rolling Forecast for Mold Renew&amp;Repair&amp;Improve_Jun,2006(Q2)F_New format_SSAM Capex Qct BR_BR Capex &amp; expenses_Purchasing Project_20080616" xfId="1637"/>
    <cellStyle name="_SBLV YTD Committed CAPEX statistic2006_Updated_CAPEC Rolling Forecast for Mold Renew&amp;Repair&amp;Improve_Jun,2006(Q2)F_New format_SSAM Capex Qct BR_CAPEX - IT_ Jan 08BR" xfId="1638"/>
    <cellStyle name="_SBLV YTD Committed CAPEX statistic2006_Updated_CAPEC Rolling Forecast for Mold Renew&amp;Repair&amp;Improve_Jun,2006(Q2)F_New format_SSAM Capex Qct BR_CAPEX Rolling Forecast for building extend project- TF 2009 03 16" xfId="1639"/>
    <cellStyle name="_SBLV YTD Committed CAPEX statistic2006_Updated_CAPEC Rolling Forecast for Mold Renew&amp;Repair&amp;Improve_Jun,2006(Q2)F_New format_SSAM Capex Qct BR_CAPEX Rolling Forecast for Mold_ Jan 08BR" xfId="1640"/>
    <cellStyle name="_SBLV YTD Committed CAPEX statistic2006_Updated_CAPEC Rolling Forecast for Mold Renew&amp;Repair&amp;Improve_Jun,2006(Q2)F_New format_SSAM Capex Qct BR_Capex_Dept_Mar09 BR" xfId="1641"/>
    <cellStyle name="_SBLV YTD Committed CAPEX statistic2006_Updated_CAPEC Rolling Forecast for Mold Renew&amp;Repair&amp;Improve_Jun,2006(Q2)F_New format_SSAM Capex Qct BR_Capex_IT_Mar 09 BR_plant" xfId="1642"/>
    <cellStyle name="_SBLV YTD Committed CAPEX statistic2006_Updated_CAPEC Rolling Forecast for Mold Renew&amp;Repair&amp;Improve_Jun,2006(Q2)F_New format_SSAM Capex Qct BR_Capex_MM_Mar 09 BR_TF_Facility" xfId="1643"/>
    <cellStyle name="_SBLV YTD Committed CAPEX statistic2006_Updated_CAPEC Rolling Forecast for Mold Renew&amp;Repair&amp;Improve_Jun,2006(Q2)F_New format_SSAM Capex Qct BR_Capex_Mold_Mar 09 BR" xfId="1644"/>
    <cellStyle name="_SBLV YTD Committed CAPEX statistic2006_Updated_CAPEC Rolling Forecast for Mold Renew&amp;Repair&amp;Improve_Jun,2006(Q2)F_New format_SSAM Capex Qct BR_Capex_Tool_Apr08 BR" xfId="1645"/>
    <cellStyle name="_SBLV YTD Committed CAPEX statistic2006_Updated_CAPEC Rolling Forecast for Mold Renew&amp;Repair&amp;Improve_Jun,2006(Q2)F_New format_SSAM Capex Qct BR_Dept. CAPEX Rolling forecast_Jan 08BR-1" xfId="1646"/>
    <cellStyle name="_SBLV YTD Committed CAPEX statistic2006_Updated_CAPEC Rolling Forecast for Mold Renew&amp;Repair&amp;Improve_Jun,2006(Q2)F_New format_SSAM Capex Qct BR_Industrialization CAPEX Forecast-Q1'08-rev1" xfId="1647"/>
    <cellStyle name="_SBLV YTD Committed CAPEX statistic2006_Updated_CAPEC Rolling Forecast for Mold Renew&amp;Repair&amp;Improve_Jun,2006(Q2)F_New format_SSAM Capex Qct BR_Industrialization CAPEX Forecast-Q2'08-rev3" xfId="1648"/>
    <cellStyle name="_SBLV YTD Committed CAPEX statistic2006_Updated_CAPEC Rolling Forecast for Mold Renew&amp;Repair&amp;Improve_Jun,2006(Q2)F_New format_SSAM Capex Qct BR_Industrialization CAPEX Forecast-Q3'08" xfId="1649"/>
    <cellStyle name="_SBLV YTD Committed CAPEX statistic2006_Updated_CAPEC Rolling Forecast for Mold Renew&amp;Repair&amp;Improve_Jun,2006(Q2)F_New format_SSAM Capex Qct BR_Industrialization CAPEX Forecast-Q4'08-20081210" xfId="1650"/>
    <cellStyle name="_SBLV YTD Committed CAPEX statistic2006_Updated_CAPEC Rolling Forecast for Mold Renew&amp;Repair&amp;Improve_Jun,2006(Q2)F_New format_SSAM Capex Qct BR_Industrialization CAPEX Forecast-Q4'08-20081220" xfId="1651"/>
    <cellStyle name="_SBLV YTD Committed CAPEX statistic2006_Updated_CAPEC Rolling Forecast for Mold Renew&amp;Repair&amp;Improve_Jun,2006(Q2)F_New format_SSAM Capex Qct BR_industrilization capex_Mar09BR-20090313" xfId="1652"/>
    <cellStyle name="_SBLV YTD Committed CAPEX statistic2006_Updated_CAPEC Rolling Forecast for Mold Renew&amp;Repair&amp;Improve_Jun,2006(Q2)F_New format_SSAM Capex Qct BR_SSAM Capex Dec 08 BR_Plant Dec 4" xfId="1653"/>
    <cellStyle name="_SBLV YTD Committed CAPEX statistic2006_Updated_CAPEC Rolling Forecast for Mold Renew&amp;Repair&amp;Improve_Jun,2006(Q2)F_New format_SSAM Capex Qct BR_SSAM Capex Jun08 BR_Plant  Jun 10" xfId="1654"/>
    <cellStyle name="_SBLV YTD Committed CAPEX statistic2006_Updated_CAPEC Rolling Forecast for Mold Renew&amp;Repair&amp;Improve_Jun,2006(Q2)F_New format_SSAM Capex Qct BR_SSAM Capex Sept 08 BR_Plant Sept 2" xfId="1655"/>
    <cellStyle name="_SBLV YTD Committed CAPEX statistic2006_Updated_CAPEX - IT_ Jan 08BR" xfId="1656"/>
    <cellStyle name="_SBLV YTD Committed CAPEX statistic2006_Updated_Capex commit discloure_200710 v2" xfId="1657"/>
    <cellStyle name="_SBLV YTD Committed CAPEX statistic2006_Updated_CAPEX Rolling Forecast for building extend project- TF 2009 03 16" xfId="1658"/>
    <cellStyle name="_SBLV YTD Committed CAPEX statistic2006_Updated_CAPEX Rolling Forecast for Mold_ Jan 08BR" xfId="1659"/>
    <cellStyle name="_SBLV YTD Committed CAPEX statistic2006_Updated_CAPEX Rolling Forecast forSSAM extend project &amp; TF 2007 11 19MYP" xfId="1660"/>
    <cellStyle name="_SBLV YTD Committed CAPEX statistic2006_Updated_Capex_Dept_Mar09 BR" xfId="1661"/>
    <cellStyle name="_SBLV YTD Committed CAPEX statistic2006_Updated_Capex_IT_Mar 09 BR_plant" xfId="1662"/>
    <cellStyle name="_SBLV YTD Committed CAPEX statistic2006_Updated_Capex_MM_Mar 09 BR_TF_Facility" xfId="1663"/>
    <cellStyle name="_SBLV YTD Committed CAPEX statistic2006_Updated_Capex_Mold_Localization_Q2'07_20070611_SSAM" xfId="1664"/>
    <cellStyle name="_SBLV YTD Committed CAPEX statistic2006_Updated_Capex_Mold_Localization_Q2'07_20070611_SSAM_Capex commit discloure_200710 v2" xfId="1665"/>
    <cellStyle name="_SBLV YTD Committed CAPEX statistic2006_Updated_Capex_Mold_Localization_Q2'07_20070611_SSAM_SSAM Capex Qct BR" xfId="1666"/>
    <cellStyle name="_SBLV YTD Committed CAPEX statistic2006_Updated_Capex_Mold_Localization_Q2'07_20070611_SSAM_SSAM Capex Qct BR_1.Industrialization CAPEX Forecast-Q4'08-20081220" xfId="1667"/>
    <cellStyle name="_SBLV YTD Committed CAPEX statistic2006_Updated_Capex_Mold_Localization_Q2'07_20070611_SSAM_SSAM Capex Qct BR_2008Capex  forecast CBN" xfId="1668"/>
    <cellStyle name="_SBLV YTD Committed CAPEX statistic2006_Updated_Capex_Mold_Localization_Q2'07_20070611_SSAM_SSAM Capex Qct BR_Book1" xfId="1669"/>
    <cellStyle name="_SBLV YTD Committed CAPEX statistic2006_Updated_Capex_Mold_Localization_Q2'07_20070611_SSAM_SSAM Capex Qct BR_BR Capex &amp; expenses_Purchasing Project_20080616" xfId="1670"/>
    <cellStyle name="_SBLV YTD Committed CAPEX statistic2006_Updated_Capex_Mold_Localization_Q2'07_20070611_SSAM_SSAM Capex Qct BR_CAPEX - IT_ Jan 08BR" xfId="1671"/>
    <cellStyle name="_SBLV YTD Committed CAPEX statistic2006_Updated_Capex_Mold_Localization_Q2'07_20070611_SSAM_SSAM Capex Qct BR_CAPEX Rolling Forecast for building extend project- TF 2009 03 16" xfId="1672"/>
    <cellStyle name="_SBLV YTD Committed CAPEX statistic2006_Updated_Capex_Mold_Localization_Q2'07_20070611_SSAM_SSAM Capex Qct BR_CAPEX Rolling Forecast for Mold_ Jan 08BR" xfId="1673"/>
    <cellStyle name="_SBLV YTD Committed CAPEX statistic2006_Updated_Capex_Mold_Localization_Q2'07_20070611_SSAM_SSAM Capex Qct BR_Capex_Dept_Mar09 BR" xfId="1674"/>
    <cellStyle name="_SBLV YTD Committed CAPEX statistic2006_Updated_Capex_Mold_Localization_Q2'07_20070611_SSAM_SSAM Capex Qct BR_Capex_IT_Mar 09 BR_plant" xfId="1675"/>
    <cellStyle name="_SBLV YTD Committed CAPEX statistic2006_Updated_Capex_Mold_Localization_Q2'07_20070611_SSAM_SSAM Capex Qct BR_Capex_MM_Mar 09 BR_TF_Facility" xfId="1676"/>
    <cellStyle name="_SBLV YTD Committed CAPEX statistic2006_Updated_Capex_Mold_Localization_Q2'07_20070611_SSAM_SSAM Capex Qct BR_Capex_Mold_Mar 09 BR" xfId="1677"/>
    <cellStyle name="_SBLV YTD Committed CAPEX statistic2006_Updated_Capex_Mold_Localization_Q2'07_20070611_SSAM_SSAM Capex Qct BR_Capex_Tool_Apr08 BR" xfId="1678"/>
    <cellStyle name="_SBLV YTD Committed CAPEX statistic2006_Updated_Capex_Mold_Localization_Q2'07_20070611_SSAM_SSAM Capex Qct BR_Dept. CAPEX Rolling forecast_Jan 08BR-1" xfId="1679"/>
    <cellStyle name="_SBLV YTD Committed CAPEX statistic2006_Updated_Capex_Mold_Localization_Q2'07_20070611_SSAM_SSAM Capex Qct BR_Industrialization CAPEX Forecast-Q1'08-rev1" xfId="1680"/>
    <cellStyle name="_SBLV YTD Committed CAPEX statistic2006_Updated_Capex_Mold_Localization_Q2'07_20070611_SSAM_SSAM Capex Qct BR_Industrialization CAPEX Forecast-Q2'08-rev3" xfId="1681"/>
    <cellStyle name="_SBLV YTD Committed CAPEX statistic2006_Updated_Capex_Mold_Localization_Q2'07_20070611_SSAM_SSAM Capex Qct BR_Industrialization CAPEX Forecast-Q3'08" xfId="1682"/>
    <cellStyle name="_SBLV YTD Committed CAPEX statistic2006_Updated_Capex_Mold_Localization_Q2'07_20070611_SSAM_SSAM Capex Qct BR_Industrialization CAPEX Forecast-Q4'08-20081210" xfId="1683"/>
    <cellStyle name="_SBLV YTD Committed CAPEX statistic2006_Updated_Capex_Mold_Localization_Q2'07_20070611_SSAM_SSAM Capex Qct BR_Industrialization CAPEX Forecast-Q4'08-20081220" xfId="1684"/>
    <cellStyle name="_SBLV YTD Committed CAPEX statistic2006_Updated_Capex_Mold_Localization_Q2'07_20070611_SSAM_SSAM Capex Qct BR_industrilization capex_Mar09BR-20090313" xfId="1685"/>
    <cellStyle name="_SBLV YTD Committed CAPEX statistic2006_Updated_Capex_Mold_Localization_Q2'07_20070611_SSAM_SSAM Capex Qct BR_SSAM Capex Dec 08 BR_Plant Dec 4" xfId="1686"/>
    <cellStyle name="_SBLV YTD Committed CAPEX statistic2006_Updated_Capex_Mold_Localization_Q2'07_20070611_SSAM_SSAM Capex Qct BR_SSAM Capex Jun08 BR_Plant  Jun 10" xfId="1687"/>
    <cellStyle name="_SBLV YTD Committed CAPEX statistic2006_Updated_Capex_Mold_Localization_Q2'07_20070611_SSAM_SSAM Capex Qct BR_SSAM Capex Sept 08 BR_Plant Sept 2" xfId="1688"/>
    <cellStyle name="_SBLV YTD Committed CAPEX statistic2006_Updated_Capex_Mold_Localization_Q3'06(Dec.4)" xfId="1689"/>
    <cellStyle name="_SBLV YTD Committed CAPEX statistic2006_Updated_Capex_Mold_Localization_Q3'06(Dec.4)_1.Industrialization CAPEX Forecast-Q4'08-20081220" xfId="1690"/>
    <cellStyle name="_SBLV YTD Committed CAPEX statistic2006_Updated_Capex_Mold_Localization_Q3'06(Dec.4)_200803" xfId="1691"/>
    <cellStyle name="_SBLV YTD Committed CAPEX statistic2006_Updated_Capex_Mold_Localization_Q3'06(Dec.4)_200811 Capex input form-actual(China TAF)" xfId="1692"/>
    <cellStyle name="_SBLV YTD Committed CAPEX statistic2006_Updated_Capex_Mold_Localization_Q3'06(Dec.4)_2008Capex  forecast CBN" xfId="1693"/>
    <cellStyle name="_SBLV YTD Committed CAPEX statistic2006_Updated_Capex_Mold_Localization_Q3'06(Dec.4)_Book1" xfId="1694"/>
    <cellStyle name="_SBLV YTD Committed CAPEX statistic2006_Updated_Capex_Mold_Localization_Q3'06(Dec.4)_BR Capex &amp; expenses_Purchasing Project_20080616" xfId="1695"/>
    <cellStyle name="_SBLV YTD Committed CAPEX statistic2006_Updated_Capex_Mold_Localization_Q3'06(Dec.4)_CAPEC Rolling Forecast for Mold Renew&amp;Repair&amp;Improve_Jun,2006(Q2)F_New format" xfId="1696"/>
    <cellStyle name="_SBLV YTD Committed CAPEX statistic2006_Updated_Capex_Mold_Localization_Q3'06(Dec.4)_CAPEC Rolling Forecast for Mold Renew&amp;Repair&amp;Improve_Jun,2006(Q2)F_New format_Capex commit discloure_200710 v2" xfId="1697"/>
    <cellStyle name="_SBLV YTD Committed CAPEX statistic2006_Updated_Capex_Mold_Localization_Q3'06(Dec.4)_CAPEC Rolling Forecast for Mold Renew&amp;Repair&amp;Improve_Jun,2006(Q2)F_New format_SSAM Capex Qct BR" xfId="1698"/>
    <cellStyle name="_SBLV YTD Committed CAPEX statistic2006_Updated_Capex_Mold_Localization_Q3'06(Dec.4)_CAPEC Rolling Forecast for Mold Renew&amp;Repair&amp;Improve_Jun,2006(Q2)F_New format_SSAM Capex Qct BR_1.Industrialization CAPEX Forecast-Q4'08-20081220" xfId="1699"/>
    <cellStyle name="_SBLV YTD Committed CAPEX statistic2006_Updated_Capex_Mold_Localization_Q3'06(Dec.4)_CAPEC Rolling Forecast for Mold Renew&amp;Repair&amp;Improve_Jun,2006(Q2)F_New format_SSAM Capex Qct BR_2008Capex  forecast CBN" xfId="1700"/>
    <cellStyle name="_SBLV YTD Committed CAPEX statistic2006_Updated_Capex_Mold_Localization_Q3'06(Dec.4)_CAPEC Rolling Forecast for Mold Renew&amp;Repair&amp;Improve_Jun,2006(Q2)F_New format_SSAM Capex Qct BR_Book1" xfId="1701"/>
    <cellStyle name="_SBLV YTD Committed CAPEX statistic2006_Updated_Capex_Mold_Localization_Q3'06(Dec.4)_CAPEC Rolling Forecast for Mold Renew&amp;Repair&amp;Improve_Jun,2006(Q2)F_New format_SSAM Capex Qct BR_BR Capex &amp; expenses_Purchasing Project_20080616" xfId="1702"/>
    <cellStyle name="_SBLV YTD Committed CAPEX statistic2006_Updated_Capex_Mold_Localization_Q3'06(Dec.4)_CAPEC Rolling Forecast for Mold Renew&amp;Repair&amp;Improve_Jun,2006(Q2)F_New format_SSAM Capex Qct BR_CAPEX - IT_ Jan 08BR" xfId="1703"/>
    <cellStyle name="_SBLV YTD Committed CAPEX statistic2006_Updated_Capex_Mold_Localization_Q3'06(Dec.4)_CAPEC Rolling Forecast for Mold Renew&amp;Repair&amp;Improve_Jun,2006(Q2)F_New format_SSAM Capex Qct BR_CAPEX Rolling Forecast for building extend project- TF 2009 03 16" xfId="1704"/>
    <cellStyle name="_SBLV YTD Committed CAPEX statistic2006_Updated_Capex_Mold_Localization_Q3'06(Dec.4)_CAPEC Rolling Forecast for Mold Renew&amp;Repair&amp;Improve_Jun,2006(Q2)F_New format_SSAM Capex Qct BR_CAPEX Rolling Forecast for Mold_ Jan 08BR" xfId="1705"/>
    <cellStyle name="_SBLV YTD Committed CAPEX statistic2006_Updated_Capex_Mold_Localization_Q3'06(Dec.4)_CAPEC Rolling Forecast for Mold Renew&amp;Repair&amp;Improve_Jun,2006(Q2)F_New format_SSAM Capex Qct BR_Capex_Dept_Mar09 BR" xfId="1706"/>
    <cellStyle name="_SBLV YTD Committed CAPEX statistic2006_Updated_Capex_Mold_Localization_Q3'06(Dec.4)_CAPEC Rolling Forecast for Mold Renew&amp;Repair&amp;Improve_Jun,2006(Q2)F_New format_SSAM Capex Qct BR_Capex_IT_Mar 09 BR_plant" xfId="1707"/>
    <cellStyle name="_SBLV YTD Committed CAPEX statistic2006_Updated_Capex_Mold_Localization_Q3'06(Dec.4)_CAPEC Rolling Forecast for Mold Renew&amp;Repair&amp;Improve_Jun,2006(Q2)F_New format_SSAM Capex Qct BR_Capex_MM_Mar 09 BR_TF_Facility" xfId="1708"/>
    <cellStyle name="_SBLV YTD Committed CAPEX statistic2006_Updated_Capex_Mold_Localization_Q3'06(Dec.4)_CAPEC Rolling Forecast for Mold Renew&amp;Repair&amp;Improve_Jun,2006(Q2)F_New format_SSAM Capex Qct BR_Capex_Mold_Mar 09 BR" xfId="1709"/>
    <cellStyle name="_SBLV YTD Committed CAPEX statistic2006_Updated_Capex_Mold_Localization_Q3'06(Dec.4)_CAPEC Rolling Forecast for Mold Renew&amp;Repair&amp;Improve_Jun,2006(Q2)F_New format_SSAM Capex Qct BR_Capex_Tool_Apr08 BR" xfId="1710"/>
    <cellStyle name="_SBLV YTD Committed CAPEX statistic2006_Updated_Capex_Mold_Localization_Q3'06(Dec.4)_CAPEC Rolling Forecast for Mold Renew&amp;Repair&amp;Improve_Jun,2006(Q2)F_New format_SSAM Capex Qct BR_Dept. CAPEX Rolling forecast_Jan 08BR-1" xfId="1711"/>
    <cellStyle name="_SBLV YTD Committed CAPEX statistic2006_Updated_Capex_Mold_Localization_Q3'06(Dec.4)_CAPEC Rolling Forecast for Mold Renew&amp;Repair&amp;Improve_Jun,2006(Q2)F_New format_SSAM Capex Qct BR_Industrialization CAPEX Forecast-Q1'08-rev1" xfId="1712"/>
    <cellStyle name="_SBLV YTD Committed CAPEX statistic2006_Updated_Capex_Mold_Localization_Q3'06(Dec.4)_CAPEC Rolling Forecast for Mold Renew&amp;Repair&amp;Improve_Jun,2006(Q2)F_New format_SSAM Capex Qct BR_Industrialization CAPEX Forecast-Q2'08-rev3" xfId="1713"/>
    <cellStyle name="_SBLV YTD Committed CAPEX statistic2006_Updated_Capex_Mold_Localization_Q3'06(Dec.4)_CAPEC Rolling Forecast for Mold Renew&amp;Repair&amp;Improve_Jun,2006(Q2)F_New format_SSAM Capex Qct BR_Industrialization CAPEX Forecast-Q3'08" xfId="1714"/>
    <cellStyle name="_SBLV YTD Committed CAPEX statistic2006_Updated_Capex_Mold_Localization_Q3'06(Dec.4)_CAPEC Rolling Forecast for Mold Renew&amp;Repair&amp;Improve_Jun,2006(Q2)F_New format_SSAM Capex Qct BR_Industrialization CAPEX Forecast-Q4'08-20081210" xfId="1715"/>
    <cellStyle name="_SBLV YTD Committed CAPEX statistic2006_Updated_Capex_Mold_Localization_Q3'06(Dec.4)_CAPEC Rolling Forecast for Mold Renew&amp;Repair&amp;Improve_Jun,2006(Q2)F_New format_SSAM Capex Qct BR_Industrialization CAPEX Forecast-Q4'08-20081220" xfId="1716"/>
    <cellStyle name="_SBLV YTD Committed CAPEX statistic2006_Updated_Capex_Mold_Localization_Q3'06(Dec.4)_CAPEC Rolling Forecast for Mold Renew&amp;Repair&amp;Improve_Jun,2006(Q2)F_New format_SSAM Capex Qct BR_industrilization capex_Mar09BR-20090313" xfId="1717"/>
    <cellStyle name="_SBLV YTD Committed CAPEX statistic2006_Updated_Capex_Mold_Localization_Q3'06(Dec.4)_CAPEC Rolling Forecast for Mold Renew&amp;Repair&amp;Improve_Jun,2006(Q2)F_New format_SSAM Capex Qct BR_SSAM Capex Dec 08 BR_Plant Dec 4" xfId="1718"/>
    <cellStyle name="_SBLV YTD Committed CAPEX statistic2006_Updated_Capex_Mold_Localization_Q3'06(Dec.4)_CAPEC Rolling Forecast for Mold Renew&amp;Repair&amp;Improve_Jun,2006(Q2)F_New format_SSAM Capex Qct BR_SSAM Capex Jun08 BR_Plant  Jun 10" xfId="1719"/>
    <cellStyle name="_SBLV YTD Committed CAPEX statistic2006_Updated_Capex_Mold_Localization_Q3'06(Dec.4)_CAPEC Rolling Forecast for Mold Renew&amp;Repair&amp;Improve_Jun,2006(Q2)F_New format_SSAM Capex Qct BR_SSAM Capex Sept 08 BR_Plant Sept 2" xfId="1720"/>
    <cellStyle name="_SBLV YTD Committed CAPEX statistic2006_Updated_Capex_Mold_Localization_Q3'06(Dec.4)_CAPEX - IT_ Jan 08BR" xfId="1721"/>
    <cellStyle name="_SBLV YTD Committed CAPEX statistic2006_Updated_Capex_Mold_Localization_Q3'06(Dec.4)_Capex commit discloure_200710 v2" xfId="1722"/>
    <cellStyle name="_SBLV YTD Committed CAPEX statistic2006_Updated_Capex_Mold_Localization_Q3'06(Dec.4)_CAPEX Rolling Forecast for building extend project- TF 2009 03 16" xfId="1723"/>
    <cellStyle name="_SBLV YTD Committed CAPEX statistic2006_Updated_Capex_Mold_Localization_Q3'06(Dec.4)_CAPEX Rolling Forecast for Mold_ Jan 08BR" xfId="1724"/>
    <cellStyle name="_SBLV YTD Committed CAPEX statistic2006_Updated_Capex_Mold_Localization_Q3'06(Dec.4)_Capex_Dept_Mar09 BR" xfId="1725"/>
    <cellStyle name="_SBLV YTD Committed CAPEX statistic2006_Updated_Capex_Mold_Localization_Q3'06(Dec.4)_Capex_IT_Mar 09 BR_plant" xfId="1726"/>
    <cellStyle name="_SBLV YTD Committed CAPEX statistic2006_Updated_Capex_Mold_Localization_Q3'06(Dec.4)_Capex_MM_Mar 09 BR_TF_Facility" xfId="1727"/>
    <cellStyle name="_SBLV YTD Committed CAPEX statistic2006_Updated_Capex_Mold_Localization_Q3'06(Dec.4)_Capex_Mold_Localization_Q2'07_20070611_SSAM" xfId="1728"/>
    <cellStyle name="_SBLV YTD Committed CAPEX statistic2006_Updated_Capex_Mold_Localization_Q3'06(Dec.4)_Capex_Mold_Localization_Q2'07_20070611_SSAM_Capex commit discloure_200710 v2" xfId="1729"/>
    <cellStyle name="_SBLV YTD Committed CAPEX statistic2006_Updated_Capex_Mold_Localization_Q3'06(Dec.4)_Capex_Mold_Localization_Q2'07_20070611_SSAM_SSAM Capex Qct BR" xfId="1730"/>
    <cellStyle name="_SBLV YTD Committed CAPEX statistic2006_Updated_Capex_Mold_Localization_Q3'06(Dec.4)_Capex_Mold_Localization_Q2'07_20070611_SSAM_SSAM Capex Qct BR_1.Industrialization CAPEX Forecast-Q4'08-20081220" xfId="1731"/>
    <cellStyle name="_SBLV YTD Committed CAPEX statistic2006_Updated_Capex_Mold_Localization_Q3'06(Dec.4)_Capex_Mold_Localization_Q2'07_20070611_SSAM_SSAM Capex Qct BR_2008Capex  forecast CBN" xfId="1732"/>
    <cellStyle name="_SBLV YTD Committed CAPEX statistic2006_Updated_Capex_Mold_Localization_Q3'06(Dec.4)_Capex_Mold_Localization_Q2'07_20070611_SSAM_SSAM Capex Qct BR_Book1" xfId="1733"/>
    <cellStyle name="_SBLV YTD Committed CAPEX statistic2006_Updated_Capex_Mold_Localization_Q3'06(Dec.4)_Capex_Mold_Localization_Q2'07_20070611_SSAM_SSAM Capex Qct BR_BR Capex &amp; expenses_Purchasing Project_20080616" xfId="1734"/>
    <cellStyle name="_SBLV YTD Committed CAPEX statistic2006_Updated_Capex_Mold_Localization_Q3'06(Dec.4)_Capex_Mold_Localization_Q2'07_20070611_SSAM_SSAM Capex Qct BR_CAPEX - IT_ Jan 08BR" xfId="1735"/>
    <cellStyle name="_SBLV YTD Committed CAPEX statistic2006_Updated_Capex_Mold_Localization_Q3'06(Dec.4)_Capex_Mold_Localization_Q2'07_20070611_SSAM_SSAM Capex Qct BR_CAPEX Rolling Forecast for building extend project- TF 2009 03 16" xfId="1736"/>
    <cellStyle name="_SBLV YTD Committed CAPEX statistic2006_Updated_Capex_Mold_Localization_Q3'06(Dec.4)_Capex_Mold_Localization_Q2'07_20070611_SSAM_SSAM Capex Qct BR_CAPEX Rolling Forecast for Mold_ Jan 08BR" xfId="1737"/>
    <cellStyle name="_SBLV YTD Committed CAPEX statistic2006_Updated_Capex_Mold_Localization_Q3'06(Dec.4)_Capex_Mold_Localization_Q2'07_20070611_SSAM_SSAM Capex Qct BR_Capex_Dept_Mar09 BR" xfId="1738"/>
    <cellStyle name="_SBLV YTD Committed CAPEX statistic2006_Updated_Capex_Mold_Localization_Q3'06(Dec.4)_Capex_Mold_Localization_Q2'07_20070611_SSAM_SSAM Capex Qct BR_Capex_IT_Mar 09 BR_plant" xfId="1739"/>
    <cellStyle name="_SBLV YTD Committed CAPEX statistic2006_Updated_Capex_Mold_Localization_Q3'06(Dec.4)_Capex_Mold_Localization_Q2'07_20070611_SSAM_SSAM Capex Qct BR_Capex_MM_Mar 09 BR_TF_Facility" xfId="1740"/>
    <cellStyle name="_SBLV YTD Committed CAPEX statistic2006_Updated_Capex_Mold_Localization_Q3'06(Dec.4)_Capex_Mold_Localization_Q2'07_20070611_SSAM_SSAM Capex Qct BR_Capex_Mold_Mar 09 BR" xfId="1741"/>
    <cellStyle name="_SBLV YTD Committed CAPEX statistic2006_Updated_Capex_Mold_Localization_Q3'06(Dec.4)_Capex_Mold_Localization_Q2'07_20070611_SSAM_SSAM Capex Qct BR_Capex_Tool_Apr08 BR" xfId="1742"/>
    <cellStyle name="_SBLV YTD Committed CAPEX statistic2006_Updated_Capex_Mold_Localization_Q3'06(Dec.4)_Capex_Mold_Localization_Q2'07_20070611_SSAM_SSAM Capex Qct BR_Dept. CAPEX Rolling forecast_Jan 08BR-1" xfId="1743"/>
    <cellStyle name="_SBLV YTD Committed CAPEX statistic2006_Updated_Capex_Mold_Localization_Q3'06(Dec.4)_Capex_Mold_Localization_Q2'07_20070611_SSAM_SSAM Capex Qct BR_Industrialization CAPEX Forecast-Q1'08-rev1" xfId="1744"/>
    <cellStyle name="_SBLV YTD Committed CAPEX statistic2006_Updated_Capex_Mold_Localization_Q3'06(Dec.4)_Capex_Mold_Localization_Q2'07_20070611_SSAM_SSAM Capex Qct BR_Industrialization CAPEX Forecast-Q2'08-rev3" xfId="1745"/>
    <cellStyle name="_SBLV YTD Committed CAPEX statistic2006_Updated_Capex_Mold_Localization_Q3'06(Dec.4)_Capex_Mold_Localization_Q2'07_20070611_SSAM_SSAM Capex Qct BR_Industrialization CAPEX Forecast-Q3'08" xfId="1746"/>
    <cellStyle name="_SBLV YTD Committed CAPEX statistic2006_Updated_Capex_Mold_Localization_Q3'06(Dec.4)_Capex_Mold_Localization_Q2'07_20070611_SSAM_SSAM Capex Qct BR_Industrialization CAPEX Forecast-Q4'08-20081210" xfId="1747"/>
    <cellStyle name="_SBLV YTD Committed CAPEX statistic2006_Updated_Capex_Mold_Localization_Q3'06(Dec.4)_Capex_Mold_Localization_Q2'07_20070611_SSAM_SSAM Capex Qct BR_Industrialization CAPEX Forecast-Q4'08-20081220" xfId="1748"/>
    <cellStyle name="_SBLV YTD Committed CAPEX statistic2006_Updated_Capex_Mold_Localization_Q3'06(Dec.4)_Capex_Mold_Localization_Q2'07_20070611_SSAM_SSAM Capex Qct BR_industrilization capex_Mar09BR-20090313" xfId="1749"/>
    <cellStyle name="_SBLV YTD Committed CAPEX statistic2006_Updated_Capex_Mold_Localization_Q3'06(Dec.4)_Capex_Mold_Localization_Q2'07_20070611_SSAM_SSAM Capex Qct BR_SSAM Capex Dec 08 BR_Plant Dec 4" xfId="1750"/>
    <cellStyle name="_SBLV YTD Committed CAPEX statistic2006_Updated_Capex_Mold_Localization_Q3'06(Dec.4)_Capex_Mold_Localization_Q2'07_20070611_SSAM_SSAM Capex Qct BR_SSAM Capex Jun08 BR_Plant  Jun 10" xfId="1751"/>
    <cellStyle name="_SBLV YTD Committed CAPEX statistic2006_Updated_Capex_Mold_Localization_Q3'06(Dec.4)_Capex_Mold_Localization_Q2'07_20070611_SSAM_SSAM Capex Qct BR_SSAM Capex Sept 08 BR_Plant Sept 2" xfId="1752"/>
    <cellStyle name="_SBLV YTD Committed CAPEX statistic2006_Updated_Capex_Mold_Localization_Q3'06(Dec.4)_Capex_Mold_Mar 09 BR" xfId="1753"/>
    <cellStyle name="_SBLV YTD Committed CAPEX statistic2006_Updated_Capex_Mold_Localization_Q3'06(Dec.4)_Capex_Tool_Apr08 BR" xfId="1754"/>
    <cellStyle name="_SBLV YTD Committed CAPEX statistic2006_Updated_Capex_Mold_Localization_Q3'06(Dec.4)_Dept. CAPEX Rolling forecast_Jan 08BR-1" xfId="1755"/>
    <cellStyle name="_SBLV YTD Committed CAPEX statistic2006_Updated_Capex_Mold_Localization_Q3'06(Dec.4)_Industrialization CAPEX Forecast-Q1'08-rev1" xfId="1756"/>
    <cellStyle name="_SBLV YTD Committed CAPEX statistic2006_Updated_Capex_Mold_Localization_Q3'06(Dec.4)_Industrialization CAPEX Forecast-Q2'08-rev3" xfId="1757"/>
    <cellStyle name="_SBLV YTD Committed CAPEX statistic2006_Updated_Capex_Mold_Localization_Q3'06(Dec.4)_Industrialization CAPEX Forecast-Q3'08" xfId="1758"/>
    <cellStyle name="_SBLV YTD Committed CAPEX statistic2006_Updated_Capex_Mold_Localization_Q3'06(Dec.4)_Industrialization CAPEX Forecast-Q4'08-20081210" xfId="1759"/>
    <cellStyle name="_SBLV YTD Committed CAPEX statistic2006_Updated_Capex_Mold_Localization_Q3'06(Dec.4)_Industrialization CAPEX Forecast-Q4'08-20081220" xfId="1760"/>
    <cellStyle name="_SBLV YTD Committed CAPEX statistic2006_Updated_Capex_Mold_Localization_Q3'06(Dec.4)_industrilization capex_Mar09BR-20090313" xfId="1761"/>
    <cellStyle name="_SBLV YTD Committed CAPEX statistic2006_Updated_Capex_Mold_Localization_Q3'06(Dec.4)_SSAM Capex Dec 08 BR_Plant Dec 4" xfId="1762"/>
    <cellStyle name="_SBLV YTD Committed CAPEX statistic2006_Updated_Capex_Mold_Localization_Q3'06(Dec.4)_SSAM Capex Jun08 BR_Plant  Jun 10" xfId="1763"/>
    <cellStyle name="_SBLV YTD Committed CAPEX statistic2006_Updated_Capex_Mold_Localization_Q3'06(Dec.4)_SSAM Capex Q2'07 IBR" xfId="1764"/>
    <cellStyle name="_SBLV YTD Committed CAPEX statistic2006_Updated_Capex_Mold_Localization_Q3'06(Dec.4)_SSAM Capex Q2'07 IBR_Capex commit discloure_200710 v2" xfId="1765"/>
    <cellStyle name="_SBLV YTD Committed CAPEX statistic2006_Updated_Capex_Mold_Localization_Q3'06(Dec.4)_SSAM Capex Q2'07 IBR_SSAM Capex Qct BR" xfId="1766"/>
    <cellStyle name="_SBLV YTD Committed CAPEX statistic2006_Updated_Capex_Mold_Localization_Q3'06(Dec.4)_SSAM Capex Q2'07 IBR_SSAM Capex Qct BR_1.Industrialization CAPEX Forecast-Q4'08-20081220" xfId="1767"/>
    <cellStyle name="_SBLV YTD Committed CAPEX statistic2006_Updated_Capex_Mold_Localization_Q3'06(Dec.4)_SSAM Capex Q2'07 IBR_SSAM Capex Qct BR_2008Capex  forecast CBN" xfId="1768"/>
    <cellStyle name="_SBLV YTD Committed CAPEX statistic2006_Updated_Capex_Mold_Localization_Q3'06(Dec.4)_SSAM Capex Q2'07 IBR_SSAM Capex Qct BR_Book1" xfId="1769"/>
    <cellStyle name="_SBLV YTD Committed CAPEX statistic2006_Updated_Capex_Mold_Localization_Q3'06(Dec.4)_SSAM Capex Q2'07 IBR_SSAM Capex Qct BR_BR Capex &amp; expenses_Purchasing Project_20080616" xfId="1770"/>
    <cellStyle name="_SBLV YTD Committed CAPEX statistic2006_Updated_Capex_Mold_Localization_Q3'06(Dec.4)_SSAM Capex Q2'07 IBR_SSAM Capex Qct BR_CAPEX - IT_ Jan 08BR" xfId="1771"/>
    <cellStyle name="_SBLV YTD Committed CAPEX statistic2006_Updated_Capex_Mold_Localization_Q3'06(Dec.4)_SSAM Capex Q2'07 IBR_SSAM Capex Qct BR_CAPEX Rolling Forecast for building extend project- TF 2009 03 16" xfId="1772"/>
    <cellStyle name="_SBLV YTD Committed CAPEX statistic2006_Updated_Capex_Mold_Localization_Q3'06(Dec.4)_SSAM Capex Q2'07 IBR_SSAM Capex Qct BR_CAPEX Rolling Forecast for Mold_ Jan 08BR" xfId="1773"/>
    <cellStyle name="_SBLV YTD Committed CAPEX statistic2006_Updated_Capex_Mold_Localization_Q3'06(Dec.4)_SSAM Capex Q2'07 IBR_SSAM Capex Qct BR_Capex_Dept_Mar09 BR" xfId="1774"/>
    <cellStyle name="_SBLV YTD Committed CAPEX statistic2006_Updated_Capex_Mold_Localization_Q3'06(Dec.4)_SSAM Capex Q2'07 IBR_SSAM Capex Qct BR_Capex_IT_Mar 09 BR_plant" xfId="1775"/>
    <cellStyle name="_SBLV YTD Committed CAPEX statistic2006_Updated_Capex_Mold_Localization_Q3'06(Dec.4)_SSAM Capex Q2'07 IBR_SSAM Capex Qct BR_Capex_MM_Mar 09 BR_TF_Facility" xfId="1776"/>
    <cellStyle name="_SBLV YTD Committed CAPEX statistic2006_Updated_Capex_Mold_Localization_Q3'06(Dec.4)_SSAM Capex Q2'07 IBR_SSAM Capex Qct BR_Capex_Mold_Mar 09 BR" xfId="1777"/>
    <cellStyle name="_SBLV YTD Committed CAPEX statistic2006_Updated_Capex_Mold_Localization_Q3'06(Dec.4)_SSAM Capex Q2'07 IBR_SSAM Capex Qct BR_Capex_Tool_Apr08 BR" xfId="1778"/>
    <cellStyle name="_SBLV YTD Committed CAPEX statistic2006_Updated_Capex_Mold_Localization_Q3'06(Dec.4)_SSAM Capex Q2'07 IBR_SSAM Capex Qct BR_Dept. CAPEX Rolling forecast_Jan 08BR-1" xfId="1779"/>
    <cellStyle name="_SBLV YTD Committed CAPEX statistic2006_Updated_Capex_Mold_Localization_Q3'06(Dec.4)_SSAM Capex Q2'07 IBR_SSAM Capex Qct BR_Industrialization CAPEX Forecast-Q1'08-rev1" xfId="1780"/>
    <cellStyle name="_SBLV YTD Committed CAPEX statistic2006_Updated_Capex_Mold_Localization_Q3'06(Dec.4)_SSAM Capex Q2'07 IBR_SSAM Capex Qct BR_Industrialization CAPEX Forecast-Q2'08-rev3" xfId="1781"/>
    <cellStyle name="_SBLV YTD Committed CAPEX statistic2006_Updated_Capex_Mold_Localization_Q3'06(Dec.4)_SSAM Capex Q2'07 IBR_SSAM Capex Qct BR_Industrialization CAPEX Forecast-Q3'08" xfId="1782"/>
    <cellStyle name="_SBLV YTD Committed CAPEX statistic2006_Updated_Capex_Mold_Localization_Q3'06(Dec.4)_SSAM Capex Q2'07 IBR_SSAM Capex Qct BR_Industrialization CAPEX Forecast-Q4'08-20081210" xfId="1783"/>
    <cellStyle name="_SBLV YTD Committed CAPEX statistic2006_Updated_Capex_Mold_Localization_Q3'06(Dec.4)_SSAM Capex Q2'07 IBR_SSAM Capex Qct BR_Industrialization CAPEX Forecast-Q4'08-20081220" xfId="1784"/>
    <cellStyle name="_SBLV YTD Committed CAPEX statistic2006_Updated_Capex_Mold_Localization_Q3'06(Dec.4)_SSAM Capex Q2'07 IBR_SSAM Capex Qct BR_industrilization capex_Mar09BR-20090313" xfId="1785"/>
    <cellStyle name="_SBLV YTD Committed CAPEX statistic2006_Updated_Capex_Mold_Localization_Q3'06(Dec.4)_SSAM Capex Q2'07 IBR_SSAM Capex Qct BR_SSAM Capex Dec 08 BR_Plant Dec 4" xfId="1786"/>
    <cellStyle name="_SBLV YTD Committed CAPEX statistic2006_Updated_Capex_Mold_Localization_Q3'06(Dec.4)_SSAM Capex Q2'07 IBR_SSAM Capex Qct BR_SSAM Capex Jun08 BR_Plant  Jun 10" xfId="1787"/>
    <cellStyle name="_SBLV YTD Committed CAPEX statistic2006_Updated_Capex_Mold_Localization_Q3'06(Dec.4)_SSAM Capex Q2'07 IBR_SSAM Capex Qct BR_SSAM Capex Sept 08 BR_Plant Sept 2" xfId="1788"/>
    <cellStyle name="_SBLV YTD Committed CAPEX statistic2006_Updated_Capex_Mold_Localization_Q3'06(Dec.4)_SSAM Capex Q2'07 IBR-update" xfId="1789"/>
    <cellStyle name="_SBLV YTD Committed CAPEX statistic2006_Updated_Capex_Mold_Localization_Q3'06(Dec.4)_SSAM Capex Q2'07 IBR-update_Capex commit discloure_200710 v2" xfId="1790"/>
    <cellStyle name="_SBLV YTD Committed CAPEX statistic2006_Updated_Capex_Mold_Localization_Q3'06(Dec.4)_SSAM Capex Q2'07 IBR-update_SSAM Capex Qct BR" xfId="1791"/>
    <cellStyle name="_SBLV YTD Committed CAPEX statistic2006_Updated_Capex_Mold_Localization_Q3'06(Dec.4)_SSAM Capex Q2'07 IBR-update_SSAM Capex Qct BR_1.Industrialization CAPEX Forecast-Q4'08-20081220" xfId="1792"/>
    <cellStyle name="_SBLV YTD Committed CAPEX statistic2006_Updated_Capex_Mold_Localization_Q3'06(Dec.4)_SSAM Capex Q2'07 IBR-update_SSAM Capex Qct BR_2008Capex  forecast CBN" xfId="1793"/>
    <cellStyle name="_SBLV YTD Committed CAPEX statistic2006_Updated_Capex_Mold_Localization_Q3'06(Dec.4)_SSAM Capex Q2'07 IBR-update_SSAM Capex Qct BR_Book1" xfId="1794"/>
    <cellStyle name="_SBLV YTD Committed CAPEX statistic2006_Updated_Capex_Mold_Localization_Q3'06(Dec.4)_SSAM Capex Q2'07 IBR-update_SSAM Capex Qct BR_BR Capex &amp; expenses_Purchasing Project_20080616" xfId="1795"/>
    <cellStyle name="_SBLV YTD Committed CAPEX statistic2006_Updated_Capex_Mold_Localization_Q3'06(Dec.4)_SSAM Capex Q2'07 IBR-update_SSAM Capex Qct BR_CAPEX - IT_ Jan 08BR" xfId="1796"/>
    <cellStyle name="_SBLV YTD Committed CAPEX statistic2006_Updated_Capex_Mold_Localization_Q3'06(Dec.4)_SSAM Capex Q2'07 IBR-update_SSAM Capex Qct BR_CAPEX Rolling Forecast for building extend project- TF 2009 03 16" xfId="1797"/>
    <cellStyle name="_SBLV YTD Committed CAPEX statistic2006_Updated_Capex_Mold_Localization_Q3'06(Dec.4)_SSAM Capex Q2'07 IBR-update_SSAM Capex Qct BR_CAPEX Rolling Forecast for Mold_ Jan 08BR" xfId="1798"/>
    <cellStyle name="_SBLV YTD Committed CAPEX statistic2006_Updated_Capex_Mold_Localization_Q3'06(Dec.4)_SSAM Capex Q2'07 IBR-update_SSAM Capex Qct BR_Capex_Dept_Mar09 BR" xfId="1799"/>
    <cellStyle name="_SBLV YTD Committed CAPEX statistic2006_Updated_Capex_Mold_Localization_Q3'06(Dec.4)_SSAM Capex Q2'07 IBR-update_SSAM Capex Qct BR_Capex_IT_Mar 09 BR_plant" xfId="1800"/>
    <cellStyle name="_SBLV YTD Committed CAPEX statistic2006_Updated_Capex_Mold_Localization_Q3'06(Dec.4)_SSAM Capex Q2'07 IBR-update_SSAM Capex Qct BR_Capex_MM_Mar 09 BR_TF_Facility" xfId="1801"/>
    <cellStyle name="_SBLV YTD Committed CAPEX statistic2006_Updated_Capex_Mold_Localization_Q3'06(Dec.4)_SSAM Capex Q2'07 IBR-update_SSAM Capex Qct BR_Capex_Mold_Mar 09 BR" xfId="1802"/>
    <cellStyle name="_SBLV YTD Committed CAPEX statistic2006_Updated_Capex_Mold_Localization_Q3'06(Dec.4)_SSAM Capex Q2'07 IBR-update_SSAM Capex Qct BR_Capex_Tool_Apr08 BR" xfId="1803"/>
    <cellStyle name="_SBLV YTD Committed CAPEX statistic2006_Updated_Capex_Mold_Localization_Q3'06(Dec.4)_SSAM Capex Q2'07 IBR-update_SSAM Capex Qct BR_Dept. CAPEX Rolling forecast_Jan 08BR-1" xfId="1804"/>
    <cellStyle name="_SBLV YTD Committed CAPEX statistic2006_Updated_Capex_Mold_Localization_Q3'06(Dec.4)_SSAM Capex Q2'07 IBR-update_SSAM Capex Qct BR_Industrialization CAPEX Forecast-Q1'08-rev1" xfId="1805"/>
    <cellStyle name="_SBLV YTD Committed CAPEX statistic2006_Updated_Capex_Mold_Localization_Q3'06(Dec.4)_SSAM Capex Q2'07 IBR-update_SSAM Capex Qct BR_Industrialization CAPEX Forecast-Q2'08-rev3" xfId="1806"/>
    <cellStyle name="_SBLV YTD Committed CAPEX statistic2006_Updated_Capex_Mold_Localization_Q3'06(Dec.4)_SSAM Capex Q2'07 IBR-update_SSAM Capex Qct BR_Industrialization CAPEX Forecast-Q3'08" xfId="1807"/>
    <cellStyle name="_SBLV YTD Committed CAPEX statistic2006_Updated_Capex_Mold_Localization_Q3'06(Dec.4)_SSAM Capex Q2'07 IBR-update_SSAM Capex Qct BR_Industrialization CAPEX Forecast-Q4'08-20081210" xfId="1808"/>
    <cellStyle name="_SBLV YTD Committed CAPEX statistic2006_Updated_Capex_Mold_Localization_Q3'06(Dec.4)_SSAM Capex Q2'07 IBR-update_SSAM Capex Qct BR_Industrialization CAPEX Forecast-Q4'08-20081220" xfId="1809"/>
    <cellStyle name="_SBLV YTD Committed CAPEX statistic2006_Updated_Capex_Mold_Localization_Q3'06(Dec.4)_SSAM Capex Q2'07 IBR-update_SSAM Capex Qct BR_industrilization capex_Mar09BR-20090313" xfId="1810"/>
    <cellStyle name="_SBLV YTD Committed CAPEX statistic2006_Updated_Capex_Mold_Localization_Q3'06(Dec.4)_SSAM Capex Q2'07 IBR-update_SSAM Capex Qct BR_SSAM Capex Dec 08 BR_Plant Dec 4" xfId="1811"/>
    <cellStyle name="_SBLV YTD Committed CAPEX statistic2006_Updated_Capex_Mold_Localization_Q3'06(Dec.4)_SSAM Capex Q2'07 IBR-update_SSAM Capex Qct BR_SSAM Capex Jun08 BR_Plant  Jun 10" xfId="1812"/>
    <cellStyle name="_SBLV YTD Committed CAPEX statistic2006_Updated_Capex_Mold_Localization_Q3'06(Dec.4)_SSAM Capex Q2'07 IBR-update_SSAM Capex Qct BR_SSAM Capex Sept 08 BR_Plant Sept 2" xfId="1813"/>
    <cellStyle name="_SBLV YTD Committed CAPEX statistic2006_Updated_Capex_Mold_Localization_Q3'06(Dec.4)_SSAM Capex Sept 08 BR_Plant Sept 2" xfId="1814"/>
    <cellStyle name="_SBLV YTD Committed CAPEX statistic2006_Updated_Capex_Mold_Mar 09 BR" xfId="1815"/>
    <cellStyle name="_SBLV YTD Committed CAPEX statistic2006_Updated_Capex_Tool_Apr08 BR" xfId="1816"/>
    <cellStyle name="_SBLV YTD Committed CAPEX statistic2006_Updated_Dept. CAPEX Rolling forecast_Jan 08BR-1" xfId="1817"/>
    <cellStyle name="_SBLV YTD Committed CAPEX statistic2006_Updated_Indiustrialization CAPEX Forecast-Q2'07" xfId="1818"/>
    <cellStyle name="_SBLV YTD Committed CAPEX statistic2006_Updated_Indiustrialization CAPEX Forecast-Q2'07_Capex commit discloure_200710 v2" xfId="1819"/>
    <cellStyle name="_SBLV YTD Committed CAPEX statistic2006_Updated_Indiustrialization CAPEX Forecast-Q2'07_SSAM Capex Qct BR" xfId="1820"/>
    <cellStyle name="_SBLV YTD Committed CAPEX statistic2006_Updated_Indiustrialization CAPEX Forecast-Q2'07_SSAM Capex Qct BR_1.Industrialization CAPEX Forecast-Q4'08-20081220" xfId="1821"/>
    <cellStyle name="_SBLV YTD Committed CAPEX statistic2006_Updated_Indiustrialization CAPEX Forecast-Q2'07_SSAM Capex Qct BR_2008Capex  forecast CBN" xfId="1822"/>
    <cellStyle name="_SBLV YTD Committed CAPEX statistic2006_Updated_Indiustrialization CAPEX Forecast-Q2'07_SSAM Capex Qct BR_Book1" xfId="1823"/>
    <cellStyle name="_SBLV YTD Committed CAPEX statistic2006_Updated_Indiustrialization CAPEX Forecast-Q2'07_SSAM Capex Qct BR_BR Capex &amp; expenses_Purchasing Project_20080616" xfId="1824"/>
    <cellStyle name="_SBLV YTD Committed CAPEX statistic2006_Updated_Indiustrialization CAPEX Forecast-Q2'07_SSAM Capex Qct BR_CAPEX - IT_ Jan 08BR" xfId="1825"/>
    <cellStyle name="_SBLV YTD Committed CAPEX statistic2006_Updated_Indiustrialization CAPEX Forecast-Q2'07_SSAM Capex Qct BR_CAPEX Rolling Forecast for building extend project- TF 2009 03 16" xfId="1826"/>
    <cellStyle name="_SBLV YTD Committed CAPEX statistic2006_Updated_Indiustrialization CAPEX Forecast-Q2'07_SSAM Capex Qct BR_CAPEX Rolling Forecast for Mold_ Jan 08BR" xfId="1827"/>
    <cellStyle name="_SBLV YTD Committed CAPEX statistic2006_Updated_Indiustrialization CAPEX Forecast-Q2'07_SSAM Capex Qct BR_Capex_Dept_Mar09 BR" xfId="1828"/>
    <cellStyle name="_SBLV YTD Committed CAPEX statistic2006_Updated_Indiustrialization CAPEX Forecast-Q2'07_SSAM Capex Qct BR_Capex_IT_Mar 09 BR_plant" xfId="1829"/>
    <cellStyle name="_SBLV YTD Committed CAPEX statistic2006_Updated_Indiustrialization CAPEX Forecast-Q2'07_SSAM Capex Qct BR_Capex_MM_Mar 09 BR_TF_Facility" xfId="1830"/>
    <cellStyle name="_SBLV YTD Committed CAPEX statistic2006_Updated_Indiustrialization CAPEX Forecast-Q2'07_SSAM Capex Qct BR_Capex_Mold_Mar 09 BR" xfId="1831"/>
    <cellStyle name="_SBLV YTD Committed CAPEX statistic2006_Updated_Indiustrialization CAPEX Forecast-Q2'07_SSAM Capex Qct BR_Capex_Tool_Apr08 BR" xfId="1832"/>
    <cellStyle name="_SBLV YTD Committed CAPEX statistic2006_Updated_Indiustrialization CAPEX Forecast-Q2'07_SSAM Capex Qct BR_Dept. CAPEX Rolling forecast_Jan 08BR-1" xfId="1833"/>
    <cellStyle name="_SBLV YTD Committed CAPEX statistic2006_Updated_Indiustrialization CAPEX Forecast-Q2'07_SSAM Capex Qct BR_Industrialization CAPEX Forecast-Q1'08-rev1" xfId="1834"/>
    <cellStyle name="_SBLV YTD Committed CAPEX statistic2006_Updated_Indiustrialization CAPEX Forecast-Q2'07_SSAM Capex Qct BR_Industrialization CAPEX Forecast-Q2'08-rev3" xfId="1835"/>
    <cellStyle name="_SBLV YTD Committed CAPEX statistic2006_Updated_Indiustrialization CAPEX Forecast-Q2'07_SSAM Capex Qct BR_Industrialization CAPEX Forecast-Q3'08" xfId="1836"/>
    <cellStyle name="_SBLV YTD Committed CAPEX statistic2006_Updated_Indiustrialization CAPEX Forecast-Q2'07_SSAM Capex Qct BR_Industrialization CAPEX Forecast-Q4'08-20081210" xfId="1837"/>
    <cellStyle name="_SBLV YTD Committed CAPEX statistic2006_Updated_Indiustrialization CAPEX Forecast-Q2'07_SSAM Capex Qct BR_Industrialization CAPEX Forecast-Q4'08-20081220" xfId="1838"/>
    <cellStyle name="_SBLV YTD Committed CAPEX statistic2006_Updated_Indiustrialization CAPEX Forecast-Q2'07_SSAM Capex Qct BR_industrilization capex_Mar09BR-20090313" xfId="1839"/>
    <cellStyle name="_SBLV YTD Committed CAPEX statistic2006_Updated_Indiustrialization CAPEX Forecast-Q2'07_SSAM Capex Qct BR_SSAM Capex Dec 08 BR_Plant Dec 4" xfId="1840"/>
    <cellStyle name="_SBLV YTD Committed CAPEX statistic2006_Updated_Indiustrialization CAPEX Forecast-Q2'07_SSAM Capex Qct BR_SSAM Capex Jun08 BR_Plant  Jun 10" xfId="1841"/>
    <cellStyle name="_SBLV YTD Committed CAPEX statistic2006_Updated_Indiustrialization CAPEX Forecast-Q2'07_SSAM Capex Qct BR_SSAM Capex Sept 08 BR_Plant Sept 2" xfId="1842"/>
    <cellStyle name="_SBLV YTD Committed CAPEX statistic2006_Updated_Industrialization CAPEX Forecast-Q1'08-rev1" xfId="1843"/>
    <cellStyle name="_SBLV YTD Committed CAPEX statistic2006_Updated_Industrialization CAPEX Forecast-Q2'08-rev3" xfId="1844"/>
    <cellStyle name="_SBLV YTD Committed CAPEX statistic2006_Updated_Industrialization CAPEX Forecast-Q3'08" xfId="1845"/>
    <cellStyle name="_SBLV YTD Committed CAPEX statistic2006_Updated_Industrialization CAPEX Forecast-Q4'08-20081210" xfId="1846"/>
    <cellStyle name="_SBLV YTD Committed CAPEX statistic2006_Updated_Industrialization CAPEX Forecast-Q4'08-20081220" xfId="1847"/>
    <cellStyle name="_SBLV YTD Committed CAPEX statistic2006_Updated_industrilization capex_Mar09BR-20090313" xfId="1848"/>
    <cellStyle name="_SBLV YTD Committed CAPEX statistic2006_Updated_SSAM Capex Dec 08 BR_Plant Dec 4" xfId="1849"/>
    <cellStyle name="_SBLV YTD Committed CAPEX statistic2006_Updated_SSAM Capex Jun08 BR_Plant  Jun 10" xfId="1850"/>
    <cellStyle name="_SBLV YTD Committed CAPEX statistic2006_Updated_SSAM Capex Q2'07 IBR" xfId="1851"/>
    <cellStyle name="_SBLV YTD Committed CAPEX statistic2006_Updated_SSAM Capex Q2'07 IBR_Capex commit discloure_200710 v2" xfId="1852"/>
    <cellStyle name="_SBLV YTD Committed CAPEX statistic2006_Updated_SSAM Capex Q2'07 IBR_SSAM Capex Qct BR" xfId="1853"/>
    <cellStyle name="_SBLV YTD Committed CAPEX statistic2006_Updated_SSAM Capex Q2'07 IBR_SSAM Capex Qct BR_1.Industrialization CAPEX Forecast-Q4'08-20081220" xfId="1854"/>
    <cellStyle name="_SBLV YTD Committed CAPEX statistic2006_Updated_SSAM Capex Q2'07 IBR_SSAM Capex Qct BR_2008Capex  forecast CBN" xfId="1855"/>
    <cellStyle name="_SBLV YTD Committed CAPEX statistic2006_Updated_SSAM Capex Q2'07 IBR_SSAM Capex Qct BR_Book1" xfId="1856"/>
    <cellStyle name="_SBLV YTD Committed CAPEX statistic2006_Updated_SSAM Capex Q2'07 IBR_SSAM Capex Qct BR_BR Capex &amp; expenses_Purchasing Project_20080616" xfId="1857"/>
    <cellStyle name="_SBLV YTD Committed CAPEX statistic2006_Updated_SSAM Capex Q2'07 IBR_SSAM Capex Qct BR_CAPEX - IT_ Jan 08BR" xfId="1858"/>
    <cellStyle name="_SBLV YTD Committed CAPEX statistic2006_Updated_SSAM Capex Q2'07 IBR_SSAM Capex Qct BR_CAPEX Rolling Forecast for building extend project- TF 2009 03 16" xfId="1859"/>
    <cellStyle name="_SBLV YTD Committed CAPEX statistic2006_Updated_SSAM Capex Q2'07 IBR_SSAM Capex Qct BR_CAPEX Rolling Forecast for Mold_ Jan 08BR" xfId="1860"/>
    <cellStyle name="_SBLV YTD Committed CAPEX statistic2006_Updated_SSAM Capex Q2'07 IBR_SSAM Capex Qct BR_Capex_Dept_Mar09 BR" xfId="1861"/>
    <cellStyle name="_SBLV YTD Committed CAPEX statistic2006_Updated_SSAM Capex Q2'07 IBR_SSAM Capex Qct BR_Capex_IT_Mar 09 BR_plant" xfId="1862"/>
    <cellStyle name="_SBLV YTD Committed CAPEX statistic2006_Updated_SSAM Capex Q2'07 IBR_SSAM Capex Qct BR_Capex_MM_Mar 09 BR_TF_Facility" xfId="1863"/>
    <cellStyle name="_SBLV YTD Committed CAPEX statistic2006_Updated_SSAM Capex Q2'07 IBR_SSAM Capex Qct BR_Capex_Mold_Mar 09 BR" xfId="1864"/>
    <cellStyle name="_SBLV YTD Committed CAPEX statistic2006_Updated_SSAM Capex Q2'07 IBR_SSAM Capex Qct BR_Capex_Tool_Apr08 BR" xfId="1865"/>
    <cellStyle name="_SBLV YTD Committed CAPEX statistic2006_Updated_SSAM Capex Q2'07 IBR_SSAM Capex Qct BR_Dept. CAPEX Rolling forecast_Jan 08BR-1" xfId="1866"/>
    <cellStyle name="_SBLV YTD Committed CAPEX statistic2006_Updated_SSAM Capex Q2'07 IBR_SSAM Capex Qct BR_Industrialization CAPEX Forecast-Q1'08-rev1" xfId="1867"/>
    <cellStyle name="_SBLV YTD Committed CAPEX statistic2006_Updated_SSAM Capex Q2'07 IBR_SSAM Capex Qct BR_Industrialization CAPEX Forecast-Q2'08-rev3" xfId="1868"/>
    <cellStyle name="_SBLV YTD Committed CAPEX statistic2006_Updated_SSAM Capex Q2'07 IBR_SSAM Capex Qct BR_Industrialization CAPEX Forecast-Q3'08" xfId="1869"/>
    <cellStyle name="_SBLV YTD Committed CAPEX statistic2006_Updated_SSAM Capex Q2'07 IBR_SSAM Capex Qct BR_Industrialization CAPEX Forecast-Q4'08-20081210" xfId="1870"/>
    <cellStyle name="_SBLV YTD Committed CAPEX statistic2006_Updated_SSAM Capex Q2'07 IBR_SSAM Capex Qct BR_Industrialization CAPEX Forecast-Q4'08-20081220" xfId="1871"/>
    <cellStyle name="_SBLV YTD Committed CAPEX statistic2006_Updated_SSAM Capex Q2'07 IBR_SSAM Capex Qct BR_industrilization capex_Mar09BR-20090313" xfId="1872"/>
    <cellStyle name="_SBLV YTD Committed CAPEX statistic2006_Updated_SSAM Capex Q2'07 IBR_SSAM Capex Qct BR_SSAM Capex Dec 08 BR_Plant Dec 4" xfId="1873"/>
    <cellStyle name="_SBLV YTD Committed CAPEX statistic2006_Updated_SSAM Capex Q2'07 IBR_SSAM Capex Qct BR_SSAM Capex Jun08 BR_Plant  Jun 10" xfId="1874"/>
    <cellStyle name="_SBLV YTD Committed CAPEX statistic2006_Updated_SSAM Capex Q2'07 IBR_SSAM Capex Qct BR_SSAM Capex Sept 08 BR_Plant Sept 2" xfId="1875"/>
    <cellStyle name="_SBLV YTD Committed CAPEX statistic2006_Updated_SSAM Capex Q2'07 IBR-update" xfId="1876"/>
    <cellStyle name="_SBLV YTD Committed CAPEX statistic2006_Updated_SSAM Capex Q2'07 IBR-update_Capex commit discloure_200710 v2" xfId="1877"/>
    <cellStyle name="_SBLV YTD Committed CAPEX statistic2006_Updated_SSAM Capex Q2'07 IBR-update_SSAM Capex Qct BR" xfId="1878"/>
    <cellStyle name="_SBLV YTD Committed CAPEX statistic2006_Updated_SSAM Capex Q2'07 IBR-update_SSAM Capex Qct BR_1.Industrialization CAPEX Forecast-Q4'08-20081220" xfId="1879"/>
    <cellStyle name="_SBLV YTD Committed CAPEX statistic2006_Updated_SSAM Capex Q2'07 IBR-update_SSAM Capex Qct BR_2008Capex  forecast CBN" xfId="1880"/>
    <cellStyle name="_SBLV YTD Committed CAPEX statistic2006_Updated_SSAM Capex Q2'07 IBR-update_SSAM Capex Qct BR_Book1" xfId="1881"/>
    <cellStyle name="_SBLV YTD Committed CAPEX statistic2006_Updated_SSAM Capex Q2'07 IBR-update_SSAM Capex Qct BR_BR Capex &amp; expenses_Purchasing Project_20080616" xfId="1882"/>
    <cellStyle name="_SBLV YTD Committed CAPEX statistic2006_Updated_SSAM Capex Q2'07 IBR-update_SSAM Capex Qct BR_CAPEX - IT_ Jan 08BR" xfId="1883"/>
    <cellStyle name="_SBLV YTD Committed CAPEX statistic2006_Updated_SSAM Capex Q2'07 IBR-update_SSAM Capex Qct BR_CAPEX Rolling Forecast for building extend project- TF 2009 03 16" xfId="1884"/>
    <cellStyle name="_SBLV YTD Committed CAPEX statistic2006_Updated_SSAM Capex Q2'07 IBR-update_SSAM Capex Qct BR_CAPEX Rolling Forecast for Mold_ Jan 08BR" xfId="1885"/>
    <cellStyle name="_SBLV YTD Committed CAPEX statistic2006_Updated_SSAM Capex Q2'07 IBR-update_SSAM Capex Qct BR_Capex_Dept_Mar09 BR" xfId="1886"/>
    <cellStyle name="_SBLV YTD Committed CAPEX statistic2006_Updated_SSAM Capex Q2'07 IBR-update_SSAM Capex Qct BR_Capex_IT_Mar 09 BR_plant" xfId="1887"/>
    <cellStyle name="_SBLV YTD Committed CAPEX statistic2006_Updated_SSAM Capex Q2'07 IBR-update_SSAM Capex Qct BR_Capex_MM_Mar 09 BR_TF_Facility" xfId="1888"/>
    <cellStyle name="_SBLV YTD Committed CAPEX statistic2006_Updated_SSAM Capex Q2'07 IBR-update_SSAM Capex Qct BR_Capex_Mold_Mar 09 BR" xfId="1889"/>
    <cellStyle name="_SBLV YTD Committed CAPEX statistic2006_Updated_SSAM Capex Q2'07 IBR-update_SSAM Capex Qct BR_Capex_Tool_Apr08 BR" xfId="1890"/>
    <cellStyle name="_SBLV YTD Committed CAPEX statistic2006_Updated_SSAM Capex Q2'07 IBR-update_SSAM Capex Qct BR_Dept. CAPEX Rolling forecast_Jan 08BR-1" xfId="1891"/>
    <cellStyle name="_SBLV YTD Committed CAPEX statistic2006_Updated_SSAM Capex Q2'07 IBR-update_SSAM Capex Qct BR_Industrialization CAPEX Forecast-Q1'08-rev1" xfId="1892"/>
    <cellStyle name="_SBLV YTD Committed CAPEX statistic2006_Updated_SSAM Capex Q2'07 IBR-update_SSAM Capex Qct BR_Industrialization CAPEX Forecast-Q2'08-rev3" xfId="1893"/>
    <cellStyle name="_SBLV YTD Committed CAPEX statistic2006_Updated_SSAM Capex Q2'07 IBR-update_SSAM Capex Qct BR_Industrialization CAPEX Forecast-Q3'08" xfId="1894"/>
    <cellStyle name="_SBLV YTD Committed CAPEX statistic2006_Updated_SSAM Capex Q2'07 IBR-update_SSAM Capex Qct BR_Industrialization CAPEX Forecast-Q4'08-20081210" xfId="1895"/>
    <cellStyle name="_SBLV YTD Committed CAPEX statistic2006_Updated_SSAM Capex Q2'07 IBR-update_SSAM Capex Qct BR_Industrialization CAPEX Forecast-Q4'08-20081220" xfId="1896"/>
    <cellStyle name="_SBLV YTD Committed CAPEX statistic2006_Updated_SSAM Capex Q2'07 IBR-update_SSAM Capex Qct BR_industrilization capex_Mar09BR-20090313" xfId="1897"/>
    <cellStyle name="_SBLV YTD Committed CAPEX statistic2006_Updated_SSAM Capex Q2'07 IBR-update_SSAM Capex Qct BR_SSAM Capex Dec 08 BR_Plant Dec 4" xfId="1898"/>
    <cellStyle name="_SBLV YTD Committed CAPEX statistic2006_Updated_SSAM Capex Q2'07 IBR-update_SSAM Capex Qct BR_SSAM Capex Jun08 BR_Plant  Jun 10" xfId="1899"/>
    <cellStyle name="_SBLV YTD Committed CAPEX statistic2006_Updated_SSAM Capex Q2'07 IBR-update_SSAM Capex Qct BR_SSAM Capex Sept 08 BR_Plant Sept 2" xfId="1900"/>
    <cellStyle name="_SBLV YTD Committed CAPEX statistic2006_Updated_SSAM Capex Sept 08 BR_Plant Sept 2" xfId="1901"/>
    <cellStyle name="_SCT NRE offer 2009-08-017v01" xfId="1902"/>
    <cellStyle name="_SCT NRE offer 2009-08-017v01_Colombus project card August WK32.2009" xfId="1903"/>
    <cellStyle name="_SCT NRE offer 2009-08-017v01_Overall Investments" xfId="1904"/>
    <cellStyle name="_SCT NRE offer 2009-08-017v01_Overall Investments reviewed WPF + Pravin Sep 09" xfId="1905"/>
    <cellStyle name="_SCT NRE offer 2009-08-017v01_Overall Investments V2 Oct  09" xfId="1906"/>
    <cellStyle name="_Sepam20&amp;40  project card 2008-11-14" xfId="1907"/>
    <cellStyle name="_SLIM Capex plan 20080313" xfId="1908"/>
    <cellStyle name="_SLR Tyco Price Template Phase I Prelim_12_22_03" xfId="1909"/>
    <cellStyle name="_SLR Tyco Price Template Phase I Prelim_12_22_03_~0262920" xfId="1910"/>
    <cellStyle name="_SLR Tyco Price Template Phase I Prelim_12_22_03_dimmer package cost 02 08" xfId="1911"/>
    <cellStyle name="_Smokes Quote Response Template(SHA) 10-31" xfId="1912"/>
    <cellStyle name="_Smokes Quote Response Template(SHA) 10-31_~0262920" xfId="1913"/>
    <cellStyle name="_Smokes Quote Response Template(SHA) 10-31_dimmer package cost 02 08" xfId="1914"/>
    <cellStyle name="_SPB Q3 2004 Timisoara" xfId="1915"/>
    <cellStyle name="_SSAM Capex Apr09BR_0320" xfId="1916"/>
    <cellStyle name="_SSAM dashboard" xfId="1917"/>
    <cellStyle name="_SSAM Localization BR 0901 V2" xfId="1918"/>
    <cellStyle name="_SSAM monthly inventory report_2007" xfId="1919"/>
    <cellStyle name="_SSAM monthly inventory report_200708" xfId="1920"/>
    <cellStyle name="_SSAM monthly inventory report_200709" xfId="1921"/>
    <cellStyle name="_SSAM monthly inventory report_200710" xfId="1922"/>
    <cellStyle name="_SSAM monthly inventory report_2008" xfId="1923"/>
    <cellStyle name="_SSAM monthly inventory report_200805" xfId="1924"/>
    <cellStyle name="_SSAM monthly inventory report_200806" xfId="1925"/>
    <cellStyle name="_SSAM monthly inventory report_200807" xfId="1926"/>
    <cellStyle name="_SSAM monthly inventory report_200808" xfId="1927"/>
    <cellStyle name="_SSAM monthly inventory report_200809" xfId="1928"/>
    <cellStyle name="_SSAM monthly inventory report_200810" xfId="1929"/>
    <cellStyle name="_SSAM monthly inventory report_200811" xfId="1930"/>
    <cellStyle name="_SSAM monthly inventory report_200812" xfId="1931"/>
    <cellStyle name="_SSAM monthly inventory report_200901" xfId="1932"/>
    <cellStyle name="_SSAM sales report_200902" xfId="1933"/>
    <cellStyle name="_SSAM Transfer BR 0901 V2" xfId="1934"/>
    <cellStyle name="_SSAM YTD Committed CAPEX statistic_2007" xfId="1935"/>
    <cellStyle name="_SSAM YTD Committed CAPEX statistic_2007_1.Industrialization CAPEX Forecast-Q4'08-20081220" xfId="1936"/>
    <cellStyle name="_SSAM YTD Committed CAPEX statistic_2007_200803" xfId="1937"/>
    <cellStyle name="_SSAM YTD Committed CAPEX statistic_2007_200811 Capex input form-actual(China TAF)" xfId="1938"/>
    <cellStyle name="_SSAM YTD Committed CAPEX statistic_2007_2008Capex  forecast CBN" xfId="1939"/>
    <cellStyle name="_SSAM YTD Committed CAPEX statistic_2007_Book1" xfId="1940"/>
    <cellStyle name="_SSAM YTD Committed CAPEX statistic_2007_BR Capex &amp; expenses_Purchasing Project_20080616" xfId="1941"/>
    <cellStyle name="_SSAM YTD Committed CAPEX statistic_2007_CAPEC Rolling Forecast for Mold Renew&amp;Repair&amp;Improve_Jun,2006(Q2)F_New format" xfId="1942"/>
    <cellStyle name="_SSAM YTD Committed CAPEX statistic_2007_CAPEC Rolling Forecast for Mold Renew&amp;Repair&amp;Improve_Jun,2006(Q2)F_New format_Capex commit discloure_200710 v2" xfId="1943"/>
    <cellStyle name="_SSAM YTD Committed CAPEX statistic_2007_CAPEC Rolling Forecast for Mold Renew&amp;Repair&amp;Improve_Jun,2006(Q2)F_New format_SSAM Capex Qct BR" xfId="1944"/>
    <cellStyle name="_SSAM YTD Committed CAPEX statistic_2007_CAPEC Rolling Forecast for Mold Renew&amp;Repair&amp;Improve_Jun,2006(Q2)F_New format_SSAM Capex Qct BR_1.Industrialization CAPEX Forecast-Q4'08-20081220" xfId="1945"/>
    <cellStyle name="_SSAM YTD Committed CAPEX statistic_2007_CAPEC Rolling Forecast for Mold Renew&amp;Repair&amp;Improve_Jun,2006(Q2)F_New format_SSAM Capex Qct BR_2008Capex  forecast CBN" xfId="1946"/>
    <cellStyle name="_SSAM YTD Committed CAPEX statistic_2007_CAPEC Rolling Forecast for Mold Renew&amp;Repair&amp;Improve_Jun,2006(Q2)F_New format_SSAM Capex Qct BR_Book1" xfId="1947"/>
    <cellStyle name="_SSAM YTD Committed CAPEX statistic_2007_CAPEC Rolling Forecast for Mold Renew&amp;Repair&amp;Improve_Jun,2006(Q2)F_New format_SSAM Capex Qct BR_BR Capex &amp; expenses_Purchasing Project_20080616" xfId="1948"/>
    <cellStyle name="_SSAM YTD Committed CAPEX statistic_2007_CAPEC Rolling Forecast for Mold Renew&amp;Repair&amp;Improve_Jun,2006(Q2)F_New format_SSAM Capex Qct BR_CAPEX - IT_ Jan 08BR" xfId="1949"/>
    <cellStyle name="_SSAM YTD Committed CAPEX statistic_2007_CAPEC Rolling Forecast for Mold Renew&amp;Repair&amp;Improve_Jun,2006(Q2)F_New format_SSAM Capex Qct BR_CAPEX Rolling Forecast for building extend project- TF 2009 03 16" xfId="1950"/>
    <cellStyle name="_SSAM YTD Committed CAPEX statistic_2007_CAPEC Rolling Forecast for Mold Renew&amp;Repair&amp;Improve_Jun,2006(Q2)F_New format_SSAM Capex Qct BR_CAPEX Rolling Forecast for Mold_ Jan 08BR" xfId="1951"/>
    <cellStyle name="_SSAM YTD Committed CAPEX statistic_2007_CAPEC Rolling Forecast for Mold Renew&amp;Repair&amp;Improve_Jun,2006(Q2)F_New format_SSAM Capex Qct BR_Capex_Dept_Mar09 BR" xfId="1952"/>
    <cellStyle name="_SSAM YTD Committed CAPEX statistic_2007_CAPEC Rolling Forecast for Mold Renew&amp;Repair&amp;Improve_Jun,2006(Q2)F_New format_SSAM Capex Qct BR_Capex_IT_Mar 09 BR_plant" xfId="1953"/>
    <cellStyle name="_SSAM YTD Committed CAPEX statistic_2007_CAPEC Rolling Forecast for Mold Renew&amp;Repair&amp;Improve_Jun,2006(Q2)F_New format_SSAM Capex Qct BR_Capex_MM_Mar 09 BR_TF_Facility" xfId="1954"/>
    <cellStyle name="_SSAM YTD Committed CAPEX statistic_2007_CAPEC Rolling Forecast for Mold Renew&amp;Repair&amp;Improve_Jun,2006(Q2)F_New format_SSAM Capex Qct BR_Capex_Mold_Mar 09 BR" xfId="1955"/>
    <cellStyle name="_SSAM YTD Committed CAPEX statistic_2007_CAPEC Rolling Forecast for Mold Renew&amp;Repair&amp;Improve_Jun,2006(Q2)F_New format_SSAM Capex Qct BR_Capex_Tool_Apr08 BR" xfId="1956"/>
    <cellStyle name="_SSAM YTD Committed CAPEX statistic_2007_CAPEC Rolling Forecast for Mold Renew&amp;Repair&amp;Improve_Jun,2006(Q2)F_New format_SSAM Capex Qct BR_Dept. CAPEX Rolling forecast_Jan 08BR-1" xfId="1957"/>
    <cellStyle name="_SSAM YTD Committed CAPEX statistic_2007_CAPEC Rolling Forecast for Mold Renew&amp;Repair&amp;Improve_Jun,2006(Q2)F_New format_SSAM Capex Qct BR_Industrialization CAPEX Forecast-Q1'08-rev1" xfId="1958"/>
    <cellStyle name="_SSAM YTD Committed CAPEX statistic_2007_CAPEC Rolling Forecast for Mold Renew&amp;Repair&amp;Improve_Jun,2006(Q2)F_New format_SSAM Capex Qct BR_Industrialization CAPEX Forecast-Q2'08-rev3" xfId="1959"/>
    <cellStyle name="_SSAM YTD Committed CAPEX statistic_2007_CAPEC Rolling Forecast for Mold Renew&amp;Repair&amp;Improve_Jun,2006(Q2)F_New format_SSAM Capex Qct BR_Industrialization CAPEX Forecast-Q3'08" xfId="1960"/>
    <cellStyle name="_SSAM YTD Committed CAPEX statistic_2007_CAPEC Rolling Forecast for Mold Renew&amp;Repair&amp;Improve_Jun,2006(Q2)F_New format_SSAM Capex Qct BR_Industrialization CAPEX Forecast-Q4'08-20081210" xfId="1961"/>
    <cellStyle name="_SSAM YTD Committed CAPEX statistic_2007_CAPEC Rolling Forecast for Mold Renew&amp;Repair&amp;Improve_Jun,2006(Q2)F_New format_SSAM Capex Qct BR_Industrialization CAPEX Forecast-Q4'08-20081220" xfId="1962"/>
    <cellStyle name="_SSAM YTD Committed CAPEX statistic_2007_CAPEC Rolling Forecast for Mold Renew&amp;Repair&amp;Improve_Jun,2006(Q2)F_New format_SSAM Capex Qct BR_industrilization capex_Mar09BR-20090313" xfId="1963"/>
    <cellStyle name="_SSAM YTD Committed CAPEX statistic_2007_CAPEC Rolling Forecast for Mold Renew&amp;Repair&amp;Improve_Jun,2006(Q2)F_New format_SSAM Capex Qct BR_SSAM Capex Dec 08 BR_Plant Dec 4" xfId="1964"/>
    <cellStyle name="_SSAM YTD Committed CAPEX statistic_2007_CAPEC Rolling Forecast for Mold Renew&amp;Repair&amp;Improve_Jun,2006(Q2)F_New format_SSAM Capex Qct BR_SSAM Capex Jun08 BR_Plant  Jun 10" xfId="1965"/>
    <cellStyle name="_SSAM YTD Committed CAPEX statistic_2007_CAPEC Rolling Forecast for Mold Renew&amp;Repair&amp;Improve_Jun,2006(Q2)F_New format_SSAM Capex Qct BR_SSAM Capex Sept 08 BR_Plant Sept 2" xfId="1966"/>
    <cellStyle name="_SSAM YTD Committed CAPEX statistic_2007_CAPEX - IT_ Jan 08BR" xfId="1967"/>
    <cellStyle name="_SSAM YTD Committed CAPEX statistic_2007_Capex commit discloure_200710 v2" xfId="1968"/>
    <cellStyle name="_SSAM YTD Committed CAPEX statistic_2007_CAPEX Rolling Forecast for building extend project- TF 2009 03 16" xfId="1969"/>
    <cellStyle name="_SSAM YTD Committed CAPEX statistic_2007_CAPEX Rolling Forecast for Mold_ Jan 08BR" xfId="1970"/>
    <cellStyle name="_SSAM YTD Committed CAPEX statistic_2007_CAPEX Rolling Forecast forSSAM extend project &amp; TF 2007 11 19MYP" xfId="1971"/>
    <cellStyle name="_SSAM YTD Committed CAPEX statistic_2007_Capex_Dept_Mar09 BR" xfId="1972"/>
    <cellStyle name="_SSAM YTD Committed CAPEX statistic_2007_Capex_IT_Mar 09 BR_plant" xfId="1973"/>
    <cellStyle name="_SSAM YTD Committed CAPEX statistic_2007_Capex_MM_Mar 09 BR_TF_Facility" xfId="1974"/>
    <cellStyle name="_SSAM YTD Committed CAPEX statistic_2007_Capex_Mold_Mar 09 BR" xfId="1975"/>
    <cellStyle name="_SSAM YTD Committed CAPEX statistic_2007_Capex_Tool_Apr08 BR" xfId="1976"/>
    <cellStyle name="_SSAM YTD Committed CAPEX statistic_2007_Dept. CAPEX Rolling forecast_Jan 08BR-1" xfId="1977"/>
    <cellStyle name="_SSAM YTD Committed CAPEX statistic_2007_Industrialization CAPEX Forecast-Q1'08-rev1" xfId="1978"/>
    <cellStyle name="_SSAM YTD Committed CAPEX statistic_2007_Industrialization CAPEX Forecast-Q2'08-rev3" xfId="1979"/>
    <cellStyle name="_SSAM YTD Committed CAPEX statistic_2007_Industrialization CAPEX Forecast-Q3'08" xfId="1980"/>
    <cellStyle name="_SSAM YTD Committed CAPEX statistic_2007_Industrialization CAPEX Forecast-Q4'08-20081210" xfId="1981"/>
    <cellStyle name="_SSAM YTD Committed CAPEX statistic_2007_Industrialization CAPEX Forecast-Q4'08-20081220" xfId="1982"/>
    <cellStyle name="_SSAM YTD Committed CAPEX statistic_2007_industrilization capex_Mar09BR-20090313" xfId="1983"/>
    <cellStyle name="_SSAM YTD Committed CAPEX statistic_2007_SSAM Capex Dec 08 BR_Plant Dec 4" xfId="1984"/>
    <cellStyle name="_SSAM YTD Committed CAPEX statistic_2007_SSAM Capex Jun08 BR_Plant  Jun 10" xfId="1985"/>
    <cellStyle name="_SSAM YTD Committed CAPEX statistic_2007_SSAM Capex Q2'07 IBR" xfId="1986"/>
    <cellStyle name="_SSAM YTD Committed CAPEX statistic_2007_SSAM Capex Q2'07 IBR_Capex commit discloure_200710 v2" xfId="1987"/>
    <cellStyle name="_SSAM YTD Committed CAPEX statistic_2007_SSAM Capex Q2'07 IBR_SSAM Capex Qct BR" xfId="1988"/>
    <cellStyle name="_SSAM YTD Committed CAPEX statistic_2007_SSAM Capex Q2'07 IBR_SSAM Capex Qct BR_1.Industrialization CAPEX Forecast-Q4'08-20081220" xfId="1989"/>
    <cellStyle name="_SSAM YTD Committed CAPEX statistic_2007_SSAM Capex Q2'07 IBR_SSAM Capex Qct BR_2008Capex  forecast CBN" xfId="1990"/>
    <cellStyle name="_SSAM YTD Committed CAPEX statistic_2007_SSAM Capex Q2'07 IBR_SSAM Capex Qct BR_Book1" xfId="1991"/>
    <cellStyle name="_SSAM YTD Committed CAPEX statistic_2007_SSAM Capex Q2'07 IBR_SSAM Capex Qct BR_BR Capex &amp; expenses_Purchasing Project_20080616" xfId="1992"/>
    <cellStyle name="_SSAM YTD Committed CAPEX statistic_2007_SSAM Capex Q2'07 IBR_SSAM Capex Qct BR_CAPEX - IT_ Jan 08BR" xfId="1993"/>
    <cellStyle name="_SSAM YTD Committed CAPEX statistic_2007_SSAM Capex Q2'07 IBR_SSAM Capex Qct BR_CAPEX Rolling Forecast for building extend project- TF 2009 03 16" xfId="1994"/>
    <cellStyle name="_SSAM YTD Committed CAPEX statistic_2007_SSAM Capex Q2'07 IBR_SSAM Capex Qct BR_CAPEX Rolling Forecast for Mold_ Jan 08BR" xfId="1995"/>
    <cellStyle name="_SSAM YTD Committed CAPEX statistic_2007_SSAM Capex Q2'07 IBR_SSAM Capex Qct BR_Capex_Dept_Mar09 BR" xfId="1996"/>
    <cellStyle name="_SSAM YTD Committed CAPEX statistic_2007_SSAM Capex Q2'07 IBR_SSAM Capex Qct BR_Capex_IT_Mar 09 BR_plant" xfId="1997"/>
    <cellStyle name="_SSAM YTD Committed CAPEX statistic_2007_SSAM Capex Q2'07 IBR_SSAM Capex Qct BR_Capex_MM_Mar 09 BR_TF_Facility" xfId="1998"/>
    <cellStyle name="_SSAM YTD Committed CAPEX statistic_2007_SSAM Capex Q2'07 IBR_SSAM Capex Qct BR_Capex_Mold_Mar 09 BR" xfId="1999"/>
    <cellStyle name="_SSAM YTD Committed CAPEX statistic_2007_SSAM Capex Q2'07 IBR_SSAM Capex Qct BR_Capex_Tool_Apr08 BR" xfId="2000"/>
    <cellStyle name="_SSAM YTD Committed CAPEX statistic_2007_SSAM Capex Q2'07 IBR_SSAM Capex Qct BR_Dept. CAPEX Rolling forecast_Jan 08BR-1" xfId="2001"/>
    <cellStyle name="_SSAM YTD Committed CAPEX statistic_2007_SSAM Capex Q2'07 IBR_SSAM Capex Qct BR_Industrialization CAPEX Forecast-Q1'08-rev1" xfId="2002"/>
    <cellStyle name="_SSAM YTD Committed CAPEX statistic_2007_SSAM Capex Q2'07 IBR_SSAM Capex Qct BR_Industrialization CAPEX Forecast-Q2'08-rev3" xfId="2003"/>
    <cellStyle name="_SSAM YTD Committed CAPEX statistic_2007_SSAM Capex Q2'07 IBR_SSAM Capex Qct BR_Industrialization CAPEX Forecast-Q3'08" xfId="2004"/>
    <cellStyle name="_SSAM YTD Committed CAPEX statistic_2007_SSAM Capex Q2'07 IBR_SSAM Capex Qct BR_Industrialization CAPEX Forecast-Q4'08-20081210" xfId="2005"/>
    <cellStyle name="_SSAM YTD Committed CAPEX statistic_2007_SSAM Capex Q2'07 IBR_SSAM Capex Qct BR_Industrialization CAPEX Forecast-Q4'08-20081220" xfId="2006"/>
    <cellStyle name="_SSAM YTD Committed CAPEX statistic_2007_SSAM Capex Q2'07 IBR_SSAM Capex Qct BR_industrilization capex_Mar09BR-20090313" xfId="2007"/>
    <cellStyle name="_SSAM YTD Committed CAPEX statistic_2007_SSAM Capex Q2'07 IBR_SSAM Capex Qct BR_SSAM Capex Dec 08 BR_Plant Dec 4" xfId="2008"/>
    <cellStyle name="_SSAM YTD Committed CAPEX statistic_2007_SSAM Capex Q2'07 IBR_SSAM Capex Qct BR_SSAM Capex Jun08 BR_Plant  Jun 10" xfId="2009"/>
    <cellStyle name="_SSAM YTD Committed CAPEX statistic_2007_SSAM Capex Q2'07 IBR_SSAM Capex Qct BR_SSAM Capex Sept 08 BR_Plant Sept 2" xfId="2010"/>
    <cellStyle name="_SSAM YTD Committed CAPEX statistic_2007_SSAM Capex Q2'07 IBR-update" xfId="2011"/>
    <cellStyle name="_SSAM YTD Committed CAPEX statistic_2007_SSAM Capex Q2'07 IBR-update_Capex commit discloure_200710 v2" xfId="2012"/>
    <cellStyle name="_SSAM YTD Committed CAPEX statistic_2007_SSAM Capex Q2'07 IBR-update_SSAM Capex Qct BR" xfId="2013"/>
    <cellStyle name="_SSAM YTD Committed CAPEX statistic_2007_SSAM Capex Q2'07 IBR-update_SSAM Capex Qct BR_1.Industrialization CAPEX Forecast-Q4'08-20081220" xfId="2014"/>
    <cellStyle name="_SSAM YTD Committed CAPEX statistic_2007_SSAM Capex Q2'07 IBR-update_SSAM Capex Qct BR_2008Capex  forecast CBN" xfId="2015"/>
    <cellStyle name="_SSAM YTD Committed CAPEX statistic_2007_SSAM Capex Q2'07 IBR-update_SSAM Capex Qct BR_Book1" xfId="2016"/>
    <cellStyle name="_SSAM YTD Committed CAPEX statistic_2007_SSAM Capex Q2'07 IBR-update_SSAM Capex Qct BR_BR Capex &amp; expenses_Purchasing Project_20080616" xfId="2017"/>
    <cellStyle name="_SSAM YTD Committed CAPEX statistic_2007_SSAM Capex Q2'07 IBR-update_SSAM Capex Qct BR_CAPEX - IT_ Jan 08BR" xfId="2018"/>
    <cellStyle name="_SSAM YTD Committed CAPEX statistic_2007_SSAM Capex Q2'07 IBR-update_SSAM Capex Qct BR_CAPEX Rolling Forecast for building extend project- TF 2009 03 16" xfId="2019"/>
    <cellStyle name="_SSAM YTD Committed CAPEX statistic_2007_SSAM Capex Q2'07 IBR-update_SSAM Capex Qct BR_CAPEX Rolling Forecast for Mold_ Jan 08BR" xfId="2020"/>
    <cellStyle name="_SSAM YTD Committed CAPEX statistic_2007_SSAM Capex Q2'07 IBR-update_SSAM Capex Qct BR_Capex_Dept_Mar09 BR" xfId="2021"/>
    <cellStyle name="_SSAM YTD Committed CAPEX statistic_2007_SSAM Capex Q2'07 IBR-update_SSAM Capex Qct BR_Capex_IT_Mar 09 BR_plant" xfId="2022"/>
    <cellStyle name="_SSAM YTD Committed CAPEX statistic_2007_SSAM Capex Q2'07 IBR-update_SSAM Capex Qct BR_Capex_MM_Mar 09 BR_TF_Facility" xfId="2023"/>
    <cellStyle name="_SSAM YTD Committed CAPEX statistic_2007_SSAM Capex Q2'07 IBR-update_SSAM Capex Qct BR_Capex_Mold_Mar 09 BR" xfId="2024"/>
    <cellStyle name="_SSAM YTD Committed CAPEX statistic_2007_SSAM Capex Q2'07 IBR-update_SSAM Capex Qct BR_Capex_Tool_Apr08 BR" xfId="2025"/>
    <cellStyle name="_SSAM YTD Committed CAPEX statistic_2007_SSAM Capex Q2'07 IBR-update_SSAM Capex Qct BR_Dept. CAPEX Rolling forecast_Jan 08BR-1" xfId="2026"/>
    <cellStyle name="_SSAM YTD Committed CAPEX statistic_2007_SSAM Capex Q2'07 IBR-update_SSAM Capex Qct BR_Industrialization CAPEX Forecast-Q1'08-rev1" xfId="2027"/>
    <cellStyle name="_SSAM YTD Committed CAPEX statistic_2007_SSAM Capex Q2'07 IBR-update_SSAM Capex Qct BR_Industrialization CAPEX Forecast-Q2'08-rev3" xfId="2028"/>
    <cellStyle name="_SSAM YTD Committed CAPEX statistic_2007_SSAM Capex Q2'07 IBR-update_SSAM Capex Qct BR_Industrialization CAPEX Forecast-Q3'08" xfId="2029"/>
    <cellStyle name="_SSAM YTD Committed CAPEX statistic_2007_SSAM Capex Q2'07 IBR-update_SSAM Capex Qct BR_Industrialization CAPEX Forecast-Q4'08-20081210" xfId="2030"/>
    <cellStyle name="_SSAM YTD Committed CAPEX statistic_2007_SSAM Capex Q2'07 IBR-update_SSAM Capex Qct BR_Industrialization CAPEX Forecast-Q4'08-20081220" xfId="2031"/>
    <cellStyle name="_SSAM YTD Committed CAPEX statistic_2007_SSAM Capex Q2'07 IBR-update_SSAM Capex Qct BR_industrilization capex_Mar09BR-20090313" xfId="2032"/>
    <cellStyle name="_SSAM YTD Committed CAPEX statistic_2007_SSAM Capex Q2'07 IBR-update_SSAM Capex Qct BR_SSAM Capex Dec 08 BR_Plant Dec 4" xfId="2033"/>
    <cellStyle name="_SSAM YTD Committed CAPEX statistic_2007_SSAM Capex Q2'07 IBR-update_SSAM Capex Qct BR_SSAM Capex Jun08 BR_Plant  Jun 10" xfId="2034"/>
    <cellStyle name="_SSAM YTD Committed CAPEX statistic_2007_SSAM Capex Q2'07 IBR-update_SSAM Capex Qct BR_SSAM Capex Sept 08 BR_Plant Sept 2" xfId="2035"/>
    <cellStyle name="_SSAM YTD Committed CAPEX statistic_2007_SSAM Capex Sept 08 BR_Plant Sept 2" xfId="2036"/>
    <cellStyle name="_SSD 2006 Productivity 2007June" xfId="2037"/>
    <cellStyle name="_SSD 2006 Productivity April07" xfId="2038"/>
    <cellStyle name="_SSD 2006 Productivity Jan-07" xfId="2039"/>
    <cellStyle name="_SSD 2006 Productivity Map2007June" xfId="2040"/>
    <cellStyle name="_SSD 2006 Productivity May07" xfId="2041"/>
    <cellStyle name="_SSD 2007 Productivity 2007Aug" xfId="2042"/>
    <cellStyle name="_SSD 2007 Productivity 2007July" xfId="2043"/>
    <cellStyle name="_SSD 2007 Productivity 2007SepMap 2008 Target" xfId="2044"/>
    <cellStyle name="_SSD 2007 Productivity Dec2007" xfId="2045"/>
    <cellStyle name="_SSD 2007 Productivity Nov2007" xfId="2046"/>
    <cellStyle name="_SSD 2007 Productivity Oct2007" xfId="2047"/>
    <cellStyle name="_SSD 2007 Productivity Sep2007" xfId="2048"/>
    <cellStyle name="_SSD 2008 Productivity Act Aug08" xfId="2049"/>
    <cellStyle name="_SSD 2008 Productivity Act July08" xfId="2050"/>
    <cellStyle name="_SSD 2008 Productivity ActJune08" xfId="2051"/>
    <cellStyle name="_SSD 2008 Productivity April08" xfId="2052"/>
    <cellStyle name="_SSD 2008 Productivity Feb08" xfId="2053"/>
    <cellStyle name="_SSD 2008 Productivity Jan08" xfId="2054"/>
    <cellStyle name="_SSD 2008 Productivity March08" xfId="2055"/>
    <cellStyle name="_SSD 2008 Productivity May08" xfId="2056"/>
    <cellStyle name="_SSD Finance monthly Feb-06" xfId="2057"/>
    <cellStyle name="_SSD Finance monthly report Dec-08" xfId="2058"/>
    <cellStyle name="_SSD Finance Monthly Report_Jan2009" xfId="2059"/>
    <cellStyle name="_SSPA Capex BR Jul 05" xfId="2060"/>
    <cellStyle name="_SSPA DVC fcst 200903" xfId="2061"/>
    <cellStyle name="_SSPA HC 0809_V2" xfId="2062"/>
    <cellStyle name="_SSPA IOD CAPEX" xfId="2063"/>
    <cellStyle name="_Stocktransfer_Apr_June07" xfId="2064"/>
    <cellStyle name="_Summary" xfId="2065"/>
    <cellStyle name="_summary by hank" xfId="2066"/>
    <cellStyle name="_Summary_Capex commit discloure_200710 v2" xfId="2067"/>
    <cellStyle name="_Summary_SSAM Capex Qct BR" xfId="2068"/>
    <cellStyle name="_Summary_SSAM Capex Qct BR_1.Industrialization CAPEX Forecast-Q4'08-20081220" xfId="2069"/>
    <cellStyle name="_Summary_SSAM Capex Qct BR_2008Capex  forecast CBN" xfId="2070"/>
    <cellStyle name="_Summary_SSAM Capex Qct BR_Book1" xfId="2071"/>
    <cellStyle name="_Summary_SSAM Capex Qct BR_BR Capex &amp; expenses_Purchasing Project_20080616" xfId="2072"/>
    <cellStyle name="_Summary_SSAM Capex Qct BR_CAPEX - IT_ Jan 08BR" xfId="2073"/>
    <cellStyle name="_Summary_SSAM Capex Qct BR_CAPEX Rolling Forecast for building extend project- TF 2009 03 16" xfId="2074"/>
    <cellStyle name="_Summary_SSAM Capex Qct BR_CAPEX Rolling Forecast for Mold_ Jan 08BR" xfId="2075"/>
    <cellStyle name="_Summary_SSAM Capex Qct BR_Capex_Dept_Mar09 BR" xfId="2076"/>
    <cellStyle name="_Summary_SSAM Capex Qct BR_Capex_IT_Mar 09 BR_plant" xfId="2077"/>
    <cellStyle name="_Summary_SSAM Capex Qct BR_Capex_MM_Mar 09 BR_TF_Facility" xfId="2078"/>
    <cellStyle name="_Summary_SSAM Capex Qct BR_Capex_Mold_Mar 09 BR" xfId="2079"/>
    <cellStyle name="_Summary_SSAM Capex Qct BR_Capex_Tool_Apr08 BR" xfId="2080"/>
    <cellStyle name="_Summary_SSAM Capex Qct BR_Dept. CAPEX Rolling forecast_Jan 08BR-1" xfId="2081"/>
    <cellStyle name="_Summary_SSAM Capex Qct BR_Industrialization CAPEX Forecast-Q1'08-rev1" xfId="2082"/>
    <cellStyle name="_Summary_SSAM Capex Qct BR_Industrialization CAPEX Forecast-Q2'08-rev3" xfId="2083"/>
    <cellStyle name="_Summary_SSAM Capex Qct BR_Industrialization CAPEX Forecast-Q3'08" xfId="2084"/>
    <cellStyle name="_Summary_SSAM Capex Qct BR_Industrialization CAPEX Forecast-Q4'08-20081210" xfId="2085"/>
    <cellStyle name="_Summary_SSAM Capex Qct BR_Industrialization CAPEX Forecast-Q4'08-20081220" xfId="2086"/>
    <cellStyle name="_Summary_SSAM Capex Qct BR_industrilization capex_Mar09BR-20090313" xfId="2087"/>
    <cellStyle name="_Summary_SSAM Capex Qct BR_SSAM Capex Dec 08 BR_Plant Dec 4" xfId="2088"/>
    <cellStyle name="_Summary_SSAM Capex Qct BR_SSAM Capex Jun08 BR_Plant  Jun 10" xfId="2089"/>
    <cellStyle name="_Summary_SSAM Capex Qct BR_SSAM Capex Sept 08 BR_Plant Sept 2" xfId="2090"/>
    <cellStyle name="_Template - WPF&amp;TF-SECI2008Mar final" xfId="2091"/>
    <cellStyle name="_Template 090500 RFQ form with BOM and checklist" xfId="2092"/>
    <cellStyle name="_Template 090500 RFQ form with BOM and checklist_Colombus project card August WK32.2009" xfId="2093"/>
    <cellStyle name="_Template 090500 RFQ form with BOM and checklist_Overall Investments" xfId="2094"/>
    <cellStyle name="_Template 090500 RFQ form with BOM and checklist_Overall Investments reviewed WPF + Pravin Sep 09" xfId="2095"/>
    <cellStyle name="_Template 090500 RFQ form with BOM and checklist_Overall Investments V2 Oct  09" xfId="2096"/>
    <cellStyle name="_Template Central_Sept 07_INS China- 070912-to finance" xfId="2097"/>
    <cellStyle name="_Template Q4" xfId="2098"/>
    <cellStyle name="_TF - HC 2008" xfId="2099"/>
    <cellStyle name="_TF - HC 2008.9.23_R" xfId="2100"/>
    <cellStyle name="_TF financial monthly package format 200902" xfId="2101"/>
    <cellStyle name="_To do list &amp; Diary-Xi Runfeng 2009" xfId="2102"/>
    <cellStyle name="_Tooling Renew Budget ABT2005.9" xfId="2103"/>
    <cellStyle name="_Transfer &amp; QVE project" xfId="2104"/>
    <cellStyle name="_Transfer_SBLV&amp;SSPA" xfId="2105"/>
    <cellStyle name="_Transfer_SSAM" xfId="2106"/>
    <cellStyle name="_Trimble Requote New Guidelines" xfId="2107"/>
    <cellStyle name="_Trimble Requote New Guidelines_~0262920" xfId="2108"/>
    <cellStyle name="_Trimble Requote New Guidelines_dimmer package cost 02 08" xfId="2109"/>
    <cellStyle name="_TRINITY - PCS as on 12 nov '09 year wise Cost rev 1" xfId="2110"/>
    <cellStyle name="_TRINITY - PCS as on 12 nov '09 year wise Cost rev 1(with comments from XRF)" xfId="2111"/>
    <cellStyle name="_Tyco Motion Detector 19Dec03" xfId="2112"/>
    <cellStyle name="_Tyco Motion Detector 19Dec03_~0262920" xfId="2113"/>
    <cellStyle name="_Tyco Motion Detector 19Dec03_dimmer package cost 02 08" xfId="2114"/>
    <cellStyle name="_Tyco WWWPCBA &amp; Phase II  06Jan04" xfId="2115"/>
    <cellStyle name="_Tyco WWWPCBA &amp; Phase II  06Jan04_~0262920" xfId="2116"/>
    <cellStyle name="_Tyco WWWPCBA &amp; Phase II  06Jan04_dimmer package cost 02 08" xfId="2117"/>
    <cellStyle name="_VIJ project card 2007-03-18" xfId="2118"/>
    <cellStyle name="_Volume update 2009-01-07" xfId="2119"/>
    <cellStyle name="_WC template Q107 to Q108 v2" xfId="2120"/>
    <cellStyle name="_WC template Q107 to Q108 v2_Consolidated - 2008 Q1 zone BR Ess (APOD IND) v1" xfId="2121"/>
    <cellStyle name="_WC template Q107 to Q108 v2_Consolidated - 2008 Q1 zone BR essbase retrievals v4" xfId="2122"/>
    <cellStyle name="_WC template Q107 to Q108 v2_Consolidated - 2008 Q1 zone BR essbase retrievals v4 (APOD IND)" xfId="2123"/>
    <cellStyle name="_Working plan for 3rd pilot run In WPF 23.Jan" xfId="2124"/>
    <cellStyle name="_Worksheet in APOD QML Dec 2007 v2 (Dir 1 Summary)" xfId="2125"/>
    <cellStyle name="_Worksheet in APOD QML Dec 2007 v2 (Dir 1 Summary)_13. Delta Price_200803" xfId="2126"/>
    <cellStyle name="_Worksheet in APOD QML Dec 2007 v2 (Dir 1 Summary)_13. Delta Price_200803_Consolidated - 2008 Q1 zone BR Ess (APOD IND) v1" xfId="2127"/>
    <cellStyle name="_Worksheet in APOD QML Dec 2007 v2 (Dir 1 Summary)_13. Delta Price_200803_Consolidated - 2008 Q1 zone BR essbase retrievals v4" xfId="2128"/>
    <cellStyle name="_Worksheet in APOD QML Dec 2007 v2 (Dir 1 Summary)_13. Delta Price_200803_Consolidated - 2008 Q1 zone BR essbase retrievals v4 (APOD IND)" xfId="2129"/>
    <cellStyle name="_Worksheet in APOD QML Dec 2007 v2 (Dir 1 Summary)_17. CCO by country_200803" xfId="2130"/>
    <cellStyle name="_Worksheet in APOD QML Dec 2007 v2 (Dir 1 Summary)_17. CCO by country_200803_Consolidated - 2008 Q1 zone BR Ess (APOD IND) v1" xfId="2131"/>
    <cellStyle name="_Worksheet in APOD QML Dec 2007 v2 (Dir 1 Summary)_17. CCO by country_200803_Consolidated - 2008 Q1 zone BR essbase retrievals v4" xfId="2132"/>
    <cellStyle name="_Worksheet in APOD QML Dec 2007 v2 (Dir 1 Summary)_17. CCO by country_200803_Consolidated - 2008 Q1 zone BR essbase retrievals v4 (APOD IND)" xfId="2133"/>
    <cellStyle name="_Worksheet in APOD QML Dec 2007 v2 (Dir 1 Summary)_2008 Q1 zone BR submission" xfId="2134"/>
    <cellStyle name="_Worksheet in APOD QML Dec 2007 v2 (Dir 1 Summary)_2008 Q1 zone BR submission_Consolidated - 2008 Q1 zone BR Ess (APOD IND) v1" xfId="2135"/>
    <cellStyle name="_Worksheet in APOD QML Dec 2007 v2 (Dir 1 Summary)_2008 Q1 zone BR submission_Consolidated - 2008 Q1 zone BR essbase retrievals v4" xfId="2136"/>
    <cellStyle name="_Worksheet in APOD QML Dec 2007 v2 (Dir 1 Summary)_2008 Q1 zone BR submission_Consolidated - 2008 Q1 zone BR essbase retrievals v4 (APOD IND)" xfId="2137"/>
    <cellStyle name="_Worksheet in APOD QML Dec 2007 v2 (Dir 1 Summary)_backlog" xfId="2138"/>
    <cellStyle name="_Worksheet in APOD QML Dec 2007 v2 (Dir 1 Summary)_backlog_Consolidated - 2008 Q1 zone BR Ess (APOD IND) v1" xfId="2139"/>
    <cellStyle name="_Worksheet in APOD QML Dec 2007 v2 (Dir 1 Summary)_backlog_Consolidated - 2008 Q1 zone BR essbase retrievals v4" xfId="2140"/>
    <cellStyle name="_Worksheet in APOD QML Dec 2007 v2 (Dir 1 Summary)_backlog_Consolidated - 2008 Q1 zone BR essbase retrievals v4 (APOD IND)" xfId="2141"/>
    <cellStyle name="_Worksheet in APOD QML Dec 2007 v2 (Dir 1 Summary)_Consolidated - 2008 Q1 zone BR essbase retrievals v3" xfId="2142"/>
    <cellStyle name="_Worksheet in APOD QML Dec 2007 v2 (Dir 1 Summary)_Consolidated - 2008 Q1 zone BR essbase retrievals v3_Consolidated - 2008 Q1 zone BR Ess (APOD IND) v1" xfId="2143"/>
    <cellStyle name="_Worksheet in APOD QML Dec 2007 v2 (Dir 1 Summary)_Consolidated - 2008 Q1 zone BR essbase retrievals v3_Consolidated - 2008 Q1 zone BR essbase retrievals v4" xfId="2144"/>
    <cellStyle name="_Worksheet in APOD QML Dec 2007 v2 (Dir 1 Summary)_Consolidated - 2008 Q1 zone BR essbase retrievals v3_Consolidated - 2008 Q1 zone BR essbase retrievals v4 (APOD IND)" xfId="2145"/>
    <cellStyle name="_Worksheet in APOD QML Dec 2007 v2 (Dir 1 Summary)_OG sales by entity" xfId="2146"/>
    <cellStyle name="_Worksheet in APOD QML Dec 2007 v2 (Dir 1 Summary)_OG sales by entity_Consolidated - 2008 Q1 zone BR Ess (APOD IND) v1" xfId="2147"/>
    <cellStyle name="_Worksheet in APOD QML Dec 2007 v2 (Dir 1 Summary)_OG sales by entity_Consolidated - 2008 Q1 zone BR essbase retrievals v4" xfId="2148"/>
    <cellStyle name="_Worksheet in APOD QML Dec 2007 v2 (Dir 1 Summary)_OG sales by entity_Consolidated - 2008 Q1 zone BR essbase retrievals v4 (APOD IND)" xfId="2149"/>
    <cellStyle name="_Worksheet in APOD QML Dec 2007 v2 (Dir 1 Summary)_zone growth ambition" xfId="2150"/>
    <cellStyle name="_Worksheet in APOD QML Dec 2007 v2 (Dir 1 Summary)_zone growth ambition_Consolidated - 2008 Q1 zone BR Ess (APOD IND) v1" xfId="2151"/>
    <cellStyle name="_Worksheet in APOD QML Dec 2007 v2 (Dir 1 Summary)_zone growth ambition_Consolidated - 2008 Q1 zone BR essbase retrievals v4" xfId="2152"/>
    <cellStyle name="_Worksheet in APOD QML Dec 2007 v2 (Dir 1 Summary)_zone growth ambition_Consolidated - 2008 Q1 zone BR essbase retrievals v4 (APOD IND)" xfId="2153"/>
    <cellStyle name="_Worksheet in MaLan Project - Do Decision 20080912" xfId="2154"/>
    <cellStyle name="_Worksheet in WPF NPI Project 3 Year Plan_Q1 2010_v3" xfId="2155"/>
    <cellStyle name="_WPF Base Cost 2009&amp;2010-20090919" xfId="2156"/>
    <cellStyle name="_WPF Base cost Q4BR1" xfId="2157"/>
    <cellStyle name="_WPF Base cost Q4BR2" xfId="2158"/>
    <cellStyle name="_WPF Capex BR_200806 Final update" xfId="2159"/>
    <cellStyle name="_WPF KPI FORECAST format 20070924" xfId="2160"/>
    <cellStyle name="_WPF NPI Capex &amp; Exp_081120_v8" xfId="2161"/>
    <cellStyle name="_WPF NPI Capex &amp; Exp_090316_v15_pie(Updated by XRF)" xfId="2162"/>
    <cellStyle name="_WPF NPI HR_2009_v2 WK51.2008 Xi runfeng" xfId="2163"/>
    <cellStyle name="_WPF NPI HR_2009_v2 Xi runfeng" xfId="2164"/>
    <cellStyle name="_WPF NPI Team Weekly Meeting_Week23_2009_June 5th" xfId="2165"/>
    <cellStyle name="_WPF telephone" xfId="2166"/>
    <cellStyle name="_WPF UT" xfId="2167"/>
    <cellStyle name="_WPF2009  Monthly Inventory Report" xfId="2168"/>
    <cellStyle name="_XBTGK BOM" xfId="2169"/>
    <cellStyle name="_XIXI" xfId="2170"/>
    <cellStyle name="_Y2010 Plant Expense_Q4" xfId="2171"/>
    <cellStyle name="_zone growth ambition" xfId="2172"/>
    <cellStyle name="_zone growth ambition_Consolidated - 2008 Q1 zone BR Ess (APOD IND) v1" xfId="2173"/>
    <cellStyle name="_zone growth ambition_Consolidated - 2008 Q1 zone BR essbase retrievals v4" xfId="2174"/>
    <cellStyle name="_zone growth ambition_Consolidated - 2008 Q1 zone BR essbase retrievals v4 (APOD IND)" xfId="2175"/>
    <cellStyle name="_桂林" xfId="2176"/>
    <cellStyle name="_桂林行联系方式" xfId="2177"/>
    <cellStyle name="_物料标签" xfId="2178"/>
    <cellStyle name="=C:\WINDOWS\SYSTEM32\COMMAND.COM" xfId="2179"/>
    <cellStyle name="0,0_x000d__x000a_NA_x000d__x000a_" xfId="2180"/>
    <cellStyle name="19990216" xfId="2181"/>
    <cellStyle name="1st indent" xfId="2182"/>
    <cellStyle name="20 % - Accent1" xfId="2183"/>
    <cellStyle name="20 % - Accent2" xfId="2184"/>
    <cellStyle name="20 % - Accent3" xfId="2185"/>
    <cellStyle name="20 % - Accent4" xfId="2186"/>
    <cellStyle name="20 % - Accent5" xfId="2187"/>
    <cellStyle name="20 % - Accent6" xfId="2188"/>
    <cellStyle name="2nd indent" xfId="2189"/>
    <cellStyle name="40 % - Accent1" xfId="2190"/>
    <cellStyle name="40 % - Accent2" xfId="2191"/>
    <cellStyle name="40 % - Accent3" xfId="2192"/>
    <cellStyle name="40 % - Accent4" xfId="2193"/>
    <cellStyle name="40 % - Accent5" xfId="2194"/>
    <cellStyle name="40 % - Accent6" xfId="2195"/>
    <cellStyle name="60 % - Accent1" xfId="2196"/>
    <cellStyle name="60 % - Accent2" xfId="2197"/>
    <cellStyle name="60 % - Accent3" xfId="2198"/>
    <cellStyle name="60 % - Accent4" xfId="2199"/>
    <cellStyle name="60 % - Accent5" xfId="2200"/>
    <cellStyle name="60 % - Accent6" xfId="2201"/>
    <cellStyle name="A_Block Space" xfId="2202"/>
    <cellStyle name="A_BlueLine" xfId="2203"/>
    <cellStyle name="A_Cacher" xfId="2204"/>
    <cellStyle name="A_Do not Change" xfId="2205"/>
    <cellStyle name="A_Estimate" xfId="2206"/>
    <cellStyle name="A_Memo" xfId="2207"/>
    <cellStyle name="A_Normal" xfId="2208"/>
    <cellStyle name="A_Normal Forecast" xfId="2209"/>
    <cellStyle name="A_Normal Historical" xfId="2210"/>
    <cellStyle name="A_Normal_~0262920" xfId="2211"/>
    <cellStyle name="A_Normal_dimmer package cost 02 08" xfId="2212"/>
    <cellStyle name="A_Normal_Quote Template Ver2" xfId="2213"/>
    <cellStyle name="A_Normal_Quote Template Ver2_~0262920" xfId="2214"/>
    <cellStyle name="A_Normal_Quote Template Ver2_dimmer package cost 02 08" xfId="2215"/>
    <cellStyle name="A_Rate_Data" xfId="2216"/>
    <cellStyle name="A_Rate_Data Historical" xfId="2217"/>
    <cellStyle name="A_Rate_Title" xfId="2218"/>
    <cellStyle name="A_Simple Title" xfId="2219"/>
    <cellStyle name="A_Sum" xfId="2220"/>
    <cellStyle name="A_SUM_Row Major" xfId="2221"/>
    <cellStyle name="A_SUM_Row Minor" xfId="2222"/>
    <cellStyle name="A_Title" xfId="2223"/>
    <cellStyle name="A_YearHeadings" xfId="2224"/>
    <cellStyle name="Actual Date" xfId="2225"/>
    <cellStyle name="adatbe" xfId="2226"/>
    <cellStyle name="Adjustable" xfId="2227"/>
    <cellStyle name="AeE­ [0]_¿­¸° INT" xfId="2228"/>
    <cellStyle name="AeE­_¿­¸° INT" xfId="2229"/>
    <cellStyle name="Agara" xfId="2230"/>
    <cellStyle name="alahuzás" xfId="2231"/>
    <cellStyle name="alap" xfId="2232"/>
    <cellStyle name="args.style" xfId="2233"/>
    <cellStyle name="AÞ¸¶ [0]_¿­¸° INT" xfId="2234"/>
    <cellStyle name="AÞ¸¶_¿­¸° INT" xfId="2235"/>
    <cellStyle name="Avertissement" xfId="2236"/>
    <cellStyle name="Big $$ Format" xfId="2237"/>
    <cellStyle name="Body" xfId="2238"/>
    <cellStyle name="Body text" xfId="2239"/>
    <cellStyle name="Border" xfId="2240"/>
    <cellStyle name="Border Heavy" xfId="2241"/>
    <cellStyle name="Border Thin" xfId="2242"/>
    <cellStyle name="C_TITLE" xfId="2243"/>
    <cellStyle name="C_TITLE_Book2" xfId="2244"/>
    <cellStyle name="C_TITLE_Book2_WPF NPI Team Weekly Meeting_Week9_2009" xfId="2245"/>
    <cellStyle name="C_TITLE_Book3" xfId="2246"/>
    <cellStyle name="C_TITLE_Book3_WPF NPI Team Weekly Meeting_Week9_2009" xfId="2247"/>
    <cellStyle name="C_TITLE_Colombus project card August WK32.2009" xfId="2248"/>
    <cellStyle name="C_TITLE_Eastwind project card July.2009" xfId="2249"/>
    <cellStyle name="C_TITLE_ELP&amp;H  project card 2008-11.19" xfId="2250"/>
    <cellStyle name="C_TITLE_ELP&amp;H  project card WK7,2009" xfId="2251"/>
    <cellStyle name="C_TITLE_GP Project tool box 200902" xfId="2252"/>
    <cellStyle name="C_TITLE_GP Project tool box 200902_WPF NPI Team Weekly Meeting_Week9_2009" xfId="2253"/>
    <cellStyle name="C_TITLE_Hongqi project card June.2009" xfId="2254"/>
    <cellStyle name="C_TITLE_Malan project card 2008-09-01" xfId="2255"/>
    <cellStyle name="C_TITLE_Sepam20&amp;40  project card 2008-11-14" xfId="2256"/>
    <cellStyle name="C_TITLE_WPF NPI Team Weekly Meeting_Week12_2009_Mar 16th" xfId="2257"/>
    <cellStyle name="C_TITLE_WPF NPI Team Weekly Meeting_Week27_2009_June 29th" xfId="2258"/>
    <cellStyle name="C_TITLE_WPF NPI Team Weekly Meeting_Week34_2009_Aug 17th" xfId="2259"/>
    <cellStyle name="C￥AØ_¿­¸° INT" xfId="2260"/>
    <cellStyle name="Calc Currency (0)" xfId="2261"/>
    <cellStyle name="Calc Currency (2)" xfId="2262"/>
    <cellStyle name="Calc Percent (0)" xfId="2263"/>
    <cellStyle name="Calc Percent (1)" xfId="2264"/>
    <cellStyle name="Calc Percent (2)" xfId="2265"/>
    <cellStyle name="Calc Units (0)" xfId="2266"/>
    <cellStyle name="Calc Units (1)" xfId="2267"/>
    <cellStyle name="Calc Units (2)" xfId="2268"/>
    <cellStyle name="Calcul" xfId="2269"/>
    <cellStyle name="category" xfId="2270"/>
    <cellStyle name="Cellule liée" xfId="2271"/>
    <cellStyle name="cerfa" xfId="2272"/>
    <cellStyle name="cím" xfId="2273"/>
    <cellStyle name="Comma  - Style1" xfId="2274"/>
    <cellStyle name="Comma  - Style2" xfId="2275"/>
    <cellStyle name="Comma  - Style3" xfId="2276"/>
    <cellStyle name="Comma  - Style4" xfId="2277"/>
    <cellStyle name="Comma  - Style5" xfId="2278"/>
    <cellStyle name="Comma  - Style6" xfId="2279"/>
    <cellStyle name="Comma  - Style7" xfId="2280"/>
    <cellStyle name="Comma  - Style8" xfId="2281"/>
    <cellStyle name="Comma [00]" xfId="2282"/>
    <cellStyle name="Comma 2" xfId="2283"/>
    <cellStyle name="comma zerodec" xfId="2284"/>
    <cellStyle name="Comma0" xfId="2285"/>
    <cellStyle name="Commentaire" xfId="2286"/>
    <cellStyle name="Copied" xfId="2287"/>
    <cellStyle name="COST1" xfId="2288"/>
    <cellStyle name="ｃurr･ncy＠[0]｟CtF｡mPrｯd (Ｒ)_Bﭯok1｟DasＲ000ｨwc_ｄas2Ｐ00b｢" xfId="2289"/>
    <cellStyle name="ｃurr･ncy＠[0]｟CtF｡mPrｯd (_xdf32_)_Bｯok1｟Ssi｣991Ｐ" xfId="2290"/>
    <cellStyle name="ｃurr･ncy＠[0]｟CtF｡mPrｯd (鼲)_MｅVT9Ｙ06_ｄAS9ＹZRR｟4" xfId="2291"/>
    <cellStyle name="ｃurr･ncy＠[0]｟CtF｡mPrﭯd (Ｒ)_Bｯok1ﭟDasＲ000ｨwc_Ｑ" xfId="2292"/>
    <cellStyle name="ｃurr･ncy＠[0]｟CtFﵡmPr﹯d (Ｒ)_MVT9Ｙ06_ｍevtＲ000Ｐ3" xfId="2293"/>
    <cellStyle name="ｃurr･ncy＠[0]｟CtF뽡mPr쵯d (Ｒ)_Bﭯok1｟DasＲ000ｨwc_ｄas2ﴰ00hｷc" xfId="2294"/>
    <cellStyle name="ｃurr･ncyﬠ[0]｟CtFﵡmPrｯd (Ｒ)_Bｯok1_xdf5f_DasＲ000ｨwc_ｍevt_xdf32_000ﴰ1" xfId="2295"/>
    <cellStyle name="Curren - Style2" xfId="2296"/>
    <cellStyle name="Currency [00]" xfId="2297"/>
    <cellStyle name="Currency0" xfId="2298"/>
    <cellStyle name="Currency1" xfId="2299"/>
    <cellStyle name="ｃurrﵥncy＠[0]｟CtF｡mPrｯd (Ｒ)_B_xdf6f_ok1｟DasＲ000ｨwc_ｍevtＲ000Ｐ3" xfId="2300"/>
    <cellStyle name="ｃurrﵥncyﬠ[0]｟CtF뽡mPrｯd (Ｒ)_M_xd945_VT9Ｙ06_ｍevtＹ907" xfId="2301"/>
    <cellStyle name="ｃurrﱥncy＠[0]ﵟCtF｡mPr흯d (Ｒ)_MｅVT9Ｙ06_ｍevtＲ000Ｐ1" xfId="2302"/>
    <cellStyle name="ｃurr뽥ncy[0]｟CtF｡mPrｯd (Ｒ)_Bｯok1｟DASＲ000ｓTANｄ" xfId="2303"/>
    <cellStyle name="Cuｲren｣y [Ｐ]_CﭴFamｐrod＠(2)｟Booｫ1_Bｯok6" xfId="2304"/>
    <cellStyle name="Cu뽲ren｣y [Ｐ]_CｴFamｐrodﴠ(2)｟Booｫ1_D｡s20Ｐ0bb" xfId="2305"/>
    <cellStyle name="Cu뽲ren｣y [אּ]_CｴFamｐrod缠(2)｟Booｫ1_D｡s20Ｐ0hw｣" xfId="2306"/>
    <cellStyle name="Date" xfId="2307"/>
    <cellStyle name="Date Short" xfId="2308"/>
    <cellStyle name="Date_060518 Jabil - Schneider Korea - Analysis BOM" xfId="2309"/>
    <cellStyle name="DELTA" xfId="2310"/>
    <cellStyle name="Delta Neg (Red)" xfId="2311"/>
    <cellStyle name="Dollar (zero dec)" xfId="2312"/>
    <cellStyle name="Double_Trait_Gauche" xfId="2313"/>
    <cellStyle name="EDI" xfId="2314"/>
    <cellStyle name="Edition_géné" xfId="2315"/>
    <cellStyle name="Enter Currency (0)" xfId="2316"/>
    <cellStyle name="Enter Currency (2)" xfId="2317"/>
    <cellStyle name="Enter Units (0)" xfId="2318"/>
    <cellStyle name="Enter Units (1)" xfId="2319"/>
    <cellStyle name="Enter Units (2)" xfId="2320"/>
    <cellStyle name="Entered" xfId="2321"/>
    <cellStyle name="entree" xfId="2322"/>
    <cellStyle name="Entrée" xfId="2323"/>
    <cellStyle name="Erreur" xfId="2324"/>
    <cellStyle name="Euro" xfId="2325"/>
    <cellStyle name="Ext Costs 2 Deci" xfId="2326"/>
    <cellStyle name="Fixed" xfId="2327"/>
    <cellStyle name="Fixed1 - Style1" xfId="2328"/>
    <cellStyle name="Fond_Vert" xfId="2329"/>
    <cellStyle name="Font_Actual" xfId="2330"/>
    <cellStyle name="Fyear" xfId="2331"/>
    <cellStyle name="Gilsans" xfId="2332"/>
    <cellStyle name="Gilsansl" xfId="2333"/>
    <cellStyle name="Grey" xfId="2334"/>
    <cellStyle name="Grisé" xfId="2335"/>
    <cellStyle name="h" xfId="2336"/>
    <cellStyle name="Head 1" xfId="2337"/>
    <cellStyle name="Head 2" xfId="2338"/>
    <cellStyle name="Head 3" xfId="2339"/>
    <cellStyle name="Header" xfId="2340"/>
    <cellStyle name="Header1" xfId="2341"/>
    <cellStyle name="Header2" xfId="2342"/>
    <cellStyle name="heading" xfId="2343"/>
    <cellStyle name="Heading1" xfId="2344"/>
    <cellStyle name="Heading2" xfId="2345"/>
    <cellStyle name="HEADINGS" xfId="2346"/>
    <cellStyle name="HEADINGSTOP" xfId="2347"/>
    <cellStyle name="HIGHLIGHT" xfId="2348"/>
    <cellStyle name="Input [yellow]" xfId="2349"/>
    <cellStyle name="Input Cells" xfId="2350"/>
    <cellStyle name="Insatisfaisant" xfId="2351"/>
    <cellStyle name="Komma [0]_BINV" xfId="2352"/>
    <cellStyle name="Komma_BINV" xfId="2353"/>
    <cellStyle name="l]_x000d__x000a_Path=h:_x000d__x000a_Name=Diana Chang_x000d__x000a_DDEApps=nsf,nsg,nsh,ntf,ns2,ors,org_x000d__x000a_SmartIcons=Read Message_x000d__x000a__x000d__x000a__x000d__x000a_[cc:Edit" xfId="2354"/>
    <cellStyle name="left" xfId="2355"/>
    <cellStyle name="Lien hypertexte visité_2002 Consolidation Run" xfId="2356"/>
    <cellStyle name="Lien hypertexte_18mm BOM-v0.3" xfId="2357"/>
    <cellStyle name="Link Currency (0)" xfId="2358"/>
    <cellStyle name="Link Currency (2)" xfId="2359"/>
    <cellStyle name="Link Units (0)" xfId="2360"/>
    <cellStyle name="Link Units (1)" xfId="2361"/>
    <cellStyle name="Link Units (2)" xfId="2362"/>
    <cellStyle name="Linked Cells" xfId="2363"/>
    <cellStyle name="m" xfId="2364"/>
    <cellStyle name="m_~0892429" xfId="2365"/>
    <cellStyle name="m_~1654936" xfId="2366"/>
    <cellStyle name="m_~5260565" xfId="2367"/>
    <cellStyle name="m_Batam" xfId="2368"/>
    <cellStyle name="m_BR Pic Dec07 (AP07) v3 (jade-DIN, CAPEX)" xfId="2369"/>
    <cellStyle name="m_FLV" xfId="2370"/>
    <cellStyle name="m_HC Effieiency exercise - 19 Oct 2007" xfId="2371"/>
    <cellStyle name="m_Headcount, MBC&amp;SFC evolution" xfId="2372"/>
    <cellStyle name="m_Headcount, MBC&amp;SFC evolution - SEIDS Ind" xfId="2373"/>
    <cellStyle name="m_Headcount, MBC&amp;SFC evolution China FLC" xfId="2374"/>
    <cellStyle name="m_Headcount, MBC&amp;SFC evolution China LVP" xfId="2375"/>
    <cellStyle name="m_Headcount, MBC&amp;SFC evolution TTL" xfId="2376"/>
    <cellStyle name="m_MBC&amp;SFC evolution - SBLV" xfId="2377"/>
    <cellStyle name="m_MBC&amp;SFC evolution - SELA" xfId="2378"/>
    <cellStyle name="m_MBC&amp;SFC evolution - SSIC" xfId="2379"/>
    <cellStyle name="m_MBC&amp;SFC evolution - SSLVTA" xfId="2380"/>
    <cellStyle name="m_MBC&amp;SFC HC - Oct.19 V1" xfId="2381"/>
    <cellStyle name="m_MBC&amp;SFC HC report 0710-SC&amp;L" xfId="2382"/>
    <cellStyle name="m_MBC&amp;SFC Headcount report" xfId="2383"/>
    <cellStyle name="m_Template BR (DCG) 2008-01-25" xfId="2384"/>
    <cellStyle name="Millares [0]_0g839geSRMtpxTIMUFPBS4Eyx" xfId="2385"/>
    <cellStyle name="Millares_0g839geSRMtpxTIMUFPBS4Eyx" xfId="2386"/>
    <cellStyle name="Milliers [0]_!!!GO" xfId="2387"/>
    <cellStyle name="Milliers_!!!GO" xfId="2388"/>
    <cellStyle name="Model" xfId="2389"/>
    <cellStyle name="Modifié" xfId="2390"/>
    <cellStyle name="Module_expert" xfId="2391"/>
    <cellStyle name="Moeda [0]" xfId="2392"/>
    <cellStyle name="Moeda_DCF_valuation_model-CDI" xfId="2393"/>
    <cellStyle name="Mon?aire [0]_8vRy0koXizLcp5BbwW9GcLOejh" xfId="2394"/>
    <cellStyle name="Mon?aire_8vRy0koXizLcp5BbwW9GcLOejj" xfId="2395"/>
    <cellStyle name="Moneda [0]_0g839geSRMtpxTIMUFPBS4Eyx" xfId="2396"/>
    <cellStyle name="Moneda_0g839geSRMtpxTIMUFPBS4Eyx" xfId="2397"/>
    <cellStyle name="Monétaire [0]_!!!GO" xfId="2398"/>
    <cellStyle name="Monétaire_!!!GO" xfId="2399"/>
    <cellStyle name="Mon閠aire [0]_8vRy0koXizLcp5BbwW9GcLOej" xfId="2400"/>
    <cellStyle name="Mon閠aire_8vRy0koXizLcp5BbwW9GcLOej" xfId="2401"/>
    <cellStyle name="Multiple" xfId="2402"/>
    <cellStyle name="Neutre" xfId="2403"/>
    <cellStyle name="New" xfId="2404"/>
    <cellStyle name="New Times Roman" xfId="2405"/>
    <cellStyle name="New_45 &amp; Risk management_factory Moving &amp; NPI Project_HMI_v1_20090210" xfId="2406"/>
    <cellStyle name="new2" xfId="2407"/>
    <cellStyle name="no dec" xfId="2408"/>
    <cellStyle name="Non_Saisie" xfId="2409"/>
    <cellStyle name="NonPrint_Heading" xfId="2410"/>
    <cellStyle name="Normal" xfId="0" builtinId="0"/>
    <cellStyle name="Normal - Style1" xfId="2411"/>
    <cellStyle name="Normal 2" xfId="2"/>
    <cellStyle name="Normal 2 2" xfId="2412"/>
    <cellStyle name="Normal 3" xfId="2413"/>
    <cellStyle name="Normal 4" xfId="2414"/>
    <cellStyle name="Normal 5" xfId="2415"/>
    <cellStyle name="Normál_DC-ZCAR árajánlat 0912" xfId="2416"/>
    <cellStyle name="normální_Pisek03" xfId="2417"/>
    <cellStyle name="NUM_" xfId="2418"/>
    <cellStyle name="Numéro_Colonne" xfId="2419"/>
    <cellStyle name="Œ…‹æØ‚è [0.00]_laroux" xfId="2420"/>
    <cellStyle name="Œ…‹æØ‚è_laroux" xfId="2421"/>
    <cellStyle name="Old_Module_expert" xfId="2422"/>
    <cellStyle name="Page Heading Large" xfId="2423"/>
    <cellStyle name="Page Heading Small" xfId="2424"/>
    <cellStyle name="paint" xfId="2425"/>
    <cellStyle name="Pattern_Forecast" xfId="2426"/>
    <cellStyle name="per.style" xfId="2427"/>
    <cellStyle name="Percent" xfId="1" builtinId="5"/>
    <cellStyle name="Percent [0]" xfId="2428"/>
    <cellStyle name="Percent [00]" xfId="2429"/>
    <cellStyle name="Percent [2]" xfId="2430"/>
    <cellStyle name="Percent 2" xfId="3"/>
    <cellStyle name="Percent 3" xfId="2431"/>
    <cellStyle name="Percent 4" xfId="2432"/>
    <cellStyle name="Percent Hard" xfId="2433"/>
    <cellStyle name="Pourcentage_Base Argos" xfId="2434"/>
    <cellStyle name="PrePop Currency (0)" xfId="2435"/>
    <cellStyle name="PrePop Currency (2)" xfId="2436"/>
    <cellStyle name="PrePop Units (0)" xfId="2437"/>
    <cellStyle name="PrePop Units (1)" xfId="2438"/>
    <cellStyle name="PrePop Units (2)" xfId="2439"/>
    <cellStyle name="pricing" xfId="2440"/>
    <cellStyle name="Procent_BINV" xfId="2441"/>
    <cellStyle name="Product Title" xfId="2442"/>
    <cellStyle name="PSChar" xfId="2443"/>
    <cellStyle name="PSDec" xfId="2444"/>
    <cellStyle name="R_TITLE" xfId="2445"/>
    <cellStyle name="R_TITLE_Book2" xfId="2446"/>
    <cellStyle name="R_TITLE_Book2_WPF NPI Team Weekly Meeting_Week9_2009" xfId="2447"/>
    <cellStyle name="R_TITLE_Book3" xfId="2448"/>
    <cellStyle name="R_TITLE_Book3_WPF NPI Team Weekly Meeting_Week9_2009" xfId="2449"/>
    <cellStyle name="R_TITLE_Colombus project card August WK32.2009" xfId="2450"/>
    <cellStyle name="R_TITLE_Eastwind project card July.2009" xfId="2451"/>
    <cellStyle name="R_TITLE_ELP&amp;H  project card 2008-11.19" xfId="2452"/>
    <cellStyle name="R_TITLE_ELP&amp;H  project card WK7,2009" xfId="2453"/>
    <cellStyle name="R_TITLE_GP Project tool box 200902" xfId="2454"/>
    <cellStyle name="R_TITLE_GP Project tool box 200902_WPF NPI Team Weekly Meeting_Week9_2009" xfId="2455"/>
    <cellStyle name="R_TITLE_Hongqi project card June.2009" xfId="2456"/>
    <cellStyle name="R_TITLE_Malan project card 2008-09-01" xfId="2457"/>
    <cellStyle name="R_TITLE_Sepam20&amp;40  project card 2008-11-14" xfId="2458"/>
    <cellStyle name="R_TITLE_WPF NPI Team Weekly Meeting_Week12_2009_Mar 16th" xfId="2459"/>
    <cellStyle name="R_TITLE_WPF NPI Team Weekly Meeting_Week27_2009_June 29th" xfId="2460"/>
    <cellStyle name="R_TITLE_WPF NPI Team Weekly Meeting_Week34_2009_Aug 17th" xfId="2461"/>
    <cellStyle name="Ramp Up" xfId="2462"/>
    <cellStyle name="Reference" xfId="2463"/>
    <cellStyle name="regstoresfromspecstores" xfId="2464"/>
    <cellStyle name="RevList" xfId="2465"/>
    <cellStyle name="Saisie" xfId="2466"/>
    <cellStyle name="SAPBEXaggData" xfId="2467"/>
    <cellStyle name="SAPBEXaggDataEmph" xfId="2468"/>
    <cellStyle name="SAPBEXaggItem" xfId="2469"/>
    <cellStyle name="SAPBEXaggItemX" xfId="2470"/>
    <cellStyle name="SAPBEXchaText" xfId="2471"/>
    <cellStyle name="SAPBEXexcBad7" xfId="2472"/>
    <cellStyle name="SAPBEXexcBad8" xfId="2473"/>
    <cellStyle name="SAPBEXexcBad9" xfId="2474"/>
    <cellStyle name="SAPBEXexcCritical4" xfId="2475"/>
    <cellStyle name="SAPBEXexcCritical5" xfId="2476"/>
    <cellStyle name="SAPBEXexcCritical6" xfId="2477"/>
    <cellStyle name="SAPBEXexcGood1" xfId="2478"/>
    <cellStyle name="SAPBEXexcGood2" xfId="2479"/>
    <cellStyle name="SAPBEXexcGood3" xfId="2480"/>
    <cellStyle name="SAPBEXfilterDrill" xfId="2481"/>
    <cellStyle name="SAPBEXfilterItem" xfId="2482"/>
    <cellStyle name="SAPBEXfilterText" xfId="2483"/>
    <cellStyle name="SAPBEXformats" xfId="2484"/>
    <cellStyle name="SAPBEXheaderItem" xfId="2485"/>
    <cellStyle name="SAPBEXheaderText" xfId="2486"/>
    <cellStyle name="SAPBEXHLevel0" xfId="2487"/>
    <cellStyle name="SAPBEXHLevel0X" xfId="2488"/>
    <cellStyle name="SAPBEXHLevel1" xfId="2489"/>
    <cellStyle name="SAPBEXHLevel1X" xfId="2490"/>
    <cellStyle name="SAPBEXHLevel2" xfId="2491"/>
    <cellStyle name="SAPBEXHLevel2X" xfId="2492"/>
    <cellStyle name="SAPBEXHLevel3" xfId="2493"/>
    <cellStyle name="SAPBEXHLevel3X" xfId="2494"/>
    <cellStyle name="SAPBEXresData" xfId="2495"/>
    <cellStyle name="SAPBEXresDataEmph" xfId="2496"/>
    <cellStyle name="SAPBEXresItem" xfId="2497"/>
    <cellStyle name="SAPBEXresItemX" xfId="2498"/>
    <cellStyle name="SAPBEXstdData" xfId="2499"/>
    <cellStyle name="SAPBEXstdDataEmph" xfId="2500"/>
    <cellStyle name="SAPBEXstdItem" xfId="2501"/>
    <cellStyle name="SAPBEXstdItemX" xfId="2502"/>
    <cellStyle name="SAPBEXtitle" xfId="2503"/>
    <cellStyle name="SAPBEXundefined" xfId="2504"/>
    <cellStyle name="Satisfaisant" xfId="2505"/>
    <cellStyle name="Separador de milhares [0]" xfId="2506"/>
    <cellStyle name="Separador de milhares_AOC_Guararema_dez05" xfId="2507"/>
    <cellStyle name="Shaded" xfId="2508"/>
    <cellStyle name="SHADEDSTORES" xfId="2509"/>
    <cellStyle name="Sortie" xfId="2510"/>
    <cellStyle name="specstores" xfId="2511"/>
    <cellStyle name="Standaard_BINV" xfId="2512"/>
    <cellStyle name="STANDARD" xfId="2513"/>
    <cellStyle name="Standard format" xfId="2514"/>
    <cellStyle name="Standard_Tabelle1" xfId="2515"/>
    <cellStyle name="Style 1" xfId="2516"/>
    <cellStyle name="STYLE1" xfId="2517"/>
    <cellStyle name="STYLE2" xfId="2518"/>
    <cellStyle name="STYLE3" xfId="2519"/>
    <cellStyle name="subhead" xfId="2520"/>
    <cellStyle name="Subtotal" xfId="2521"/>
    <cellStyle name="table" xfId="2522"/>
    <cellStyle name="Table Col Head" xfId="2523"/>
    <cellStyle name="Table Sub Head" xfId="2524"/>
    <cellStyle name="Table Title" xfId="2525"/>
    <cellStyle name="Table Units" xfId="2526"/>
    <cellStyle name="Text Indent A" xfId="2527"/>
    <cellStyle name="Text Indent B" xfId="2528"/>
    <cellStyle name="Text Indent C" xfId="2529"/>
    <cellStyle name="Texte explicatif" xfId="2530"/>
    <cellStyle name="Titre" xfId="2531"/>
    <cellStyle name="Titre 1" xfId="2532"/>
    <cellStyle name="Titre 2" xfId="2533"/>
    <cellStyle name="Titre 3" xfId="2534"/>
    <cellStyle name="Titre 4" xfId="2535"/>
    <cellStyle name="Titre_Allocation Key 2009Dec" xfId="2536"/>
    <cellStyle name="TOGGLEOFF" xfId="2537"/>
    <cellStyle name="TOGGLEON" xfId="2538"/>
    <cellStyle name="Tusental (0)_sammanställning" xfId="2539"/>
    <cellStyle name="Tusental_sammanställning" xfId="2540"/>
    <cellStyle name="Unit Costs 5 Dec" xfId="2541"/>
    <cellStyle name="Unprot" xfId="2542"/>
    <cellStyle name="Unprot$" xfId="2543"/>
    <cellStyle name="Unprotect" xfId="2544"/>
    <cellStyle name="ures" xfId="2545"/>
    <cellStyle name="Valuta (0)_B.o.M. PTC4.  con descrizionexls" xfId="2546"/>
    <cellStyle name="Valuta [0]_BINV" xfId="2547"/>
    <cellStyle name="Valuta_B.o.M. PTC4.  con descrizionexls" xfId="2548"/>
    <cellStyle name="Vérification" xfId="2549"/>
    <cellStyle name="Vpershare" xfId="2550"/>
    <cellStyle name="Vstandard" xfId="2551"/>
    <cellStyle name="Währung [0]_TemplateCAPEX" xfId="2552"/>
    <cellStyle name="Währung_TemplateCAPEX" xfId="2553"/>
    <cellStyle name="WAYNE" xfId="2554"/>
    <cellStyle name="WHITEONBLUE" xfId="2555"/>
    <cellStyle name="wrap" xfId="2556"/>
    <cellStyle name="Year" xfId="2557"/>
    <cellStyle name="Yellow" xfId="2558"/>
    <cellStyle name="パーセント()" xfId="2559"/>
    <cellStyle name="パーセント(0.00)" xfId="2560"/>
    <cellStyle name="パーセント[0.00]" xfId="2561"/>
    <cellStyle name="ףּurr_xdf65_ncy＠[0]｟CtF｡mPrｯd (Ｒ)_Bｯok1DASＹ9BB" xfId="2562"/>
    <cellStyle name="百分比 2" xfId="5"/>
    <cellStyle name="捠壿 [0.00]_laroux" xfId="2563"/>
    <cellStyle name="捠壿_laroux" xfId="2564"/>
    <cellStyle name="標準_2003年7月度WPF生产数据" xfId="2565"/>
    <cellStyle name="常规 2" xfId="4"/>
    <cellStyle name="超级链接_AP-- " xfId="2566"/>
    <cellStyle name="繁体" xfId="2567"/>
    <cellStyle name="分级显示行_1_0250" xfId="2568"/>
    <cellStyle name="桁区切り [0.00]_laroux" xfId="2569"/>
    <cellStyle name="桁区切り_laroux" xfId="2570"/>
    <cellStyle name="后继超级链接_AP-- " xfId="2571"/>
    <cellStyle name="貨幣 [0]_RESULTS" xfId="2572"/>
    <cellStyle name="貨幣_RESULTS" xfId="2573"/>
    <cellStyle name="見出し１" xfId="2574"/>
    <cellStyle name="뒤에 오는 하이퍼링크_01.07월 기구수불현황2" xfId="2575"/>
    <cellStyle name="普通_0250" xfId="2576"/>
    <cellStyle name="千分位[0]_1" xfId="2577"/>
    <cellStyle name="千分位_1" xfId="2578"/>
    <cellStyle name="千位[0]_1 (3)" xfId="2579"/>
    <cellStyle name="千位_1 (3)" xfId="2580"/>
    <cellStyle name="千位分隔 2" xfId="2581"/>
    <cellStyle name="通貨 [0.00]_laroux" xfId="2582"/>
    <cellStyle name="通貨_laroux" xfId="2583"/>
    <cellStyle name="样式 1" xfId="2584"/>
    <cellStyle name="一般_3.7 Cash  Bank Borrowings" xfId="2585"/>
    <cellStyle name="백분율_95" xfId="2586"/>
    <cellStyle name="昗弨" xfId="2587"/>
    <cellStyle name="折り返し" xfId="2588"/>
    <cellStyle name="寘嬫愗傝 [0.00]_laroux" xfId="2589"/>
    <cellStyle name="寘嬫愗傝_laroux" xfId="2590"/>
    <cellStyle name="뷭?_BOOKSHIP" xfId="2591"/>
    <cellStyle name="쉼표 [0]_~8400309" xfId="2592"/>
    <cellStyle name="쉼표_CBOM based on file Quotation_051102 revised Dec 15th" xfId="2593"/>
    <cellStyle name="지정되지 않음" xfId="2594"/>
    <cellStyle name="콤마 [0]_  종  합  " xfId="2595"/>
    <cellStyle name="콤마_  종  합  " xfId="2596"/>
    <cellStyle name="통화 [0]_95" xfId="2597"/>
    <cellStyle name="통화_95" xfId="2598"/>
    <cellStyle name="퍼센트" xfId="2599"/>
    <cellStyle name="표서식" xfId="2600"/>
    <cellStyle name="표준_~5691428" xfId="2601"/>
    <cellStyle name="하이퍼링크_~8400309" xfId="2602"/>
  </cellStyles>
  <dxfs count="1">
    <dxf>
      <font>
        <condense val="0"/>
        <extend val="0"/>
        <color indexed="4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4.xml"/><Relationship Id="rId21" Type="http://schemas.openxmlformats.org/officeDocument/2006/relationships/externalLink" Target="externalLinks/externalLink8.xml"/><Relationship Id="rId42" Type="http://schemas.openxmlformats.org/officeDocument/2006/relationships/externalLink" Target="externalLinks/externalLink29.xml"/><Relationship Id="rId47" Type="http://schemas.openxmlformats.org/officeDocument/2006/relationships/externalLink" Target="externalLinks/externalLink34.xml"/><Relationship Id="rId63" Type="http://schemas.openxmlformats.org/officeDocument/2006/relationships/externalLink" Target="externalLinks/externalLink50.xml"/><Relationship Id="rId68" Type="http://schemas.openxmlformats.org/officeDocument/2006/relationships/externalLink" Target="externalLinks/externalLink55.xml"/><Relationship Id="rId84" Type="http://schemas.openxmlformats.org/officeDocument/2006/relationships/externalLink" Target="externalLinks/externalLink71.xml"/><Relationship Id="rId89" Type="http://schemas.openxmlformats.org/officeDocument/2006/relationships/externalLink" Target="externalLinks/externalLink76.xml"/><Relationship Id="rId112" Type="http://schemas.openxmlformats.org/officeDocument/2006/relationships/externalLink" Target="externalLinks/externalLink99.xml"/><Relationship Id="rId133" Type="http://schemas.openxmlformats.org/officeDocument/2006/relationships/externalLink" Target="externalLinks/externalLink120.xml"/><Relationship Id="rId138" Type="http://schemas.openxmlformats.org/officeDocument/2006/relationships/externalLink" Target="externalLinks/externalLink125.xml"/><Relationship Id="rId154" Type="http://schemas.openxmlformats.org/officeDocument/2006/relationships/externalLink" Target="externalLinks/externalLink141.xml"/><Relationship Id="rId159" Type="http://schemas.openxmlformats.org/officeDocument/2006/relationships/externalLink" Target="externalLinks/externalLink146.xml"/><Relationship Id="rId175" Type="http://schemas.openxmlformats.org/officeDocument/2006/relationships/externalLink" Target="externalLinks/externalLink162.xml"/><Relationship Id="rId170" Type="http://schemas.openxmlformats.org/officeDocument/2006/relationships/externalLink" Target="externalLinks/externalLink157.xml"/><Relationship Id="rId191" Type="http://schemas.openxmlformats.org/officeDocument/2006/relationships/externalLink" Target="externalLinks/externalLink178.xml"/><Relationship Id="rId196" Type="http://schemas.microsoft.com/office/2006/relationships/vbaProject" Target="vbaProject.bin"/><Relationship Id="rId16" Type="http://schemas.openxmlformats.org/officeDocument/2006/relationships/externalLink" Target="externalLinks/externalLink3.xml"/><Relationship Id="rId107" Type="http://schemas.openxmlformats.org/officeDocument/2006/relationships/externalLink" Target="externalLinks/externalLink94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9.xml"/><Relationship Id="rId37" Type="http://schemas.openxmlformats.org/officeDocument/2006/relationships/externalLink" Target="externalLinks/externalLink24.xml"/><Relationship Id="rId53" Type="http://schemas.openxmlformats.org/officeDocument/2006/relationships/externalLink" Target="externalLinks/externalLink40.xml"/><Relationship Id="rId58" Type="http://schemas.openxmlformats.org/officeDocument/2006/relationships/externalLink" Target="externalLinks/externalLink45.xml"/><Relationship Id="rId74" Type="http://schemas.openxmlformats.org/officeDocument/2006/relationships/externalLink" Target="externalLinks/externalLink61.xml"/><Relationship Id="rId79" Type="http://schemas.openxmlformats.org/officeDocument/2006/relationships/externalLink" Target="externalLinks/externalLink66.xml"/><Relationship Id="rId102" Type="http://schemas.openxmlformats.org/officeDocument/2006/relationships/externalLink" Target="externalLinks/externalLink89.xml"/><Relationship Id="rId123" Type="http://schemas.openxmlformats.org/officeDocument/2006/relationships/externalLink" Target="externalLinks/externalLink110.xml"/><Relationship Id="rId128" Type="http://schemas.openxmlformats.org/officeDocument/2006/relationships/externalLink" Target="externalLinks/externalLink115.xml"/><Relationship Id="rId144" Type="http://schemas.openxmlformats.org/officeDocument/2006/relationships/externalLink" Target="externalLinks/externalLink131.xml"/><Relationship Id="rId149" Type="http://schemas.openxmlformats.org/officeDocument/2006/relationships/externalLink" Target="externalLinks/externalLink136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7.xml"/><Relationship Id="rId95" Type="http://schemas.openxmlformats.org/officeDocument/2006/relationships/externalLink" Target="externalLinks/externalLink82.xml"/><Relationship Id="rId160" Type="http://schemas.openxmlformats.org/officeDocument/2006/relationships/externalLink" Target="externalLinks/externalLink147.xml"/><Relationship Id="rId165" Type="http://schemas.openxmlformats.org/officeDocument/2006/relationships/externalLink" Target="externalLinks/externalLink152.xml"/><Relationship Id="rId181" Type="http://schemas.openxmlformats.org/officeDocument/2006/relationships/externalLink" Target="externalLinks/externalLink168.xml"/><Relationship Id="rId186" Type="http://schemas.openxmlformats.org/officeDocument/2006/relationships/externalLink" Target="externalLinks/externalLink173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43" Type="http://schemas.openxmlformats.org/officeDocument/2006/relationships/externalLink" Target="externalLinks/externalLink30.xml"/><Relationship Id="rId48" Type="http://schemas.openxmlformats.org/officeDocument/2006/relationships/externalLink" Target="externalLinks/externalLink35.xml"/><Relationship Id="rId64" Type="http://schemas.openxmlformats.org/officeDocument/2006/relationships/externalLink" Target="externalLinks/externalLink51.xml"/><Relationship Id="rId69" Type="http://schemas.openxmlformats.org/officeDocument/2006/relationships/externalLink" Target="externalLinks/externalLink56.xml"/><Relationship Id="rId113" Type="http://schemas.openxmlformats.org/officeDocument/2006/relationships/externalLink" Target="externalLinks/externalLink100.xml"/><Relationship Id="rId118" Type="http://schemas.openxmlformats.org/officeDocument/2006/relationships/externalLink" Target="externalLinks/externalLink105.xml"/><Relationship Id="rId134" Type="http://schemas.openxmlformats.org/officeDocument/2006/relationships/externalLink" Target="externalLinks/externalLink121.xml"/><Relationship Id="rId139" Type="http://schemas.openxmlformats.org/officeDocument/2006/relationships/externalLink" Target="externalLinks/externalLink126.xml"/><Relationship Id="rId80" Type="http://schemas.openxmlformats.org/officeDocument/2006/relationships/externalLink" Target="externalLinks/externalLink67.xml"/><Relationship Id="rId85" Type="http://schemas.openxmlformats.org/officeDocument/2006/relationships/externalLink" Target="externalLinks/externalLink72.xml"/><Relationship Id="rId150" Type="http://schemas.openxmlformats.org/officeDocument/2006/relationships/externalLink" Target="externalLinks/externalLink137.xml"/><Relationship Id="rId155" Type="http://schemas.openxmlformats.org/officeDocument/2006/relationships/externalLink" Target="externalLinks/externalLink142.xml"/><Relationship Id="rId171" Type="http://schemas.openxmlformats.org/officeDocument/2006/relationships/externalLink" Target="externalLinks/externalLink158.xml"/><Relationship Id="rId176" Type="http://schemas.openxmlformats.org/officeDocument/2006/relationships/externalLink" Target="externalLinks/externalLink163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33" Type="http://schemas.openxmlformats.org/officeDocument/2006/relationships/externalLink" Target="externalLinks/externalLink20.xml"/><Relationship Id="rId38" Type="http://schemas.openxmlformats.org/officeDocument/2006/relationships/externalLink" Target="externalLinks/externalLink25.xml"/><Relationship Id="rId59" Type="http://schemas.openxmlformats.org/officeDocument/2006/relationships/externalLink" Target="externalLinks/externalLink46.xml"/><Relationship Id="rId103" Type="http://schemas.openxmlformats.org/officeDocument/2006/relationships/externalLink" Target="externalLinks/externalLink90.xml"/><Relationship Id="rId108" Type="http://schemas.openxmlformats.org/officeDocument/2006/relationships/externalLink" Target="externalLinks/externalLink95.xml"/><Relationship Id="rId124" Type="http://schemas.openxmlformats.org/officeDocument/2006/relationships/externalLink" Target="externalLinks/externalLink111.xml"/><Relationship Id="rId129" Type="http://schemas.openxmlformats.org/officeDocument/2006/relationships/externalLink" Target="externalLinks/externalLink116.xml"/><Relationship Id="rId54" Type="http://schemas.openxmlformats.org/officeDocument/2006/relationships/externalLink" Target="externalLinks/externalLink41.xml"/><Relationship Id="rId70" Type="http://schemas.openxmlformats.org/officeDocument/2006/relationships/externalLink" Target="externalLinks/externalLink57.xml"/><Relationship Id="rId75" Type="http://schemas.openxmlformats.org/officeDocument/2006/relationships/externalLink" Target="externalLinks/externalLink62.xml"/><Relationship Id="rId91" Type="http://schemas.openxmlformats.org/officeDocument/2006/relationships/externalLink" Target="externalLinks/externalLink78.xml"/><Relationship Id="rId96" Type="http://schemas.openxmlformats.org/officeDocument/2006/relationships/externalLink" Target="externalLinks/externalLink83.xml"/><Relationship Id="rId140" Type="http://schemas.openxmlformats.org/officeDocument/2006/relationships/externalLink" Target="externalLinks/externalLink127.xml"/><Relationship Id="rId145" Type="http://schemas.openxmlformats.org/officeDocument/2006/relationships/externalLink" Target="externalLinks/externalLink132.xml"/><Relationship Id="rId161" Type="http://schemas.openxmlformats.org/officeDocument/2006/relationships/externalLink" Target="externalLinks/externalLink148.xml"/><Relationship Id="rId166" Type="http://schemas.openxmlformats.org/officeDocument/2006/relationships/externalLink" Target="externalLinks/externalLink153.xml"/><Relationship Id="rId182" Type="http://schemas.openxmlformats.org/officeDocument/2006/relationships/externalLink" Target="externalLinks/externalLink169.xml"/><Relationship Id="rId187" Type="http://schemas.openxmlformats.org/officeDocument/2006/relationships/externalLink" Target="externalLinks/externalLink17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49" Type="http://schemas.openxmlformats.org/officeDocument/2006/relationships/externalLink" Target="externalLinks/externalLink36.xml"/><Relationship Id="rId114" Type="http://schemas.openxmlformats.org/officeDocument/2006/relationships/externalLink" Target="externalLinks/externalLink101.xml"/><Relationship Id="rId119" Type="http://schemas.openxmlformats.org/officeDocument/2006/relationships/externalLink" Target="externalLinks/externalLink106.xml"/><Relationship Id="rId44" Type="http://schemas.openxmlformats.org/officeDocument/2006/relationships/externalLink" Target="externalLinks/externalLink31.xml"/><Relationship Id="rId60" Type="http://schemas.openxmlformats.org/officeDocument/2006/relationships/externalLink" Target="externalLinks/externalLink47.xml"/><Relationship Id="rId65" Type="http://schemas.openxmlformats.org/officeDocument/2006/relationships/externalLink" Target="externalLinks/externalLink52.xml"/><Relationship Id="rId81" Type="http://schemas.openxmlformats.org/officeDocument/2006/relationships/externalLink" Target="externalLinks/externalLink68.xml"/><Relationship Id="rId86" Type="http://schemas.openxmlformats.org/officeDocument/2006/relationships/externalLink" Target="externalLinks/externalLink73.xml"/><Relationship Id="rId130" Type="http://schemas.openxmlformats.org/officeDocument/2006/relationships/externalLink" Target="externalLinks/externalLink117.xml"/><Relationship Id="rId135" Type="http://schemas.openxmlformats.org/officeDocument/2006/relationships/externalLink" Target="externalLinks/externalLink122.xml"/><Relationship Id="rId151" Type="http://schemas.openxmlformats.org/officeDocument/2006/relationships/externalLink" Target="externalLinks/externalLink138.xml"/><Relationship Id="rId156" Type="http://schemas.openxmlformats.org/officeDocument/2006/relationships/externalLink" Target="externalLinks/externalLink143.xml"/><Relationship Id="rId177" Type="http://schemas.openxmlformats.org/officeDocument/2006/relationships/externalLink" Target="externalLinks/externalLink164.xml"/><Relationship Id="rId172" Type="http://schemas.openxmlformats.org/officeDocument/2006/relationships/externalLink" Target="externalLinks/externalLink159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9" Type="http://schemas.openxmlformats.org/officeDocument/2006/relationships/externalLink" Target="externalLinks/externalLink26.xml"/><Relationship Id="rId109" Type="http://schemas.openxmlformats.org/officeDocument/2006/relationships/externalLink" Target="externalLinks/externalLink96.xml"/><Relationship Id="rId34" Type="http://schemas.openxmlformats.org/officeDocument/2006/relationships/externalLink" Target="externalLinks/externalLink21.xml"/><Relationship Id="rId50" Type="http://schemas.openxmlformats.org/officeDocument/2006/relationships/externalLink" Target="externalLinks/externalLink37.xml"/><Relationship Id="rId55" Type="http://schemas.openxmlformats.org/officeDocument/2006/relationships/externalLink" Target="externalLinks/externalLink42.xml"/><Relationship Id="rId76" Type="http://schemas.openxmlformats.org/officeDocument/2006/relationships/externalLink" Target="externalLinks/externalLink63.xml"/><Relationship Id="rId97" Type="http://schemas.openxmlformats.org/officeDocument/2006/relationships/externalLink" Target="externalLinks/externalLink84.xml"/><Relationship Id="rId104" Type="http://schemas.openxmlformats.org/officeDocument/2006/relationships/externalLink" Target="externalLinks/externalLink91.xml"/><Relationship Id="rId120" Type="http://schemas.openxmlformats.org/officeDocument/2006/relationships/externalLink" Target="externalLinks/externalLink107.xml"/><Relationship Id="rId125" Type="http://schemas.openxmlformats.org/officeDocument/2006/relationships/externalLink" Target="externalLinks/externalLink112.xml"/><Relationship Id="rId141" Type="http://schemas.openxmlformats.org/officeDocument/2006/relationships/externalLink" Target="externalLinks/externalLink128.xml"/><Relationship Id="rId146" Type="http://schemas.openxmlformats.org/officeDocument/2006/relationships/externalLink" Target="externalLinks/externalLink133.xml"/><Relationship Id="rId167" Type="http://schemas.openxmlformats.org/officeDocument/2006/relationships/externalLink" Target="externalLinks/externalLink154.xml"/><Relationship Id="rId188" Type="http://schemas.openxmlformats.org/officeDocument/2006/relationships/externalLink" Target="externalLinks/externalLink17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8.xml"/><Relationship Id="rId92" Type="http://schemas.openxmlformats.org/officeDocument/2006/relationships/externalLink" Target="externalLinks/externalLink79.xml"/><Relationship Id="rId162" Type="http://schemas.openxmlformats.org/officeDocument/2006/relationships/externalLink" Target="externalLinks/externalLink149.xml"/><Relationship Id="rId183" Type="http://schemas.openxmlformats.org/officeDocument/2006/relationships/externalLink" Target="externalLinks/externalLink170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6.xml"/><Relationship Id="rId24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27.xml"/><Relationship Id="rId45" Type="http://schemas.openxmlformats.org/officeDocument/2006/relationships/externalLink" Target="externalLinks/externalLink32.xml"/><Relationship Id="rId66" Type="http://schemas.openxmlformats.org/officeDocument/2006/relationships/externalLink" Target="externalLinks/externalLink53.xml"/><Relationship Id="rId87" Type="http://schemas.openxmlformats.org/officeDocument/2006/relationships/externalLink" Target="externalLinks/externalLink74.xml"/><Relationship Id="rId110" Type="http://schemas.openxmlformats.org/officeDocument/2006/relationships/externalLink" Target="externalLinks/externalLink97.xml"/><Relationship Id="rId115" Type="http://schemas.openxmlformats.org/officeDocument/2006/relationships/externalLink" Target="externalLinks/externalLink102.xml"/><Relationship Id="rId131" Type="http://schemas.openxmlformats.org/officeDocument/2006/relationships/externalLink" Target="externalLinks/externalLink118.xml"/><Relationship Id="rId136" Type="http://schemas.openxmlformats.org/officeDocument/2006/relationships/externalLink" Target="externalLinks/externalLink123.xml"/><Relationship Id="rId157" Type="http://schemas.openxmlformats.org/officeDocument/2006/relationships/externalLink" Target="externalLinks/externalLink144.xml"/><Relationship Id="rId178" Type="http://schemas.openxmlformats.org/officeDocument/2006/relationships/externalLink" Target="externalLinks/externalLink165.xml"/><Relationship Id="rId61" Type="http://schemas.openxmlformats.org/officeDocument/2006/relationships/externalLink" Target="externalLinks/externalLink48.xml"/><Relationship Id="rId82" Type="http://schemas.openxmlformats.org/officeDocument/2006/relationships/externalLink" Target="externalLinks/externalLink69.xml"/><Relationship Id="rId152" Type="http://schemas.openxmlformats.org/officeDocument/2006/relationships/externalLink" Target="externalLinks/externalLink139.xml"/><Relationship Id="rId173" Type="http://schemas.openxmlformats.org/officeDocument/2006/relationships/externalLink" Target="externalLinks/externalLink160.xml"/><Relationship Id="rId194" Type="http://schemas.openxmlformats.org/officeDocument/2006/relationships/sharedStrings" Target="sharedStrings.xml"/><Relationship Id="rId1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.xml"/><Relationship Id="rId30" Type="http://schemas.openxmlformats.org/officeDocument/2006/relationships/externalLink" Target="externalLinks/externalLink17.xml"/><Relationship Id="rId35" Type="http://schemas.openxmlformats.org/officeDocument/2006/relationships/externalLink" Target="externalLinks/externalLink22.xml"/><Relationship Id="rId56" Type="http://schemas.openxmlformats.org/officeDocument/2006/relationships/externalLink" Target="externalLinks/externalLink43.xml"/><Relationship Id="rId77" Type="http://schemas.openxmlformats.org/officeDocument/2006/relationships/externalLink" Target="externalLinks/externalLink64.xml"/><Relationship Id="rId100" Type="http://schemas.openxmlformats.org/officeDocument/2006/relationships/externalLink" Target="externalLinks/externalLink87.xml"/><Relationship Id="rId105" Type="http://schemas.openxmlformats.org/officeDocument/2006/relationships/externalLink" Target="externalLinks/externalLink92.xml"/><Relationship Id="rId126" Type="http://schemas.openxmlformats.org/officeDocument/2006/relationships/externalLink" Target="externalLinks/externalLink113.xml"/><Relationship Id="rId147" Type="http://schemas.openxmlformats.org/officeDocument/2006/relationships/externalLink" Target="externalLinks/externalLink134.xml"/><Relationship Id="rId168" Type="http://schemas.openxmlformats.org/officeDocument/2006/relationships/externalLink" Target="externalLinks/externalLink155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8.xml"/><Relationship Id="rId72" Type="http://schemas.openxmlformats.org/officeDocument/2006/relationships/externalLink" Target="externalLinks/externalLink59.xml"/><Relationship Id="rId93" Type="http://schemas.openxmlformats.org/officeDocument/2006/relationships/externalLink" Target="externalLinks/externalLink80.xml"/><Relationship Id="rId98" Type="http://schemas.openxmlformats.org/officeDocument/2006/relationships/externalLink" Target="externalLinks/externalLink85.xml"/><Relationship Id="rId121" Type="http://schemas.openxmlformats.org/officeDocument/2006/relationships/externalLink" Target="externalLinks/externalLink108.xml"/><Relationship Id="rId142" Type="http://schemas.openxmlformats.org/officeDocument/2006/relationships/externalLink" Target="externalLinks/externalLink129.xml"/><Relationship Id="rId163" Type="http://schemas.openxmlformats.org/officeDocument/2006/relationships/externalLink" Target="externalLinks/externalLink150.xml"/><Relationship Id="rId184" Type="http://schemas.openxmlformats.org/officeDocument/2006/relationships/externalLink" Target="externalLinks/externalLink171.xml"/><Relationship Id="rId189" Type="http://schemas.openxmlformats.org/officeDocument/2006/relationships/externalLink" Target="externalLinks/externalLink176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12.xml"/><Relationship Id="rId46" Type="http://schemas.openxmlformats.org/officeDocument/2006/relationships/externalLink" Target="externalLinks/externalLink33.xml"/><Relationship Id="rId67" Type="http://schemas.openxmlformats.org/officeDocument/2006/relationships/externalLink" Target="externalLinks/externalLink54.xml"/><Relationship Id="rId116" Type="http://schemas.openxmlformats.org/officeDocument/2006/relationships/externalLink" Target="externalLinks/externalLink103.xml"/><Relationship Id="rId137" Type="http://schemas.openxmlformats.org/officeDocument/2006/relationships/externalLink" Target="externalLinks/externalLink124.xml"/><Relationship Id="rId158" Type="http://schemas.openxmlformats.org/officeDocument/2006/relationships/externalLink" Target="externalLinks/externalLink145.xml"/><Relationship Id="rId20" Type="http://schemas.openxmlformats.org/officeDocument/2006/relationships/externalLink" Target="externalLinks/externalLink7.xml"/><Relationship Id="rId41" Type="http://schemas.openxmlformats.org/officeDocument/2006/relationships/externalLink" Target="externalLinks/externalLink28.xml"/><Relationship Id="rId62" Type="http://schemas.openxmlformats.org/officeDocument/2006/relationships/externalLink" Target="externalLinks/externalLink49.xml"/><Relationship Id="rId83" Type="http://schemas.openxmlformats.org/officeDocument/2006/relationships/externalLink" Target="externalLinks/externalLink70.xml"/><Relationship Id="rId88" Type="http://schemas.openxmlformats.org/officeDocument/2006/relationships/externalLink" Target="externalLinks/externalLink75.xml"/><Relationship Id="rId111" Type="http://schemas.openxmlformats.org/officeDocument/2006/relationships/externalLink" Target="externalLinks/externalLink98.xml"/><Relationship Id="rId132" Type="http://schemas.openxmlformats.org/officeDocument/2006/relationships/externalLink" Target="externalLinks/externalLink119.xml"/><Relationship Id="rId153" Type="http://schemas.openxmlformats.org/officeDocument/2006/relationships/externalLink" Target="externalLinks/externalLink140.xml"/><Relationship Id="rId174" Type="http://schemas.openxmlformats.org/officeDocument/2006/relationships/externalLink" Target="externalLinks/externalLink161.xml"/><Relationship Id="rId179" Type="http://schemas.openxmlformats.org/officeDocument/2006/relationships/externalLink" Target="externalLinks/externalLink166.xml"/><Relationship Id="rId195" Type="http://schemas.openxmlformats.org/officeDocument/2006/relationships/calcChain" Target="calcChain.xml"/><Relationship Id="rId190" Type="http://schemas.openxmlformats.org/officeDocument/2006/relationships/externalLink" Target="externalLinks/externalLink177.xml"/><Relationship Id="rId15" Type="http://schemas.openxmlformats.org/officeDocument/2006/relationships/externalLink" Target="externalLinks/externalLink2.xml"/><Relationship Id="rId36" Type="http://schemas.openxmlformats.org/officeDocument/2006/relationships/externalLink" Target="externalLinks/externalLink23.xml"/><Relationship Id="rId57" Type="http://schemas.openxmlformats.org/officeDocument/2006/relationships/externalLink" Target="externalLinks/externalLink44.xml"/><Relationship Id="rId106" Type="http://schemas.openxmlformats.org/officeDocument/2006/relationships/externalLink" Target="externalLinks/externalLink93.xml"/><Relationship Id="rId127" Type="http://schemas.openxmlformats.org/officeDocument/2006/relationships/externalLink" Target="externalLinks/externalLink114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8.xml"/><Relationship Id="rId52" Type="http://schemas.openxmlformats.org/officeDocument/2006/relationships/externalLink" Target="externalLinks/externalLink39.xml"/><Relationship Id="rId73" Type="http://schemas.openxmlformats.org/officeDocument/2006/relationships/externalLink" Target="externalLinks/externalLink60.xml"/><Relationship Id="rId78" Type="http://schemas.openxmlformats.org/officeDocument/2006/relationships/externalLink" Target="externalLinks/externalLink65.xml"/><Relationship Id="rId94" Type="http://schemas.openxmlformats.org/officeDocument/2006/relationships/externalLink" Target="externalLinks/externalLink81.xml"/><Relationship Id="rId99" Type="http://schemas.openxmlformats.org/officeDocument/2006/relationships/externalLink" Target="externalLinks/externalLink86.xml"/><Relationship Id="rId101" Type="http://schemas.openxmlformats.org/officeDocument/2006/relationships/externalLink" Target="externalLinks/externalLink88.xml"/><Relationship Id="rId122" Type="http://schemas.openxmlformats.org/officeDocument/2006/relationships/externalLink" Target="externalLinks/externalLink109.xml"/><Relationship Id="rId143" Type="http://schemas.openxmlformats.org/officeDocument/2006/relationships/externalLink" Target="externalLinks/externalLink130.xml"/><Relationship Id="rId148" Type="http://schemas.openxmlformats.org/officeDocument/2006/relationships/externalLink" Target="externalLinks/externalLink135.xml"/><Relationship Id="rId164" Type="http://schemas.openxmlformats.org/officeDocument/2006/relationships/externalLink" Target="externalLinks/externalLink151.xml"/><Relationship Id="rId169" Type="http://schemas.openxmlformats.org/officeDocument/2006/relationships/externalLink" Target="externalLinks/externalLink156.xml"/><Relationship Id="rId185" Type="http://schemas.openxmlformats.org/officeDocument/2006/relationships/externalLink" Target="externalLinks/externalLink17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67.xml"/><Relationship Id="rId26" Type="http://schemas.openxmlformats.org/officeDocument/2006/relationships/externalLink" Target="externalLinks/externalLink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lang="en-US"/>
          </a:pPr>
          <a:endParaRPr lang="en-US"/>
        </a:p>
      </c:txPr>
    </c:title>
    <c:plotArea>
      <c:layout/>
      <c:lineChart>
        <c:grouping val="stacked"/>
        <c:ser>
          <c:idx val="1"/>
          <c:order val="0"/>
          <c:tx>
            <c:strRef>
              <c:f>Charts!$B$1</c:f>
              <c:strCache>
                <c:ptCount val="1"/>
                <c:pt idx="0">
                  <c:v>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92D050"/>
              </a:solidFill>
              <a:ln>
                <a:noFill/>
              </a:ln>
            </c:spPr>
          </c:marker>
          <c:cat>
            <c:multiLvlStrRef>
              <c:f>Result!#REF!</c:f>
            </c:multiLvlStrRef>
          </c:cat>
          <c:val>
            <c:numRef>
              <c:f>Charts!$B$2:$B$30</c:f>
              <c:numCache>
                <c:formatCode>General</c:formatCode>
                <c:ptCount val="29"/>
                <c:pt idx="0">
                  <c:v>0.5650205693597532</c:v>
                </c:pt>
                <c:pt idx="1">
                  <c:v>0.59659564766461648</c:v>
                </c:pt>
                <c:pt idx="2">
                  <c:v>0.65902240670303658</c:v>
                </c:pt>
                <c:pt idx="3">
                  <c:v>0.71842611387332578</c:v>
                </c:pt>
                <c:pt idx="4">
                  <c:v>0.73730379178799665</c:v>
                </c:pt>
                <c:pt idx="5">
                  <c:v>0.7173356790759462</c:v>
                </c:pt>
                <c:pt idx="6">
                  <c:v>0.71180118685836835</c:v>
                </c:pt>
                <c:pt idx="7">
                  <c:v>0.72491491633742899</c:v>
                </c:pt>
                <c:pt idx="8">
                  <c:v>0.72187667560593649</c:v>
                </c:pt>
                <c:pt idx="9">
                  <c:v>0.73385882731817309</c:v>
                </c:pt>
                <c:pt idx="10">
                  <c:v>0.70397878452042661</c:v>
                </c:pt>
                <c:pt idx="11">
                  <c:v>0.70397878452042661</c:v>
                </c:pt>
                <c:pt idx="12">
                  <c:v>0.72730709492280332</c:v>
                </c:pt>
                <c:pt idx="13">
                  <c:v>0.70859627076062814</c:v>
                </c:pt>
                <c:pt idx="14">
                  <c:v>0.71010985129797854</c:v>
                </c:pt>
                <c:pt idx="15">
                  <c:v>0.69163071759468941</c:v>
                </c:pt>
                <c:pt idx="16">
                  <c:v>0.70813351507341038</c:v>
                </c:pt>
                <c:pt idx="17">
                  <c:v>0.7302496113593836</c:v>
                </c:pt>
                <c:pt idx="18">
                  <c:v>0.73398426064363886</c:v>
                </c:pt>
                <c:pt idx="19">
                  <c:v>0.76354539151856526</c:v>
                </c:pt>
                <c:pt idx="20">
                  <c:v>0.73018432584730453</c:v>
                </c:pt>
                <c:pt idx="21">
                  <c:v>0.71720614087666357</c:v>
                </c:pt>
                <c:pt idx="22">
                  <c:v>0.7148251517001154</c:v>
                </c:pt>
                <c:pt idx="23">
                  <c:v>0.76692770356560003</c:v>
                </c:pt>
                <c:pt idx="24">
                  <c:v>0.72417300361277481</c:v>
                </c:pt>
                <c:pt idx="25">
                  <c:v>0.72312907591775255</c:v>
                </c:pt>
                <c:pt idx="26">
                  <c:v>0.73455418662145033</c:v>
                </c:pt>
              </c:numCache>
            </c:numRef>
          </c:val>
        </c:ser>
        <c:marker val="1"/>
        <c:axId val="121931648"/>
        <c:axId val="169472000"/>
      </c:lineChart>
      <c:catAx>
        <c:axId val="121931648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69472000"/>
        <c:crosses val="autoZero"/>
        <c:auto val="1"/>
        <c:lblAlgn val="ctr"/>
        <c:lblOffset val="100"/>
      </c:catAx>
      <c:valAx>
        <c:axId val="169472000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1931648"/>
        <c:crosses val="autoZero"/>
        <c:crossBetween val="between"/>
        <c:majorUnit val="0.2"/>
        <c:minorUnit val="0.2"/>
      </c:valAx>
    </c:plotArea>
    <c:legend>
      <c:legendPos val="r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lang="en-US"/>
          </a:pPr>
          <a:endParaRPr lang="en-US"/>
        </a:p>
      </c:txPr>
    </c:title>
    <c:plotArea>
      <c:layout/>
      <c:lineChart>
        <c:grouping val="stacked"/>
        <c:ser>
          <c:idx val="1"/>
          <c:order val="0"/>
          <c:tx>
            <c:strRef>
              <c:f>Charts!$C$1</c:f>
              <c:strCache>
                <c:ptCount val="1"/>
                <c:pt idx="0">
                  <c:v>IE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92D050"/>
              </a:solidFill>
              <a:ln>
                <a:noFill/>
              </a:ln>
            </c:spPr>
          </c:marker>
          <c:cat>
            <c:multiLvlStrRef>
              <c:f>Result!#REF!</c:f>
            </c:multiLvlStrRef>
          </c:cat>
          <c:val>
            <c:numRef>
              <c:f>Charts!$C$2:$C$30</c:f>
              <c:numCache>
                <c:formatCode>General</c:formatCode>
                <c:ptCount val="29"/>
                <c:pt idx="0">
                  <c:v>0.36170974977344494</c:v>
                </c:pt>
                <c:pt idx="1">
                  <c:v>0.4018844250998862</c:v>
                </c:pt>
                <c:pt idx="2">
                  <c:v>0.44839374158228029</c:v>
                </c:pt>
                <c:pt idx="3">
                  <c:v>0.48781111107520031</c:v>
                </c:pt>
                <c:pt idx="4">
                  <c:v>0.50337284465676491</c:v>
                </c:pt>
                <c:pt idx="5">
                  <c:v>0.47993370264521179</c:v>
                </c:pt>
                <c:pt idx="6">
                  <c:v>0.47905186607191852</c:v>
                </c:pt>
                <c:pt idx="7">
                  <c:v>0.49024715409798858</c:v>
                </c:pt>
                <c:pt idx="8">
                  <c:v>0.48369301341278181</c:v>
                </c:pt>
                <c:pt idx="9">
                  <c:v>0.49703734907256647</c:v>
                </c:pt>
                <c:pt idx="10">
                  <c:v>0.46648422842406451</c:v>
                </c:pt>
                <c:pt idx="11">
                  <c:v>0.46648422842406451</c:v>
                </c:pt>
                <c:pt idx="12">
                  <c:v>0.48683243956255612</c:v>
                </c:pt>
                <c:pt idx="13">
                  <c:v>0.4709009984240542</c:v>
                </c:pt>
                <c:pt idx="14">
                  <c:v>0.45614868839253053</c:v>
                </c:pt>
                <c:pt idx="15">
                  <c:v>0.45926408401865443</c:v>
                </c:pt>
                <c:pt idx="16">
                  <c:v>0.45962947713456881</c:v>
                </c:pt>
                <c:pt idx="17">
                  <c:v>0.46881919085623625</c:v>
                </c:pt>
                <c:pt idx="18">
                  <c:v>0.47153759046845017</c:v>
                </c:pt>
                <c:pt idx="19">
                  <c:v>0.50117428997220881</c:v>
                </c:pt>
                <c:pt idx="20">
                  <c:v>0.4762677520857716</c:v>
                </c:pt>
                <c:pt idx="21">
                  <c:v>0.47899131844103854</c:v>
                </c:pt>
                <c:pt idx="22">
                  <c:v>0.47745036912074085</c:v>
                </c:pt>
                <c:pt idx="23">
                  <c:v>0.50346191261687667</c:v>
                </c:pt>
                <c:pt idx="24">
                  <c:v>0.4818976364133345</c:v>
                </c:pt>
                <c:pt idx="25">
                  <c:v>0.4841393487188434</c:v>
                </c:pt>
                <c:pt idx="26">
                  <c:v>0.47774063583580967</c:v>
                </c:pt>
              </c:numCache>
            </c:numRef>
          </c:val>
        </c:ser>
        <c:marker val="1"/>
        <c:axId val="122105216"/>
        <c:axId val="122119680"/>
      </c:lineChart>
      <c:catAx>
        <c:axId val="12210521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2119680"/>
        <c:crosses val="autoZero"/>
        <c:auto val="1"/>
        <c:lblAlgn val="ctr"/>
        <c:lblOffset val="100"/>
      </c:catAx>
      <c:valAx>
        <c:axId val="122119680"/>
        <c:scaling>
          <c:orientation val="minMax"/>
        </c:scaling>
        <c:axPos val="l"/>
        <c:majorGridlines/>
        <c:numFmt formatCode="0%" sourceLinked="0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210521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gradFill flip="none" rotWithShape="1">
      <a:gsLst>
        <a:gs pos="0">
          <a:srgbClr val="DDEBCF"/>
        </a:gs>
        <a:gs pos="50000">
          <a:srgbClr val="9CB86E"/>
        </a:gs>
        <a:gs pos="100000">
          <a:srgbClr val="156B13"/>
        </a:gs>
      </a:gsLst>
      <a:path path="circle">
        <a:fillToRect l="100000" t="100000"/>
      </a:path>
      <a:tileRect r="-100000" b="-100000"/>
    </a:gradFill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lang="en-US"/>
          </a:pPr>
          <a:endParaRPr lang="en-US"/>
        </a:p>
      </c:txPr>
    </c:title>
    <c:plotArea>
      <c:layout/>
      <c:lineChart>
        <c:grouping val="stacked"/>
        <c:ser>
          <c:idx val="1"/>
          <c:order val="0"/>
          <c:tx>
            <c:strRef>
              <c:f>Charts!$D$1</c:f>
              <c:strCache>
                <c:ptCount val="1"/>
                <c:pt idx="0">
                  <c:v>KS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92D050"/>
              </a:solidFill>
              <a:ln>
                <a:noFill/>
              </a:ln>
            </c:spPr>
          </c:marker>
          <c:cat>
            <c:numRef>
              <c:f>Result!#REF!</c:f>
              <c:numCache>
                <c:formatCode>General</c:formatCode>
                <c:ptCount val="27"/>
                <c:pt idx="0">
                  <c:v>3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31</c:v>
                </c:pt>
              </c:numCache>
            </c:numRef>
          </c:cat>
          <c:val>
            <c:numRef>
              <c:f>Charts!$D$2:$D$30</c:f>
              <c:numCache>
                <c:formatCode>General</c:formatCode>
                <c:ptCount val="29"/>
                <c:pt idx="0">
                  <c:v>0.75022549504836</c:v>
                </c:pt>
                <c:pt idx="1">
                  <c:v>0.78301260225142288</c:v>
                </c:pt>
                <c:pt idx="2">
                  <c:v>0.78659090260129638</c:v>
                </c:pt>
                <c:pt idx="3">
                  <c:v>0.78641084968204178</c:v>
                </c:pt>
                <c:pt idx="4">
                  <c:v>0.78818575787587519</c:v>
                </c:pt>
                <c:pt idx="5">
                  <c:v>0.77767695631048073</c:v>
                </c:pt>
                <c:pt idx="6">
                  <c:v>0.78312925012453516</c:v>
                </c:pt>
                <c:pt idx="7">
                  <c:v>0.78998702387500197</c:v>
                </c:pt>
                <c:pt idx="8">
                  <c:v>0.78380396571927491</c:v>
                </c:pt>
                <c:pt idx="9">
                  <c:v>0.78786558104765503</c:v>
                </c:pt>
                <c:pt idx="10">
                  <c:v>0.77468545271800338</c:v>
                </c:pt>
                <c:pt idx="11">
                  <c:v>0</c:v>
                </c:pt>
                <c:pt idx="12">
                  <c:v>0.78287300711290153</c:v>
                </c:pt>
                <c:pt idx="13">
                  <c:v>0.77808185445733502</c:v>
                </c:pt>
                <c:pt idx="14">
                  <c:v>0.7480027725162377</c:v>
                </c:pt>
                <c:pt idx="15">
                  <c:v>0.77452093606713379</c:v>
                </c:pt>
                <c:pt idx="16">
                  <c:v>0.76183514221664173</c:v>
                </c:pt>
                <c:pt idx="17">
                  <c:v>0.75059800634909346</c:v>
                </c:pt>
                <c:pt idx="18">
                  <c:v>0.75251718208308216</c:v>
                </c:pt>
                <c:pt idx="19">
                  <c:v>0.76509424802696369</c:v>
                </c:pt>
                <c:pt idx="20">
                  <c:v>0.76080223141587078</c:v>
                </c:pt>
                <c:pt idx="21">
                  <c:v>0.77547736771655695</c:v>
                </c:pt>
                <c:pt idx="22">
                  <c:v>0.77575104090562186</c:v>
                </c:pt>
                <c:pt idx="23">
                  <c:v>0.76414097473304576</c:v>
                </c:pt>
                <c:pt idx="24">
                  <c:v>0.77424984299362531</c:v>
                </c:pt>
                <c:pt idx="25">
                  <c:v>0.77805470763468265</c:v>
                </c:pt>
                <c:pt idx="26">
                  <c:v>0.75854293406315543</c:v>
                </c:pt>
              </c:numCache>
            </c:numRef>
          </c:val>
        </c:ser>
        <c:marker val="1"/>
        <c:axId val="122143488"/>
        <c:axId val="122145408"/>
      </c:lineChart>
      <c:catAx>
        <c:axId val="122143488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2145408"/>
        <c:crosses val="autoZero"/>
        <c:auto val="1"/>
        <c:lblAlgn val="ctr"/>
        <c:lblOffset val="100"/>
      </c:catAx>
      <c:valAx>
        <c:axId val="122145408"/>
        <c:scaling>
          <c:orientation val="minMax"/>
        </c:scaling>
        <c:axPos val="l"/>
        <c:majorGridlines/>
        <c:numFmt formatCode="0%" sourceLinked="0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22143488"/>
        <c:crosses val="autoZero"/>
        <c:crossBetween val="between"/>
      </c:valAx>
    </c:plotArea>
    <c:legend>
      <c:legendPos val="r"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gradFill flip="none" rotWithShape="1">
      <a:gsLst>
        <a:gs pos="100000">
          <a:srgbClr val="FBEAC7"/>
        </a:gs>
        <a:gs pos="17999">
          <a:srgbClr val="FEE7F2"/>
        </a:gs>
        <a:gs pos="36000">
          <a:srgbClr val="FAC77D"/>
        </a:gs>
        <a:gs pos="61000">
          <a:srgbClr val="FBA97D"/>
        </a:gs>
        <a:gs pos="82001">
          <a:srgbClr val="FBD49C"/>
        </a:gs>
        <a:gs pos="100000">
          <a:srgbClr val="FEE7F2"/>
        </a:gs>
      </a:gsLst>
      <a:lin ang="2700000" scaled="1"/>
      <a:tileRect/>
    </a:gradFill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493E-2"/>
          <c:y val="0.25200906704843712"/>
          <c:w val="0.96923076923076856"/>
          <c:h val="0.47930207587688362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numRef>
              <c:f>'[177]Result-查询'!$A$20:$H$20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'[177]Result-查询'!$A$21:$H$21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numRef>
              <c:f>'[177]Result-查询'!$A$20:$H$20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'[177]Result-查询'!$A$22:$H$22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dLbls>
            <c:dLbl>
              <c:idx val="0"/>
              <c:layout>
                <c:manualLayout>
                  <c:x val="9.3077370564283099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16E-2"/>
                  <c:y val="-0.1060606060606067"/>
                </c:manualLayout>
              </c:layout>
              <c:showVal val="1"/>
            </c:dLbl>
            <c:dLbl>
              <c:idx val="2"/>
              <c:layout>
                <c:manualLayout>
                  <c:x val="1.6288539848749398E-2"/>
                  <c:y val="-0.1060606060606067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398E-2"/>
                  <c:y val="-0.1060606060606067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7"/>
                </c:manualLayout>
              </c:layout>
              <c:showVal val="1"/>
            </c:dLbl>
            <c:dLbl>
              <c:idx val="6"/>
              <c:layout>
                <c:manualLayout>
                  <c:x val="2.3269342641069816E-3"/>
                  <c:y val="-0.1060606060606067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'[177]Result-查询'!$A$24:$H$24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169785984"/>
        <c:axId val="180953472"/>
        <c:axId val="0"/>
      </c:bar3DChart>
      <c:catAx>
        <c:axId val="16978598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0953472"/>
        <c:crosses val="autoZero"/>
        <c:auto val="1"/>
        <c:lblAlgn val="ctr"/>
        <c:lblOffset val="100"/>
      </c:catAx>
      <c:valAx>
        <c:axId val="180953472"/>
        <c:scaling>
          <c:orientation val="minMax"/>
        </c:scaling>
        <c:delete val="1"/>
        <c:axPos val="l"/>
        <c:numFmt formatCode="0%" sourceLinked="1"/>
        <c:tickLblPos val="none"/>
        <c:crossAx val="169785984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Red time description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numRef>
              <c:f>'Result-查询'!$S$21:$S$61</c:f>
              <c:numCache>
                <c:formatCode>0%</c:formatCode>
                <c:ptCount val="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</c:numCache>
            </c:numRef>
          </c:cat>
          <c:val>
            <c:numRef>
              <c:f>'Result-查询'!$T$21:$T$61</c:f>
              <c:numCache>
                <c:formatCode>0</c:formatCode>
                <c:ptCount val="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</c:numCache>
            </c:numRef>
          </c:val>
        </c:ser>
        <c:axId val="180985856"/>
        <c:axId val="180987392"/>
      </c:barChart>
      <c:catAx>
        <c:axId val="180985856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0987392"/>
        <c:crosses val="autoZero"/>
        <c:auto val="1"/>
        <c:lblAlgn val="ctr"/>
        <c:lblOffset val="100"/>
      </c:catAx>
      <c:valAx>
        <c:axId val="180987392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0985856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5331792765034795E-2"/>
          <c:y val="0.11388223870860072"/>
          <c:w val="0.92539337845927161"/>
          <c:h val="0.66283494909957208"/>
        </c:manualLayout>
      </c:layout>
      <c:lineChart>
        <c:grouping val="standard"/>
        <c:ser>
          <c:idx val="0"/>
          <c:order val="0"/>
          <c:tx>
            <c:strRef>
              <c:f>'Result-月份对比'!$B$5</c:f>
              <c:strCache>
                <c:ptCount val="1"/>
                <c:pt idx="0">
                  <c:v>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00B050"/>
              </a:solidFill>
            </c:spPr>
          </c:marker>
          <c:dLbls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t"/>
            <c:showVal val="1"/>
          </c:dLbls>
          <c:cat>
            <c:strRef>
              <c:f>'Result-月份对比'!$A$6:$A$17</c:f>
              <c:strCache>
                <c:ptCount val="8"/>
                <c:pt idx="7">
                  <c:v>2015-8</c:v>
                </c:pt>
              </c:strCache>
            </c:strRef>
          </c:cat>
          <c:val>
            <c:numRef>
              <c:f>'Result-月份对比'!$B$6:$B$17</c:f>
              <c:numCache>
                <c:formatCode>0%</c:formatCode>
                <c:ptCount val="12"/>
                <c:pt idx="7">
                  <c:v>0.68124691415020699</c:v>
                </c:pt>
              </c:numCache>
            </c:numRef>
          </c:val>
        </c:ser>
        <c:ser>
          <c:idx val="1"/>
          <c:order val="1"/>
          <c:tx>
            <c:v>KER</c:v>
          </c:tx>
          <c:val>
            <c:numRef>
              <c:f>'Result-月份对比'!$B$155:$B$166</c:f>
              <c:numCache>
                <c:formatCode>0%</c:formatCode>
                <c:ptCount val="12"/>
                <c:pt idx="0">
                  <c:v>0.625</c:v>
                </c:pt>
                <c:pt idx="1">
                  <c:v>0.625</c:v>
                </c:pt>
                <c:pt idx="2">
                  <c:v>0.625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</c:ser>
        <c:marker val="1"/>
        <c:axId val="181262592"/>
        <c:axId val="119341056"/>
      </c:lineChart>
      <c:catAx>
        <c:axId val="181262592"/>
        <c:scaling>
          <c:orientation val="minMax"/>
        </c:scaling>
        <c:axPos val="b"/>
        <c:numFmt formatCode="#,##0.00" sourceLinked="0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9341056"/>
        <c:crosses val="autoZero"/>
        <c:auto val="1"/>
        <c:lblAlgn val="ctr"/>
        <c:lblOffset val="100"/>
      </c:catAx>
      <c:valAx>
        <c:axId val="119341056"/>
        <c:scaling>
          <c:orientation val="minMax"/>
          <c:max val="0.9"/>
          <c:min val="0.60000000000000064"/>
        </c:scaling>
        <c:axPos val="l"/>
        <c:majorGridlines/>
        <c:numFmt formatCode="0%" sourceLinked="1"/>
        <c:maj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81262592"/>
        <c:crosses val="autoZero"/>
        <c:crossBetween val="between"/>
        <c:majorUnit val="0.05"/>
      </c:valAx>
    </c:plotArea>
    <c:legend>
      <c:legendPos val="b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solidFill>
      <a:schemeClr val="bg1"/>
    </a:solidFill>
    <a:ln w="19050">
      <a:solidFill>
        <a:schemeClr val="bg1">
          <a:lumMod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3.8656813467936792E-2"/>
          <c:y val="0.29759971713380434"/>
          <c:w val="0.94326000389191766"/>
          <c:h val="0.3767728774835794"/>
        </c:manualLayout>
      </c:layout>
      <c:lineChart>
        <c:grouping val="standard"/>
        <c:ser>
          <c:idx val="0"/>
          <c:order val="0"/>
          <c:tx>
            <c:strRef>
              <c:f>'Result-月份对比'!$C$5</c:f>
              <c:strCache>
                <c:ptCount val="1"/>
                <c:pt idx="0">
                  <c:v>IE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00B050"/>
              </a:solidFill>
            </c:spPr>
          </c:marker>
          <c:dLbls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t"/>
            <c:showVal val="1"/>
          </c:dLbls>
          <c:cat>
            <c:strRef>
              <c:f>'Result-月份对比'!$A$6:$A$17</c:f>
              <c:strCache>
                <c:ptCount val="8"/>
                <c:pt idx="7">
                  <c:v>2015-8</c:v>
                </c:pt>
              </c:strCache>
            </c:strRef>
          </c:cat>
          <c:val>
            <c:numRef>
              <c:f>'Result-月份对比'!$C$6:$C$17</c:f>
              <c:numCache>
                <c:formatCode>0%</c:formatCode>
                <c:ptCount val="12"/>
                <c:pt idx="7">
                  <c:v>0.47599718884036307</c:v>
                </c:pt>
              </c:numCache>
            </c:numRef>
          </c:val>
        </c:ser>
        <c:ser>
          <c:idx val="1"/>
          <c:order val="1"/>
          <c:val>
            <c:numRef>
              <c:f>'Result-月份对比'!$D$155:$D$166</c:f>
              <c:numCache>
                <c:formatCode>0%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</c:ser>
        <c:marker val="1"/>
        <c:axId val="119382016"/>
        <c:axId val="119383552"/>
      </c:lineChart>
      <c:catAx>
        <c:axId val="11938201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9383552"/>
        <c:crosses val="autoZero"/>
        <c:auto val="1"/>
        <c:lblAlgn val="ctr"/>
        <c:lblOffset val="100"/>
      </c:catAx>
      <c:valAx>
        <c:axId val="119383552"/>
        <c:scaling>
          <c:orientation val="minMax"/>
          <c:max val="0.55000000000000004"/>
          <c:min val="0.35000000000000031"/>
        </c:scaling>
        <c:axPos val="l"/>
        <c:majorGridlines/>
        <c:numFmt formatCode="0%" sourceLinked="1"/>
        <c:maj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19382016"/>
        <c:crosses val="autoZero"/>
        <c:crossBetween val="between"/>
        <c:majorUnit val="3.0000000000000002E-2"/>
        <c:minorUnit val="2.0000000000000039E-3"/>
      </c:valAx>
    </c:plotArea>
    <c:legend>
      <c:legendPos val="b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solidFill>
      <a:sysClr val="window" lastClr="FFFFFF"/>
    </a:solidFill>
    <a:ln w="19050"/>
  </c:spPr>
  <c:printSettings>
    <c:headerFooter/>
    <c:pageMargins b="0.75000000000000411" l="0.70000000000000062" r="0.70000000000000062" t="0.75000000000000411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'Result-月份对比'!$D$5</c:f>
              <c:strCache>
                <c:ptCount val="1"/>
                <c:pt idx="0">
                  <c:v>KS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pPr>
              <a:solidFill>
                <a:srgbClr val="00B050"/>
              </a:solidFill>
            </c:spPr>
          </c:marker>
          <c:dLbls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t"/>
            <c:showVal val="1"/>
          </c:dLbls>
          <c:cat>
            <c:strRef>
              <c:f>'Result-月份对比'!$A$6:$A$17</c:f>
              <c:strCache>
                <c:ptCount val="8"/>
                <c:pt idx="7">
                  <c:v>2015-8</c:v>
                </c:pt>
              </c:strCache>
            </c:strRef>
          </c:cat>
          <c:val>
            <c:numRef>
              <c:f>'Result-月份对比'!$D$6:$D$17</c:f>
              <c:numCache>
                <c:formatCode>0%</c:formatCode>
                <c:ptCount val="12"/>
                <c:pt idx="7">
                  <c:v>0.8113055892424873</c:v>
                </c:pt>
              </c:numCache>
            </c:numRef>
          </c:val>
        </c:ser>
        <c:ser>
          <c:idx val="1"/>
          <c:order val="1"/>
          <c:tx>
            <c:v>KSR</c:v>
          </c:tx>
          <c:val>
            <c:numRef>
              <c:f>'Result-月份对比'!$C$155:$C$165</c:f>
              <c:numCache>
                <c:formatCode>0%</c:formatCode>
                <c:ptCount val="11"/>
                <c:pt idx="0">
                  <c:v>0.75</c:v>
                </c:pt>
                <c:pt idx="1">
                  <c:v>0.76</c:v>
                </c:pt>
                <c:pt idx="2">
                  <c:v>0.78</c:v>
                </c:pt>
                <c:pt idx="3">
                  <c:v>0.8</c:v>
                </c:pt>
                <c:pt idx="4">
                  <c:v>0.8</c:v>
                </c:pt>
                <c:pt idx="5">
                  <c:v>0.80500000000000005</c:v>
                </c:pt>
                <c:pt idx="6">
                  <c:v>0.80800000000000005</c:v>
                </c:pt>
                <c:pt idx="7">
                  <c:v>0.81</c:v>
                </c:pt>
                <c:pt idx="8">
                  <c:v>0.81</c:v>
                </c:pt>
                <c:pt idx="9">
                  <c:v>0.81100000000000005</c:v>
                </c:pt>
                <c:pt idx="10">
                  <c:v>0.81200000000000006</c:v>
                </c:pt>
              </c:numCache>
            </c:numRef>
          </c:val>
        </c:ser>
        <c:marker val="1"/>
        <c:axId val="119429760"/>
        <c:axId val="119427456"/>
      </c:lineChart>
      <c:catAx>
        <c:axId val="11942976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9427456"/>
        <c:crosses val="autoZero"/>
        <c:auto val="1"/>
        <c:lblAlgn val="ctr"/>
        <c:lblOffset val="100"/>
      </c:catAx>
      <c:valAx>
        <c:axId val="119427456"/>
        <c:scaling>
          <c:orientation val="minMax"/>
          <c:max val="0.85000000000000064"/>
          <c:min val="0.65000000000000113"/>
        </c:scaling>
        <c:axPos val="l"/>
        <c:majorGridlines/>
        <c:numFmt formatCode="0%" sourceLinked="1"/>
        <c:maj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19429760"/>
        <c:crosses val="autoZero"/>
        <c:crossBetween val="between"/>
        <c:majorUnit val="0.05"/>
      </c:valAx>
    </c:plotArea>
    <c:legend>
      <c:legendPos val="b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</c:chart>
  <c:spPr>
    <a:solidFill>
      <a:schemeClr val="bg1"/>
    </a:solidFill>
    <a:ln w="19050">
      <a:solidFill>
        <a:schemeClr val="bg1">
          <a:lumMod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Jan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07E-2"/>
          <c:y val="0.25200906704843712"/>
          <c:w val="0.96923076923076856"/>
          <c:h val="0.47930207587688423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'Result-月份对比'!$A$70:$H$70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'Result-月份对比'!$A$71:$H$71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07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28E-2"/>
                  <c:y val="-0.10606060606060677"/>
                </c:manualLayout>
              </c:layout>
              <c:showVal val="1"/>
            </c:dLbl>
            <c:dLbl>
              <c:idx val="2"/>
              <c:layout>
                <c:manualLayout>
                  <c:x val="1.6288539848749416E-2"/>
                  <c:y val="-0.10606060606060677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16E-2"/>
                  <c:y val="-0.10606060606060677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77"/>
                </c:manualLayout>
              </c:layout>
              <c:showVal val="1"/>
            </c:dLbl>
            <c:dLbl>
              <c:idx val="6"/>
              <c:layout>
                <c:manualLayout>
                  <c:x val="2.3269342641069855E-3"/>
                  <c:y val="-0.10606060606060677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'Result-月份对比'!$A$73:$H$73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178535424"/>
        <c:axId val="178553600"/>
        <c:axId val="0"/>
      </c:bar3DChart>
      <c:catAx>
        <c:axId val="17853542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78553600"/>
        <c:crosses val="autoZero"/>
        <c:auto val="1"/>
        <c:lblAlgn val="ctr"/>
        <c:lblOffset val="100"/>
      </c:catAx>
      <c:valAx>
        <c:axId val="178553600"/>
        <c:scaling>
          <c:orientation val="minMax"/>
        </c:scaling>
        <c:delete val="1"/>
        <c:axPos val="l"/>
        <c:numFmt formatCode="0%" sourceLinked="1"/>
        <c:tickLblPos val="none"/>
        <c:crossAx val="178535424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Jan Red time description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'Result-月份对比'!$H$25:$H$65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'Result-月份对比'!$G$25:$G$65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180998912"/>
        <c:axId val="181000448"/>
      </c:barChart>
      <c:catAx>
        <c:axId val="180998912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1000448"/>
        <c:crosses val="autoZero"/>
        <c:auto val="1"/>
        <c:lblAlgn val="ctr"/>
        <c:lblOffset val="100"/>
      </c:catAx>
      <c:valAx>
        <c:axId val="181000448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0998912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F</a:t>
            </a:r>
            <a:r>
              <a:rPr lang="en-US" altLang="zh-CN"/>
              <a:t>eb</a:t>
            </a:r>
            <a:r>
              <a:rPr lang="en-US"/>
              <a:t>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'Result-月份对比'!$A$77:$H$77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'Result-月份对比'!$A$78:$H$78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'Result-月份对比'!$A$80:$H$80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181360128"/>
        <c:axId val="181361664"/>
        <c:axId val="0"/>
      </c:bar3DChart>
      <c:catAx>
        <c:axId val="181360128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1361664"/>
        <c:crosses val="autoZero"/>
        <c:auto val="1"/>
        <c:lblAlgn val="ctr"/>
        <c:lblOffset val="100"/>
      </c:catAx>
      <c:valAx>
        <c:axId val="181361664"/>
        <c:scaling>
          <c:orientation val="minMax"/>
        </c:scaling>
        <c:delete val="1"/>
        <c:axPos val="l"/>
        <c:numFmt formatCode="0%" sourceLinked="1"/>
        <c:tickLblPos val="none"/>
        <c:crossAx val="181360128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Feb Red time description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'Result-月份对比'!$L$25:$L$65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'Result-月份对比'!$K$25:$K$65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193989632"/>
        <c:axId val="193995520"/>
      </c:barChart>
      <c:catAx>
        <c:axId val="193989632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3995520"/>
        <c:crosses val="autoZero"/>
        <c:auto val="1"/>
        <c:lblAlgn val="ctr"/>
        <c:lblOffset val="100"/>
      </c:catAx>
      <c:valAx>
        <c:axId val="193995520"/>
        <c:scaling>
          <c:orientation val="minMax"/>
        </c:scaling>
        <c:axPos val="l"/>
        <c:majorGridlines/>
        <c:numFmt formatCode="General" sourceLinked="0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3989632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Mar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'Result-月份对比'!$A$84:$H$84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'Result-月份对比'!$A$85:$H$85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'Result-月份对比'!$A$87:$H$87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181284864"/>
        <c:axId val="181286400"/>
        <c:axId val="0"/>
      </c:bar3DChart>
      <c:catAx>
        <c:axId val="18128486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1286400"/>
        <c:crosses val="autoZero"/>
        <c:auto val="1"/>
        <c:lblAlgn val="ctr"/>
        <c:lblOffset val="100"/>
      </c:catAx>
      <c:valAx>
        <c:axId val="181286400"/>
        <c:scaling>
          <c:orientation val="minMax"/>
        </c:scaling>
        <c:delete val="1"/>
        <c:axPos val="l"/>
        <c:numFmt formatCode="0%" sourceLinked="1"/>
        <c:tickLblPos val="none"/>
        <c:crossAx val="181284864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Mar Red time description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'Result-月份对比'!$P$25:$P$65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'Result-月份对比'!$O$25:$O$65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181315072"/>
        <c:axId val="181316608"/>
      </c:barChart>
      <c:catAx>
        <c:axId val="181315072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1316608"/>
        <c:crosses val="autoZero"/>
        <c:auto val="1"/>
        <c:lblAlgn val="ctr"/>
        <c:lblOffset val="100"/>
      </c:catAx>
      <c:valAx>
        <c:axId val="181316608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81315072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Apr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'Result-月份对比'!$A$91:$H$91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'Result-月份对比'!$A$92:$H$92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'Result-月份对比'!$A$94:$H$94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194066688"/>
        <c:axId val="194076672"/>
        <c:axId val="0"/>
      </c:bar3DChart>
      <c:catAx>
        <c:axId val="194066688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94076672"/>
        <c:crosses val="autoZero"/>
        <c:auto val="1"/>
        <c:lblAlgn val="ctr"/>
        <c:lblOffset val="100"/>
      </c:catAx>
      <c:valAx>
        <c:axId val="194076672"/>
        <c:scaling>
          <c:orientation val="minMax"/>
        </c:scaling>
        <c:delete val="1"/>
        <c:axPos val="l"/>
        <c:numFmt formatCode="0%" sourceLinked="1"/>
        <c:tickLblPos val="none"/>
        <c:crossAx val="194066688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Apr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'Result-月份对比'!$T$25:$T$65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'Result-月份对比'!$S$25:$S$65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2772480"/>
        <c:axId val="202774016"/>
      </c:barChart>
      <c:catAx>
        <c:axId val="202772480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774016"/>
        <c:crosses val="autoZero"/>
        <c:auto val="1"/>
        <c:lblAlgn val="ctr"/>
        <c:lblOffset val="100"/>
      </c:catAx>
      <c:valAx>
        <c:axId val="202774016"/>
        <c:scaling>
          <c:orientation val="minMax"/>
        </c:scaling>
        <c:axPos val="l"/>
        <c:majorGridlines/>
        <c:numFmt formatCode="General" sourceLinked="0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772480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May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'Result-月份对比'!$A$98:$H$98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'Result-月份对比'!$A$99:$H$99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'Result-月份对比'!$A$101:$H$101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2834688"/>
        <c:axId val="202836224"/>
        <c:axId val="0"/>
      </c:bar3DChart>
      <c:catAx>
        <c:axId val="202834688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836224"/>
        <c:crosses val="autoZero"/>
        <c:auto val="1"/>
        <c:lblAlgn val="ctr"/>
        <c:lblOffset val="100"/>
      </c:catAx>
      <c:valAx>
        <c:axId val="202836224"/>
        <c:scaling>
          <c:orientation val="minMax"/>
        </c:scaling>
        <c:delete val="1"/>
        <c:axPos val="l"/>
        <c:numFmt formatCode="0%" sourceLinked="1"/>
        <c:tickLblPos val="none"/>
        <c:crossAx val="202834688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May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'Result-月份对比'!$X$25:$X$65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'Result-月份对比'!$W$25:$W$65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2864896"/>
        <c:axId val="202874880"/>
      </c:barChart>
      <c:catAx>
        <c:axId val="202864896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874880"/>
        <c:crosses val="autoZero"/>
        <c:auto val="1"/>
        <c:lblAlgn val="ctr"/>
        <c:lblOffset val="100"/>
      </c:catAx>
      <c:valAx>
        <c:axId val="202874880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864896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Jun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'Result-月份对比'!$A$105:$H$105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'Result-月份对比'!$A$106:$H$106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'Result-月份对比'!$A$108:$H$108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2984448"/>
        <c:axId val="203010816"/>
        <c:axId val="0"/>
      </c:bar3DChart>
      <c:catAx>
        <c:axId val="202984448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10816"/>
        <c:crosses val="autoZero"/>
        <c:auto val="1"/>
        <c:lblAlgn val="ctr"/>
        <c:lblOffset val="100"/>
      </c:catAx>
      <c:valAx>
        <c:axId val="203010816"/>
        <c:scaling>
          <c:orientation val="minMax"/>
        </c:scaling>
        <c:delete val="1"/>
        <c:axPos val="l"/>
        <c:numFmt formatCode="0%" sourceLinked="1"/>
        <c:tickLblPos val="none"/>
        <c:crossAx val="202984448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Jun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'Result-月份对比'!$AB$25:$AB$65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'Result-月份对比'!$AA$25:$AA$65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2908416"/>
        <c:axId val="202909952"/>
      </c:barChart>
      <c:catAx>
        <c:axId val="202908416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909952"/>
        <c:crosses val="autoZero"/>
        <c:auto val="1"/>
        <c:lblAlgn val="ctr"/>
        <c:lblOffset val="100"/>
      </c:catAx>
      <c:valAx>
        <c:axId val="202909952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2908416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Jul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'Result-月份对比'!$A$112:$H$112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'Result-月份对比'!$A$113:$H$113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'Result-月份对比'!$A$115:$H$115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036160"/>
        <c:axId val="203037696"/>
        <c:axId val="0"/>
      </c:bar3DChart>
      <c:catAx>
        <c:axId val="20303616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37696"/>
        <c:crosses val="autoZero"/>
        <c:auto val="1"/>
        <c:lblAlgn val="ctr"/>
        <c:lblOffset val="100"/>
      </c:catAx>
      <c:valAx>
        <c:axId val="203037696"/>
        <c:scaling>
          <c:orientation val="minMax"/>
        </c:scaling>
        <c:delete val="1"/>
        <c:axPos val="l"/>
        <c:numFmt formatCode="0%" sourceLinked="1"/>
        <c:tickLblPos val="none"/>
        <c:crossAx val="203036160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Jul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'Result-月份对比'!$AF$25:$AF$65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'Result-月份对比'!$AE$25:$AE$65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3070464"/>
        <c:axId val="203080448"/>
      </c:barChart>
      <c:catAx>
        <c:axId val="203070464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80448"/>
        <c:crosses val="autoZero"/>
        <c:auto val="1"/>
        <c:lblAlgn val="ctr"/>
        <c:lblOffset val="100"/>
      </c:catAx>
      <c:valAx>
        <c:axId val="203080448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70464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Aug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'Result-月份对比'!$A$119:$H$119</c:f>
              <c:numCache>
                <c:formatCode>0</c:formatCode>
                <c:ptCount val="8"/>
                <c:pt idx="1">
                  <c:v>56766.822245006435</c:v>
                </c:pt>
                <c:pt idx="2">
                  <c:v>75892.644612944277</c:v>
                </c:pt>
                <c:pt idx="3">
                  <c:v>79990.90627961095</c:v>
                </c:pt>
                <c:pt idx="4">
                  <c:v>81427.922946277613</c:v>
                </c:pt>
                <c:pt idx="6">
                  <c:v>83327.822946277622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'Result-月份对比'!$A$120:$H$120</c:f>
              <c:numCache>
                <c:formatCode>0</c:formatCode>
                <c:ptCount val="8"/>
                <c:pt idx="0">
                  <c:v>56766.822245006435</c:v>
                </c:pt>
                <c:pt idx="1">
                  <c:v>19125.82236793785</c:v>
                </c:pt>
                <c:pt idx="2">
                  <c:v>4098.2616666666672</c:v>
                </c:pt>
                <c:pt idx="3">
                  <c:v>1437.0166666666667</c:v>
                </c:pt>
                <c:pt idx="4">
                  <c:v>1901.0166666666667</c:v>
                </c:pt>
                <c:pt idx="5">
                  <c:v>83327.822946277622</c:v>
                </c:pt>
                <c:pt idx="6">
                  <c:v>19380.483333333334</c:v>
                </c:pt>
                <c:pt idx="7">
                  <c:v>102708.30627961094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'Result-月份对比'!$A$122:$H$122</c:f>
              <c:numCache>
                <c:formatCode>0%</c:formatCode>
                <c:ptCount val="8"/>
                <c:pt idx="0">
                  <c:v>0.55269942910425984</c:v>
                </c:pt>
                <c:pt idx="1">
                  <c:v>0.18621495242916489</c:v>
                </c:pt>
                <c:pt idx="2">
                  <c:v>3.9901949658381529E-2</c:v>
                </c:pt>
                <c:pt idx="3">
                  <c:v>1.3991241007855417E-2</c:v>
                </c:pt>
                <c:pt idx="4">
                  <c:v>1.8508889256642774E-2</c:v>
                </c:pt>
                <c:pt idx="5">
                  <c:v>0.81130558924248741</c:v>
                </c:pt>
                <c:pt idx="6">
                  <c:v>0.18869441075751275</c:v>
                </c:pt>
                <c:pt idx="7">
                  <c:v>1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190272"/>
        <c:axId val="203191808"/>
        <c:axId val="0"/>
      </c:bar3DChart>
      <c:catAx>
        <c:axId val="20319027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191808"/>
        <c:crosses val="autoZero"/>
        <c:auto val="1"/>
        <c:lblAlgn val="ctr"/>
        <c:lblOffset val="100"/>
      </c:catAx>
      <c:valAx>
        <c:axId val="203191808"/>
        <c:scaling>
          <c:orientation val="minMax"/>
        </c:scaling>
        <c:delete val="1"/>
        <c:axPos val="l"/>
        <c:numFmt formatCode="0%" sourceLinked="1"/>
        <c:tickLblPos val="none"/>
        <c:crossAx val="203190272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Aug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'Result-月份对比'!$AJ$25:$AJ$65</c:f>
              <c:strCache>
                <c:ptCount val="41"/>
                <c:pt idx="0">
                  <c:v>效率损失</c:v>
                </c:pt>
                <c:pt idx="1">
                  <c:v>车间人员上料等</c:v>
                </c:pt>
                <c:pt idx="2">
                  <c:v>仓库人员 </c:v>
                </c:pt>
                <c:pt idx="3">
                  <c:v>领班</c:v>
                </c:pt>
                <c:pt idx="4">
                  <c:v>QC 检验员</c:v>
                </c:pt>
                <c:pt idx="5">
                  <c:v>等待物料</c:v>
                </c:pt>
                <c:pt idx="6">
                  <c:v>生产线组长辅助巡检</c:v>
                </c:pt>
                <c:pt idx="7">
                  <c:v>来料返工</c:v>
                </c:pt>
                <c:pt idx="8">
                  <c:v>SIM1</c:v>
                </c:pt>
                <c:pt idx="9">
                  <c:v>5S、交接班</c:v>
                </c:pt>
                <c:pt idx="10">
                  <c:v>换型</c:v>
                </c:pt>
                <c:pt idx="11">
                  <c:v>操作员集中打标签</c:v>
                </c:pt>
                <c:pt idx="12">
                  <c:v>岗位培训</c:v>
                </c:pt>
                <c:pt idx="13">
                  <c:v>在线维修</c:v>
                </c:pt>
                <c:pt idx="14">
                  <c:v>车间内部人员上料、退料</c:v>
                </c:pt>
                <c:pt idx="15">
                  <c:v>车间setter调整工</c:v>
                </c:pt>
                <c:pt idx="16">
                  <c:v>员工记录</c:v>
                </c:pt>
                <c:pt idx="17">
                  <c:v>IQC 检验员</c:v>
                </c:pt>
                <c:pt idx="18">
                  <c:v>过程返工</c:v>
                </c:pt>
                <c:pt idx="19">
                  <c:v>车间培训员</c:v>
                </c:pt>
                <c:pt idx="20">
                  <c:v>等待维修</c:v>
                </c:pt>
                <c:pt idx="21">
                  <c:v>样品检测</c:v>
                </c:pt>
                <c:pt idx="22">
                  <c:v>生产订单分配员</c:v>
                </c:pt>
                <c:pt idx="23">
                  <c:v>停电、停水、停气</c:v>
                </c:pt>
                <c:pt idx="24">
                  <c:v>新岗位效率损失</c:v>
                </c:pt>
                <c:pt idx="25">
                  <c:v>等待相关部门支持</c:v>
                </c:pt>
                <c:pt idx="26">
                  <c:v>生产安排, 分活等</c:v>
                </c:pt>
                <c:pt idx="27">
                  <c:v>等待半成品</c:v>
                </c:pt>
                <c:pt idx="28">
                  <c:v>输机人员 输入数据 </c:v>
                </c:pt>
                <c:pt idx="29">
                  <c:v>操作员领辅料</c:v>
                </c:pt>
                <c:pt idx="30">
                  <c:v>SAP系统操作</c:v>
                </c:pt>
                <c:pt idx="31">
                  <c:v>等待订单</c:v>
                </c:pt>
                <c:pt idx="32">
                  <c:v>员工维修/调整</c:v>
                </c:pt>
                <c:pt idx="33">
                  <c:v>IPQC 检验员</c:v>
                </c:pt>
                <c:pt idx="34">
                  <c:v>车间人员 输入数据 </c:v>
                </c:pt>
                <c:pt idx="35">
                  <c:v>MES系统维护</c:v>
                </c:pt>
                <c:pt idx="36">
                  <c:v>叫停调试</c:v>
                </c:pt>
                <c:pt idx="37">
                  <c:v>设计返工</c:v>
                </c:pt>
                <c:pt idx="38">
                  <c:v>附加控制</c:v>
                </c:pt>
                <c:pt idx="39">
                  <c:v>拒收返工</c:v>
                </c:pt>
                <c:pt idx="40">
                  <c:v>新产品试验</c:v>
                </c:pt>
              </c:strCache>
            </c:strRef>
          </c:cat>
          <c:val>
            <c:numRef>
              <c:f>'Result-月份对比'!$AI$25:$AI$65</c:f>
              <c:numCache>
                <c:formatCode>0</c:formatCode>
                <c:ptCount val="41"/>
                <c:pt idx="0">
                  <c:v>19017.039035604517</c:v>
                </c:pt>
                <c:pt idx="1">
                  <c:v>5865.6667036666668</c:v>
                </c:pt>
                <c:pt idx="2">
                  <c:v>5738.9833643333332</c:v>
                </c:pt>
                <c:pt idx="3">
                  <c:v>2245.1666986666664</c:v>
                </c:pt>
                <c:pt idx="4">
                  <c:v>1441.6666926666667</c:v>
                </c:pt>
                <c:pt idx="5">
                  <c:v>1430.3333513333332</c:v>
                </c:pt>
                <c:pt idx="6">
                  <c:v>1360.6833713333333</c:v>
                </c:pt>
                <c:pt idx="7">
                  <c:v>1174.100013</c:v>
                </c:pt>
                <c:pt idx="8">
                  <c:v>1019.8333373333334</c:v>
                </c:pt>
                <c:pt idx="9">
                  <c:v>949.47833933333322</c:v>
                </c:pt>
                <c:pt idx="10">
                  <c:v>855.35000700000001</c:v>
                </c:pt>
                <c:pt idx="11">
                  <c:v>741.25003900000002</c:v>
                </c:pt>
                <c:pt idx="12">
                  <c:v>737.10000300000002</c:v>
                </c:pt>
                <c:pt idx="13">
                  <c:v>596.76669566666669</c:v>
                </c:pt>
                <c:pt idx="14">
                  <c:v>359.9167076666667</c:v>
                </c:pt>
                <c:pt idx="15">
                  <c:v>353.46669666666662</c:v>
                </c:pt>
                <c:pt idx="16">
                  <c:v>335.65000499999996</c:v>
                </c:pt>
                <c:pt idx="17">
                  <c:v>271.0833613333333</c:v>
                </c:pt>
                <c:pt idx="18">
                  <c:v>260.650014</c:v>
                </c:pt>
                <c:pt idx="19">
                  <c:v>237.38336933333332</c:v>
                </c:pt>
                <c:pt idx="20">
                  <c:v>212.48335333333333</c:v>
                </c:pt>
                <c:pt idx="21">
                  <c:v>145.56667566666667</c:v>
                </c:pt>
                <c:pt idx="22">
                  <c:v>136.750033</c:v>
                </c:pt>
                <c:pt idx="23">
                  <c:v>131.23335733333332</c:v>
                </c:pt>
                <c:pt idx="24">
                  <c:v>108.78333533333333</c:v>
                </c:pt>
                <c:pt idx="25">
                  <c:v>87.350021999999996</c:v>
                </c:pt>
                <c:pt idx="26">
                  <c:v>40.050010999999998</c:v>
                </c:pt>
                <c:pt idx="27">
                  <c:v>33.150019</c:v>
                </c:pt>
                <c:pt idx="28">
                  <c:v>16.183368333333334</c:v>
                </c:pt>
                <c:pt idx="29">
                  <c:v>13.183373333333334</c:v>
                </c:pt>
                <c:pt idx="30">
                  <c:v>9.8500119999999995</c:v>
                </c:pt>
                <c:pt idx="31">
                  <c:v>7.6666876666666672</c:v>
                </c:pt>
                <c:pt idx="32">
                  <c:v>5.7500080000000002</c:v>
                </c:pt>
                <c:pt idx="33">
                  <c:v>2.5000270000000002</c:v>
                </c:pt>
                <c:pt idx="34">
                  <c:v>3.4E-5</c:v>
                </c:pt>
                <c:pt idx="35">
                  <c:v>2.5000000000000001E-5</c:v>
                </c:pt>
                <c:pt idx="36">
                  <c:v>2.3E-5</c:v>
                </c:pt>
                <c:pt idx="37">
                  <c:v>1.7E-5</c:v>
                </c:pt>
                <c:pt idx="38">
                  <c:v>1.5999999999999999E-5</c:v>
                </c:pt>
                <c:pt idx="39">
                  <c:v>1.5E-5</c:v>
                </c:pt>
                <c:pt idx="40">
                  <c:v>1.0000000000000001E-5</c:v>
                </c:pt>
              </c:numCache>
            </c:numRef>
          </c:val>
        </c:ser>
        <c:axId val="203097600"/>
        <c:axId val="203099136"/>
      </c:barChart>
      <c:catAx>
        <c:axId val="203097600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99136"/>
        <c:crosses val="autoZero"/>
        <c:auto val="1"/>
        <c:lblAlgn val="ctr"/>
        <c:lblOffset val="100"/>
      </c:catAx>
      <c:valAx>
        <c:axId val="203099136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097600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Oct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4230943645133381E-3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'Result-月份对比'!$A$133:$H$133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'Result-月份对比'!$A$134:$H$134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'Result-月份对比'!$A$136:$H$136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152000"/>
        <c:axId val="203248000"/>
        <c:axId val="0"/>
      </c:bar3DChart>
      <c:catAx>
        <c:axId val="20315200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248000"/>
        <c:crosses val="autoZero"/>
        <c:auto val="1"/>
        <c:lblAlgn val="ctr"/>
        <c:lblOffset val="100"/>
      </c:catAx>
      <c:valAx>
        <c:axId val="203248000"/>
        <c:scaling>
          <c:orientation val="minMax"/>
        </c:scaling>
        <c:delete val="1"/>
        <c:axPos val="l"/>
        <c:numFmt formatCode="0%" sourceLinked="1"/>
        <c:tickLblPos val="none"/>
        <c:crossAx val="203152000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Sep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'Result-月份对比'!$AN$25:$AN$65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'Result-月份对比'!$AM$25:$AM$65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3260288"/>
        <c:axId val="203261824"/>
      </c:barChart>
      <c:catAx>
        <c:axId val="203260288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261824"/>
        <c:crosses val="autoZero"/>
        <c:auto val="1"/>
        <c:lblAlgn val="ctr"/>
        <c:lblOffset val="100"/>
      </c:catAx>
      <c:valAx>
        <c:axId val="203261824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260288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Sep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'Result-月份对比'!$A$126:$H$126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'Result-月份对比'!$A$127:$H$127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'Result-月份对比'!$A$129:$H$129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388032"/>
        <c:axId val="203389568"/>
        <c:axId val="0"/>
      </c:bar3DChart>
      <c:catAx>
        <c:axId val="20338803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389568"/>
        <c:crosses val="autoZero"/>
        <c:auto val="1"/>
        <c:lblAlgn val="ctr"/>
        <c:lblOffset val="100"/>
      </c:catAx>
      <c:valAx>
        <c:axId val="203389568"/>
        <c:scaling>
          <c:orientation val="minMax"/>
        </c:scaling>
        <c:delete val="1"/>
        <c:axPos val="l"/>
        <c:numFmt formatCode="0%" sourceLinked="1"/>
        <c:tickLblPos val="none"/>
        <c:crossAx val="203388032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Oct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'Result-月份对比'!$AR$25:$AR$65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'Result-月份对比'!$AQ$25:$AQ$65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3303936"/>
        <c:axId val="203309824"/>
      </c:barChart>
      <c:catAx>
        <c:axId val="203303936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309824"/>
        <c:crosses val="autoZero"/>
        <c:auto val="1"/>
        <c:lblAlgn val="ctr"/>
        <c:lblOffset val="100"/>
      </c:catAx>
      <c:valAx>
        <c:axId val="203309824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303936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Nov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12E-2"/>
          <c:y val="0.25200906704843712"/>
          <c:w val="0.96923076923076856"/>
          <c:h val="0.4793020758768845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'Result-月份对比'!$A$140:$H$140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'Result-月份对比'!$A$141:$H$141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394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3E-2"/>
                  <c:y val="-0.1060606060606068"/>
                </c:manualLayout>
              </c:layout>
              <c:showVal val="1"/>
            </c:dLbl>
            <c:dLbl>
              <c:idx val="2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26E-2"/>
                  <c:y val="-0.1060606060606068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"/>
                </c:manualLayout>
              </c:layout>
              <c:showVal val="1"/>
            </c:dLbl>
            <c:dLbl>
              <c:idx val="6"/>
              <c:layout>
                <c:manualLayout>
                  <c:x val="2.3269342641069868E-3"/>
                  <c:y val="-0.1060606060606068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'Result-月份对比'!$A$143:$H$143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427840"/>
        <c:axId val="203429376"/>
        <c:axId val="0"/>
      </c:bar3DChart>
      <c:catAx>
        <c:axId val="20342784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429376"/>
        <c:crosses val="autoZero"/>
        <c:auto val="1"/>
        <c:lblAlgn val="ctr"/>
        <c:lblOffset val="100"/>
      </c:catAx>
      <c:valAx>
        <c:axId val="203429376"/>
        <c:scaling>
          <c:orientation val="minMax"/>
        </c:scaling>
        <c:delete val="1"/>
        <c:axPos val="l"/>
        <c:numFmt formatCode="0%" sourceLinked="1"/>
        <c:tickLblPos val="none"/>
        <c:crossAx val="203427840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Nov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strRef>
              <c:f>'Result-月份对比'!$AV$25:$AV$65</c:f>
              <c:strCache>
                <c:ptCount val="41"/>
                <c:pt idx="0">
                  <c:v>车间内部人员上料、退料</c:v>
                </c:pt>
                <c:pt idx="1">
                  <c:v>操作员领辅料</c:v>
                </c:pt>
                <c:pt idx="2">
                  <c:v>操作员集中打标签</c:v>
                </c:pt>
                <c:pt idx="3">
                  <c:v>生产线组长辅助巡检</c:v>
                </c:pt>
                <c:pt idx="4">
                  <c:v>车间人员上料等</c:v>
                </c:pt>
                <c:pt idx="5">
                  <c:v>车间培训员</c:v>
                </c:pt>
                <c:pt idx="6">
                  <c:v>输机人员 输入数据 </c:v>
                </c:pt>
                <c:pt idx="7">
                  <c:v>车间人员 输入数据 </c:v>
                </c:pt>
                <c:pt idx="8">
                  <c:v>生产订单分配员</c:v>
                </c:pt>
                <c:pt idx="9">
                  <c:v>领班</c:v>
                </c:pt>
                <c:pt idx="10">
                  <c:v>仓库人员 </c:v>
                </c:pt>
                <c:pt idx="11">
                  <c:v>车间setter调整工</c:v>
                </c:pt>
                <c:pt idx="12">
                  <c:v>在线维修</c:v>
                </c:pt>
                <c:pt idx="13">
                  <c:v>IQC 检验员</c:v>
                </c:pt>
                <c:pt idx="14">
                  <c:v>IPQC 检验员</c:v>
                </c:pt>
                <c:pt idx="15">
                  <c:v>QC 检验员</c:v>
                </c:pt>
                <c:pt idx="16">
                  <c:v>MES系统维护</c:v>
                </c:pt>
                <c:pt idx="17">
                  <c:v>停电、停水、停气</c:v>
                </c:pt>
                <c:pt idx="18">
                  <c:v>叫停调试</c:v>
                </c:pt>
                <c:pt idx="19">
                  <c:v>等待相关部门支持</c:v>
                </c:pt>
                <c:pt idx="20">
                  <c:v>等待订单</c:v>
                </c:pt>
                <c:pt idx="21">
                  <c:v>等待维修</c:v>
                </c:pt>
                <c:pt idx="22">
                  <c:v>等待半成品</c:v>
                </c:pt>
                <c:pt idx="23">
                  <c:v>等待物料</c:v>
                </c:pt>
                <c:pt idx="24">
                  <c:v>设计返工</c:v>
                </c:pt>
                <c:pt idx="25">
                  <c:v>附加控制</c:v>
                </c:pt>
                <c:pt idx="26">
                  <c:v>拒收返工</c:v>
                </c:pt>
                <c:pt idx="27">
                  <c:v>过程返工</c:v>
                </c:pt>
                <c:pt idx="28">
                  <c:v>来料返工</c:v>
                </c:pt>
                <c:pt idx="29">
                  <c:v>SAP系统操作</c:v>
                </c:pt>
                <c:pt idx="30">
                  <c:v>生产安排, 分活等</c:v>
                </c:pt>
                <c:pt idx="31">
                  <c:v>新产品试验</c:v>
                </c:pt>
                <c:pt idx="32">
                  <c:v>样品检测</c:v>
                </c:pt>
                <c:pt idx="33">
                  <c:v>员工维修/调整</c:v>
                </c:pt>
                <c:pt idx="34">
                  <c:v>换型</c:v>
                </c:pt>
                <c:pt idx="35">
                  <c:v>5S、交接班</c:v>
                </c:pt>
                <c:pt idx="36">
                  <c:v>员工记录</c:v>
                </c:pt>
                <c:pt idx="37">
                  <c:v>SIM1</c:v>
                </c:pt>
                <c:pt idx="38">
                  <c:v>岗位培训</c:v>
                </c:pt>
                <c:pt idx="39">
                  <c:v>新岗位效率损失</c:v>
                </c:pt>
                <c:pt idx="40">
                  <c:v>效率损失</c:v>
                </c:pt>
              </c:strCache>
            </c:strRef>
          </c:cat>
          <c:val>
            <c:numRef>
              <c:f>'Result-月份对比'!$AU$25:$AU$65</c:f>
              <c:numCache>
                <c:formatCode>0</c:formatCode>
                <c:ptCount val="41"/>
                <c:pt idx="0">
                  <c:v>4.1E-5</c:v>
                </c:pt>
                <c:pt idx="1">
                  <c:v>4.0000000000000003E-5</c:v>
                </c:pt>
                <c:pt idx="2">
                  <c:v>3.8999999999999999E-5</c:v>
                </c:pt>
                <c:pt idx="3">
                  <c:v>3.8000000000000002E-5</c:v>
                </c:pt>
                <c:pt idx="4">
                  <c:v>3.6999999999999998E-5</c:v>
                </c:pt>
                <c:pt idx="5">
                  <c:v>3.6000000000000001E-5</c:v>
                </c:pt>
                <c:pt idx="6">
                  <c:v>3.4999999999999997E-5</c:v>
                </c:pt>
                <c:pt idx="7">
                  <c:v>3.4E-5</c:v>
                </c:pt>
                <c:pt idx="8">
                  <c:v>3.3000000000000003E-5</c:v>
                </c:pt>
                <c:pt idx="9">
                  <c:v>3.1999999999999999E-5</c:v>
                </c:pt>
                <c:pt idx="10">
                  <c:v>3.1000000000000001E-5</c:v>
                </c:pt>
                <c:pt idx="11">
                  <c:v>3.0000000000000001E-5</c:v>
                </c:pt>
                <c:pt idx="12">
                  <c:v>2.9E-5</c:v>
                </c:pt>
                <c:pt idx="13">
                  <c:v>2.8E-5</c:v>
                </c:pt>
                <c:pt idx="14">
                  <c:v>2.6999999999999999E-5</c:v>
                </c:pt>
                <c:pt idx="15">
                  <c:v>2.5999999999999998E-5</c:v>
                </c:pt>
                <c:pt idx="16">
                  <c:v>2.5000000000000001E-5</c:v>
                </c:pt>
                <c:pt idx="17">
                  <c:v>2.4000000000000001E-5</c:v>
                </c:pt>
                <c:pt idx="18">
                  <c:v>2.3E-5</c:v>
                </c:pt>
                <c:pt idx="19">
                  <c:v>2.1999999999999999E-5</c:v>
                </c:pt>
                <c:pt idx="20">
                  <c:v>2.0999999999999999E-5</c:v>
                </c:pt>
                <c:pt idx="21">
                  <c:v>2.0000000000000002E-5</c:v>
                </c:pt>
                <c:pt idx="22">
                  <c:v>1.9000000000000001E-5</c:v>
                </c:pt>
                <c:pt idx="23">
                  <c:v>1.8E-5</c:v>
                </c:pt>
                <c:pt idx="24">
                  <c:v>1.7E-5</c:v>
                </c:pt>
                <c:pt idx="25">
                  <c:v>1.5999999999999999E-5</c:v>
                </c:pt>
                <c:pt idx="26">
                  <c:v>1.5E-5</c:v>
                </c:pt>
                <c:pt idx="27">
                  <c:v>1.4E-5</c:v>
                </c:pt>
                <c:pt idx="28">
                  <c:v>1.2999999999999999E-5</c:v>
                </c:pt>
                <c:pt idx="29">
                  <c:v>1.2E-5</c:v>
                </c:pt>
                <c:pt idx="30">
                  <c:v>1.1E-5</c:v>
                </c:pt>
                <c:pt idx="31">
                  <c:v>1.0000000000000001E-5</c:v>
                </c:pt>
                <c:pt idx="32">
                  <c:v>9.0000000000000002E-6</c:v>
                </c:pt>
                <c:pt idx="33">
                  <c:v>7.9999999999999996E-6</c:v>
                </c:pt>
                <c:pt idx="34">
                  <c:v>6.9999999999999999E-6</c:v>
                </c:pt>
                <c:pt idx="35">
                  <c:v>6.0000000000000002E-6</c:v>
                </c:pt>
                <c:pt idx="36">
                  <c:v>5.0000000000000004E-6</c:v>
                </c:pt>
                <c:pt idx="37">
                  <c:v>3.9999999999999998E-6</c:v>
                </c:pt>
                <c:pt idx="38">
                  <c:v>3.0000000000000001E-6</c:v>
                </c:pt>
                <c:pt idx="39">
                  <c:v>1.9999999999999999E-6</c:v>
                </c:pt>
                <c:pt idx="40">
                  <c:v>9.9999999999999995E-7</c:v>
                </c:pt>
              </c:numCache>
            </c:numRef>
          </c:val>
        </c:ser>
        <c:axId val="203470336"/>
        <c:axId val="203471872"/>
      </c:barChart>
      <c:catAx>
        <c:axId val="203470336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471872"/>
        <c:crosses val="autoZero"/>
        <c:auto val="1"/>
        <c:lblAlgn val="ctr"/>
        <c:lblOffset val="100"/>
      </c:catAx>
      <c:valAx>
        <c:axId val="203471872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470336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/>
              <a:t>Dec KE</a:t>
            </a:r>
            <a:r>
              <a:rPr lang="en-US" baseline="0"/>
              <a:t> Breakdow</a:t>
            </a:r>
            <a:r>
              <a:rPr lang="en-US" altLang="zh-CN" baseline="0"/>
              <a:t>n</a:t>
            </a:r>
            <a:endParaRPr lang="en-US"/>
          </a:p>
        </c:rich>
      </c:tx>
      <c:layout>
        <c:manualLayout>
          <c:xMode val="edge"/>
          <c:yMode val="edge"/>
          <c:x val="0.34675003320919962"/>
          <c:y val="1.5151515151515181E-2"/>
        </c:manualLayout>
      </c:layout>
    </c:title>
    <c:view3D>
      <c:rAngAx val="1"/>
    </c:view3D>
    <c:plotArea>
      <c:layout>
        <c:manualLayout>
          <c:layoutTarget val="inner"/>
          <c:xMode val="edge"/>
          <c:yMode val="edge"/>
          <c:x val="1.5384615384615521E-2"/>
          <c:y val="0.25200906704843712"/>
          <c:w val="0.96923076923076856"/>
          <c:h val="0.47930207587688473"/>
        </c:manualLayout>
      </c:layout>
      <c:bar3DChart>
        <c:barDir val="col"/>
        <c:grouping val="percentStacked"/>
        <c:ser>
          <c:idx val="0"/>
          <c:order val="0"/>
          <c:dPt>
            <c:idx val="1"/>
            <c:spPr>
              <a:noFill/>
            </c:spPr>
          </c:dPt>
          <c:dPt>
            <c:idx val="2"/>
            <c:spPr>
              <a:noFill/>
            </c:spPr>
          </c:dPt>
          <c:dPt>
            <c:idx val="3"/>
            <c:spPr>
              <a:noFill/>
            </c:spPr>
          </c:dPt>
          <c:dPt>
            <c:idx val="4"/>
            <c:spPr>
              <a:noFill/>
            </c:spPr>
          </c:dPt>
          <c:dPt>
            <c:idx val="6"/>
            <c:spPr>
              <a:noFill/>
            </c:spPr>
          </c:dPt>
          <c:dLbls>
            <c:delete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'Result-月份对比'!$A$147:$H$147</c:f>
              <c:numCache>
                <c:formatCode>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dPt>
            <c:idx val="0"/>
            <c:spPr>
              <a:gradFill flip="none" rotWithShape="1">
                <a:gsLst>
                  <a:gs pos="13000">
                    <a:srgbClr val="DDEBCF"/>
                  </a:gs>
                  <a:gs pos="50000">
                    <a:srgbClr val="01AF1E">
                      <a:alpha val="91000"/>
                    </a:srgbClr>
                  </a:gs>
                  <a:gs pos="72000">
                    <a:srgbClr val="04AC04"/>
                  </a:gs>
                </a:gsLst>
                <a:lin ang="5400000" scaled="1"/>
                <a:tileRect/>
              </a:gradFill>
            </c:spPr>
          </c:dPt>
          <c:dPt>
            <c:idx val="1"/>
            <c:spPr>
              <a:solidFill>
                <a:srgbClr val="FF0000"/>
              </a:solidFill>
            </c:spPr>
          </c:dPt>
          <c:dPt>
            <c:idx val="2"/>
            <c:spPr>
              <a:solidFill>
                <a:srgbClr val="FF0000"/>
              </a:solidFill>
            </c:spPr>
          </c:dPt>
          <c:dPt>
            <c:idx val="3"/>
            <c:spPr>
              <a:solidFill>
                <a:srgbClr val="FF0000"/>
              </a:solidFill>
            </c:spPr>
          </c:dPt>
          <c:dPt>
            <c:idx val="4"/>
            <c:spPr>
              <a:solidFill>
                <a:srgbClr val="FF0000"/>
              </a:solidFill>
            </c:spPr>
          </c:dPt>
          <c:dPt>
            <c:idx val="5"/>
            <c:invertIfNegative val="1"/>
            <c:spPr>
              <a:gradFill>
                <a:gsLst>
                  <a:gs pos="38000">
                    <a:srgbClr val="04AC04"/>
                  </a:gs>
                  <a:gs pos="97000">
                    <a:srgbClr val="FF0000">
                      <a:alpha val="93000"/>
                    </a:srgbClr>
                  </a:gs>
                </a:gsLst>
                <a:lin ang="16200000" scaled="0"/>
              </a:gradFill>
              <a:ln>
                <a:noFill/>
              </a:ln>
            </c:spPr>
          </c:dPt>
          <c:dPt>
            <c:idx val="6"/>
            <c:spPr>
              <a:solidFill>
                <a:srgbClr val="FF0000"/>
              </a:solidFill>
            </c:spPr>
          </c:dPt>
          <c:dPt>
            <c:idx val="7"/>
            <c:invertIfNegative val="1"/>
            <c:spPr>
              <a:solidFill>
                <a:srgbClr val="69BD03">
                  <a:alpha val="95686"/>
                </a:srgbClr>
              </a:solidFill>
            </c:spPr>
          </c:dPt>
          <c:dLbls>
            <c:numFmt formatCode="#,##0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cat>
            <c:strRef>
              <c:f>[178]Result!$A$20:$H$20</c:f>
              <c:strCache>
                <c:ptCount val="8"/>
                <c:pt idx="0">
                  <c:v>DT</c:v>
                </c:pt>
                <c:pt idx="1">
                  <c:v>效率损失</c:v>
                </c:pt>
                <c:pt idx="2">
                  <c:v>过程损失</c:v>
                </c:pt>
                <c:pt idx="3">
                  <c:v>质量</c:v>
                </c:pt>
                <c:pt idx="4">
                  <c:v>不确定因素</c:v>
                </c:pt>
                <c:pt idx="5">
                  <c:v>OT</c:v>
                </c:pt>
                <c:pt idx="6">
                  <c:v>支持时间</c:v>
                </c:pt>
                <c:pt idx="7">
                  <c:v>TS</c:v>
                </c:pt>
              </c:strCache>
            </c:strRef>
          </c:cat>
          <c:val>
            <c:numRef>
              <c:f>'Result-月份对比'!$A$148:$H$148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noFill/>
          </c:spPr>
          <c:dLbls>
            <c:dLbl>
              <c:idx val="0"/>
              <c:layout>
                <c:manualLayout>
                  <c:x val="9.3077370564283498E-3"/>
                  <c:y val="-0.11111111111111109"/>
                </c:manualLayout>
              </c:layout>
              <c:showVal val="1"/>
            </c:dLbl>
            <c:dLbl>
              <c:idx val="1"/>
              <c:layout>
                <c:manualLayout>
                  <c:x val="1.3961605584642338E-2"/>
                  <c:y val="-0.10606060606060685"/>
                </c:manualLayout>
              </c:layout>
              <c:showVal val="1"/>
            </c:dLbl>
            <c:dLbl>
              <c:idx val="2"/>
              <c:layout>
                <c:manualLayout>
                  <c:x val="1.6288539848749433E-2"/>
                  <c:y val="-0.10606060606060685"/>
                </c:manualLayout>
              </c:layout>
              <c:showVal val="1"/>
            </c:dLbl>
            <c:dLbl>
              <c:idx val="3"/>
              <c:layout>
                <c:manualLayout>
                  <c:x val="1.8615474112856321E-2"/>
                  <c:y val="-0.11111111111111109"/>
                </c:manualLayout>
              </c:layout>
              <c:showVal val="1"/>
            </c:dLbl>
            <c:dLbl>
              <c:idx val="4"/>
              <c:layout>
                <c:manualLayout>
                  <c:x val="1.6288539848749433E-2"/>
                  <c:y val="-0.10606060606060685"/>
                </c:manualLayout>
              </c:layout>
              <c:showVal val="1"/>
            </c:dLbl>
            <c:dLbl>
              <c:idx val="5"/>
              <c:layout>
                <c:manualLayout>
                  <c:x val="4.6538685282140804E-3"/>
                  <c:y val="-0.10606060606060685"/>
                </c:manualLayout>
              </c:layout>
              <c:showVal val="1"/>
            </c:dLbl>
            <c:dLbl>
              <c:idx val="6"/>
              <c:layout>
                <c:manualLayout>
                  <c:x val="2.3269342641069886E-3"/>
                  <c:y val="-0.10606060606060685"/>
                </c:manualLayout>
              </c:layout>
              <c:showVal val="1"/>
            </c:dLbl>
            <c:dLbl>
              <c:idx val="7"/>
              <c:layout>
                <c:manualLayout>
                  <c:x val="0"/>
                  <c:y val="-9.0909090909091064E-2"/>
                </c:manualLayout>
              </c:layout>
              <c:showVal val="1"/>
            </c:dLbl>
            <c:numFmt formatCode="0%" sourceLinked="0"/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Val val="1"/>
          </c:dLbls>
          <c:val>
            <c:numRef>
              <c:f>'Result-月份对比'!$A$150:$H$150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Val val="1"/>
        </c:dLbls>
        <c:gapWidth val="95"/>
        <c:gapDepth val="95"/>
        <c:shape val="box"/>
        <c:axId val="203503872"/>
        <c:axId val="203538432"/>
        <c:axId val="0"/>
      </c:bar3DChart>
      <c:catAx>
        <c:axId val="20350387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38432"/>
        <c:crosses val="autoZero"/>
        <c:auto val="1"/>
        <c:lblAlgn val="ctr"/>
        <c:lblOffset val="100"/>
      </c:catAx>
      <c:valAx>
        <c:axId val="203538432"/>
        <c:scaling>
          <c:orientation val="minMax"/>
        </c:scaling>
        <c:delete val="1"/>
        <c:axPos val="l"/>
        <c:numFmt formatCode="0%" sourceLinked="1"/>
        <c:tickLblPos val="none"/>
        <c:crossAx val="203503872"/>
        <c:crosses val="autoZero"/>
        <c:crossBetween val="between"/>
      </c:valAx>
    </c:plotArea>
    <c:plotVisOnly val="1"/>
  </c:chart>
  <c:spPr>
    <a:solidFill>
      <a:sysClr val="window" lastClr="FFFFFF"/>
    </a:solidFill>
    <a:ln w="15875">
      <a:solidFill>
        <a:schemeClr val="bg1">
          <a:lumMod val="50000"/>
        </a:schemeClr>
      </a:solidFill>
    </a:ln>
  </c:spPr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US"/>
            </a:pPr>
            <a:r>
              <a:rPr lang="en-US" sz="1800" b="1" i="0" baseline="0"/>
              <a:t>Dec Red time description</a:t>
            </a:r>
            <a:endParaRPr lang="en-US"/>
          </a:p>
        </c:rich>
      </c:tx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FFC000"/>
            </a:solidFill>
          </c:spPr>
          <c:cat>
            <c:multiLvlStrRef>
              <c:f>'Result-月份对比'!$AZ$25:$AZ$65</c:f>
            </c:multiLvlStrRef>
          </c:cat>
          <c:val>
            <c:numRef>
              <c:f>'Result-月份对比'!$AY$25:$AY$65</c:f>
              <c:numCache>
                <c:formatCode>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</c:ser>
        <c:axId val="203562368"/>
        <c:axId val="203572352"/>
      </c:barChart>
      <c:catAx>
        <c:axId val="203562368"/>
        <c:scaling>
          <c:orientation val="minMax"/>
        </c:scaling>
        <c:axPos val="b"/>
        <c:numFmt formatCode="0%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72352"/>
        <c:crosses val="autoZero"/>
        <c:auto val="1"/>
        <c:lblAlgn val="ctr"/>
        <c:lblOffset val="100"/>
      </c:catAx>
      <c:valAx>
        <c:axId val="203572352"/>
        <c:scaling>
          <c:orientation val="minMax"/>
        </c:scaling>
        <c:axPos val="l"/>
        <c:majorGridlines/>
        <c:numFmt formatCode="0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3562368"/>
        <c:crosses val="autoZero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spPr>
    <a:ln w="19050">
      <a:solidFill>
        <a:schemeClr val="bg1">
          <a:lumMod val="50000"/>
        </a:schemeClr>
      </a:solidFill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18" Type="http://schemas.openxmlformats.org/officeDocument/2006/relationships/chart" Target="../charts/chart23.xml"/><Relationship Id="rId26" Type="http://schemas.openxmlformats.org/officeDocument/2006/relationships/chart" Target="../charts/chart31.xml"/><Relationship Id="rId3" Type="http://schemas.openxmlformats.org/officeDocument/2006/relationships/chart" Target="../charts/chart8.xml"/><Relationship Id="rId21" Type="http://schemas.openxmlformats.org/officeDocument/2006/relationships/chart" Target="../charts/chart26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17" Type="http://schemas.openxmlformats.org/officeDocument/2006/relationships/chart" Target="../charts/chart22.xml"/><Relationship Id="rId25" Type="http://schemas.openxmlformats.org/officeDocument/2006/relationships/chart" Target="../charts/chart30.xml"/><Relationship Id="rId2" Type="http://schemas.openxmlformats.org/officeDocument/2006/relationships/chart" Target="../charts/chart7.xml"/><Relationship Id="rId16" Type="http://schemas.openxmlformats.org/officeDocument/2006/relationships/chart" Target="../charts/chart21.xml"/><Relationship Id="rId20" Type="http://schemas.openxmlformats.org/officeDocument/2006/relationships/chart" Target="../charts/chart25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24" Type="http://schemas.openxmlformats.org/officeDocument/2006/relationships/chart" Target="../charts/chart29.xml"/><Relationship Id="rId5" Type="http://schemas.openxmlformats.org/officeDocument/2006/relationships/chart" Target="../charts/chart10.xml"/><Relationship Id="rId15" Type="http://schemas.openxmlformats.org/officeDocument/2006/relationships/chart" Target="../charts/chart20.xml"/><Relationship Id="rId23" Type="http://schemas.openxmlformats.org/officeDocument/2006/relationships/chart" Target="../charts/chart28.xml"/><Relationship Id="rId10" Type="http://schemas.openxmlformats.org/officeDocument/2006/relationships/chart" Target="../charts/chart15.xml"/><Relationship Id="rId19" Type="http://schemas.openxmlformats.org/officeDocument/2006/relationships/chart" Target="../charts/chart24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Relationship Id="rId22" Type="http://schemas.openxmlformats.org/officeDocument/2006/relationships/chart" Target="../charts/chart27.xml"/><Relationship Id="rId27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0</xdr:row>
      <xdr:rowOff>47625</xdr:rowOff>
    </xdr:from>
    <xdr:to>
      <xdr:col>15</xdr:col>
      <xdr:colOff>247650</xdr:colOff>
      <xdr:row>12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12</xdr:row>
      <xdr:rowOff>66675</xdr:rowOff>
    </xdr:from>
    <xdr:to>
      <xdr:col>15</xdr:col>
      <xdr:colOff>247650</xdr:colOff>
      <xdr:row>23</xdr:row>
      <xdr:rowOff>104775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28576</xdr:colOff>
      <xdr:row>23</xdr:row>
      <xdr:rowOff>161924</xdr:rowOff>
    </xdr:from>
    <xdr:to>
      <xdr:col>15</xdr:col>
      <xdr:colOff>266700</xdr:colOff>
      <xdr:row>36</xdr:row>
      <xdr:rowOff>19050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3</xdr:row>
      <xdr:rowOff>9525</xdr:rowOff>
    </xdr:from>
    <xdr:to>
      <xdr:col>3</xdr:col>
      <xdr:colOff>3571874</xdr:colOff>
      <xdr:row>16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104774</xdr:colOff>
      <xdr:row>3</xdr:row>
      <xdr:rowOff>9525</xdr:rowOff>
    </xdr:from>
    <xdr:to>
      <xdr:col>14</xdr:col>
      <xdr:colOff>19049</xdr:colOff>
      <xdr:row>16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1</xdr:row>
      <xdr:rowOff>209550</xdr:rowOff>
    </xdr:from>
    <xdr:to>
      <xdr:col>12</xdr:col>
      <xdr:colOff>228600</xdr:colOff>
      <xdr:row>13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28</xdr:row>
      <xdr:rowOff>57151</xdr:rowOff>
    </xdr:from>
    <xdr:to>
      <xdr:col>12</xdr:col>
      <xdr:colOff>123825</xdr:colOff>
      <xdr:row>32</xdr:row>
      <xdr:rowOff>1295401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276225</xdr:colOff>
      <xdr:row>17</xdr:row>
      <xdr:rowOff>0</xdr:rowOff>
    </xdr:from>
    <xdr:to>
      <xdr:col>12</xdr:col>
      <xdr:colOff>142875</xdr:colOff>
      <xdr:row>27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85725</xdr:colOff>
      <xdr:row>33</xdr:row>
      <xdr:rowOff>0</xdr:rowOff>
    </xdr:from>
    <xdr:to>
      <xdr:col>3</xdr:col>
      <xdr:colOff>3028950</xdr:colOff>
      <xdr:row>42</xdr:row>
      <xdr:rowOff>171450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3152775</xdr:colOff>
      <xdr:row>33</xdr:row>
      <xdr:rowOff>0</xdr:rowOff>
    </xdr:from>
    <xdr:to>
      <xdr:col>14</xdr:col>
      <xdr:colOff>95250</xdr:colOff>
      <xdr:row>42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85725</xdr:colOff>
      <xdr:row>44</xdr:row>
      <xdr:rowOff>0</xdr:rowOff>
    </xdr:from>
    <xdr:to>
      <xdr:col>3</xdr:col>
      <xdr:colOff>3028950</xdr:colOff>
      <xdr:row>57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3152775</xdr:colOff>
      <xdr:row>44</xdr:row>
      <xdr:rowOff>0</xdr:rowOff>
    </xdr:from>
    <xdr:to>
      <xdr:col>14</xdr:col>
      <xdr:colOff>95250</xdr:colOff>
      <xdr:row>57</xdr:row>
      <xdr:rowOff>19050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85725</xdr:colOff>
      <xdr:row>57</xdr:row>
      <xdr:rowOff>152400</xdr:rowOff>
    </xdr:from>
    <xdr:to>
      <xdr:col>3</xdr:col>
      <xdr:colOff>3028950</xdr:colOff>
      <xdr:row>71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3152775</xdr:colOff>
      <xdr:row>57</xdr:row>
      <xdr:rowOff>152400</xdr:rowOff>
    </xdr:from>
    <xdr:to>
      <xdr:col>14</xdr:col>
      <xdr:colOff>95250</xdr:colOff>
      <xdr:row>71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85725</xdr:colOff>
      <xdr:row>71</xdr:row>
      <xdr:rowOff>114300</xdr:rowOff>
    </xdr:from>
    <xdr:to>
      <xdr:col>3</xdr:col>
      <xdr:colOff>3028950</xdr:colOff>
      <xdr:row>84</xdr:row>
      <xdr:rowOff>152400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3152775</xdr:colOff>
      <xdr:row>71</xdr:row>
      <xdr:rowOff>114300</xdr:rowOff>
    </xdr:from>
    <xdr:to>
      <xdr:col>14</xdr:col>
      <xdr:colOff>95250</xdr:colOff>
      <xdr:row>84</xdr:row>
      <xdr:rowOff>152400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85725</xdr:colOff>
      <xdr:row>85</xdr:row>
      <xdr:rowOff>66675</xdr:rowOff>
    </xdr:from>
    <xdr:to>
      <xdr:col>3</xdr:col>
      <xdr:colOff>3028950</xdr:colOff>
      <xdr:row>98</xdr:row>
      <xdr:rowOff>104775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3152775</xdr:colOff>
      <xdr:row>85</xdr:row>
      <xdr:rowOff>66675</xdr:rowOff>
    </xdr:from>
    <xdr:to>
      <xdr:col>14</xdr:col>
      <xdr:colOff>95250</xdr:colOff>
      <xdr:row>98</xdr:row>
      <xdr:rowOff>104775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85725</xdr:colOff>
      <xdr:row>99</xdr:row>
      <xdr:rowOff>38100</xdr:rowOff>
    </xdr:from>
    <xdr:to>
      <xdr:col>3</xdr:col>
      <xdr:colOff>3028950</xdr:colOff>
      <xdr:row>112</xdr:row>
      <xdr:rowOff>76200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3152775</xdr:colOff>
      <xdr:row>99</xdr:row>
      <xdr:rowOff>38100</xdr:rowOff>
    </xdr:from>
    <xdr:to>
      <xdr:col>14</xdr:col>
      <xdr:colOff>95250</xdr:colOff>
      <xdr:row>112</xdr:row>
      <xdr:rowOff>76200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95250</xdr:colOff>
      <xdr:row>113</xdr:row>
      <xdr:rowOff>0</xdr:rowOff>
    </xdr:from>
    <xdr:to>
      <xdr:col>3</xdr:col>
      <xdr:colOff>3038475</xdr:colOff>
      <xdr:row>126</xdr:row>
      <xdr:rowOff>38100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3162300</xdr:colOff>
      <xdr:row>113</xdr:row>
      <xdr:rowOff>0</xdr:rowOff>
    </xdr:from>
    <xdr:to>
      <xdr:col>14</xdr:col>
      <xdr:colOff>104775</xdr:colOff>
      <xdr:row>126</xdr:row>
      <xdr:rowOff>38100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114300</xdr:colOff>
      <xdr:row>126</xdr:row>
      <xdr:rowOff>161925</xdr:rowOff>
    </xdr:from>
    <xdr:to>
      <xdr:col>3</xdr:col>
      <xdr:colOff>3057525</xdr:colOff>
      <xdr:row>140</xdr:row>
      <xdr:rowOff>9525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3181350</xdr:colOff>
      <xdr:row>126</xdr:row>
      <xdr:rowOff>161925</xdr:rowOff>
    </xdr:from>
    <xdr:to>
      <xdr:col>14</xdr:col>
      <xdr:colOff>123825</xdr:colOff>
      <xdr:row>140</xdr:row>
      <xdr:rowOff>9525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142875</xdr:colOff>
      <xdr:row>154</xdr:row>
      <xdr:rowOff>104775</xdr:rowOff>
    </xdr:from>
    <xdr:to>
      <xdr:col>3</xdr:col>
      <xdr:colOff>3086100</xdr:colOff>
      <xdr:row>167</xdr:row>
      <xdr:rowOff>142875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3190875</xdr:colOff>
      <xdr:row>140</xdr:row>
      <xdr:rowOff>133350</xdr:rowOff>
    </xdr:from>
    <xdr:to>
      <xdr:col>14</xdr:col>
      <xdr:colOff>133350</xdr:colOff>
      <xdr:row>153</xdr:row>
      <xdr:rowOff>171450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114300</xdr:colOff>
      <xdr:row>140</xdr:row>
      <xdr:rowOff>123825</xdr:rowOff>
    </xdr:from>
    <xdr:to>
      <xdr:col>3</xdr:col>
      <xdr:colOff>3057525</xdr:colOff>
      <xdr:row>153</xdr:row>
      <xdr:rowOff>161925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3190875</xdr:colOff>
      <xdr:row>154</xdr:row>
      <xdr:rowOff>114300</xdr:rowOff>
    </xdr:from>
    <xdr:to>
      <xdr:col>14</xdr:col>
      <xdr:colOff>133350</xdr:colOff>
      <xdr:row>167</xdr:row>
      <xdr:rowOff>152400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114300</xdr:colOff>
      <xdr:row>168</xdr:row>
      <xdr:rowOff>66675</xdr:rowOff>
    </xdr:from>
    <xdr:to>
      <xdr:col>3</xdr:col>
      <xdr:colOff>3057525</xdr:colOff>
      <xdr:row>181</xdr:row>
      <xdr:rowOff>104775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3181350</xdr:colOff>
      <xdr:row>168</xdr:row>
      <xdr:rowOff>66675</xdr:rowOff>
    </xdr:from>
    <xdr:to>
      <xdr:col>14</xdr:col>
      <xdr:colOff>123825</xdr:colOff>
      <xdr:row>181</xdr:row>
      <xdr:rowOff>104775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104775</xdr:colOff>
      <xdr:row>182</xdr:row>
      <xdr:rowOff>28575</xdr:rowOff>
    </xdr:from>
    <xdr:to>
      <xdr:col>3</xdr:col>
      <xdr:colOff>3048000</xdr:colOff>
      <xdr:row>195</xdr:row>
      <xdr:rowOff>66675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</xdr:col>
      <xdr:colOff>3171825</xdr:colOff>
      <xdr:row>182</xdr:row>
      <xdr:rowOff>28575</xdr:rowOff>
    </xdr:from>
    <xdr:to>
      <xdr:col>14</xdr:col>
      <xdr:colOff>114300</xdr:colOff>
      <xdr:row>195</xdr:row>
      <xdr:rowOff>66675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1495425</xdr:colOff>
      <xdr:row>1</xdr:row>
      <xdr:rowOff>180975</xdr:rowOff>
    </xdr:from>
    <xdr:to>
      <xdr:col>6</xdr:col>
      <xdr:colOff>38100</xdr:colOff>
      <xdr:row>3</xdr:row>
      <xdr:rowOff>38100</xdr:rowOff>
    </xdr:to>
    <xdr:sp macro="" textlink="">
      <xdr:nvSpPr>
        <xdr:cNvPr id="29" name="矩形 28"/>
        <xdr:cNvSpPr/>
      </xdr:nvSpPr>
      <xdr:spPr>
        <a:xfrm>
          <a:off x="4010025" y="371475"/>
          <a:ext cx="3352800" cy="3429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SEMC 2015 KE </a:t>
          </a:r>
          <a:r>
            <a:rPr lang="en-US" sz="1800" b="1" i="0">
              <a:solidFill>
                <a:schemeClr val="tx1"/>
              </a:solidFill>
              <a:latin typeface="+mn-lt"/>
              <a:ea typeface="+mn-ea"/>
              <a:cs typeface="+mn-cs"/>
            </a:rPr>
            <a:t>trend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1304925</xdr:colOff>
      <xdr:row>21</xdr:row>
      <xdr:rowOff>152400</xdr:rowOff>
    </xdr:from>
    <xdr:to>
      <xdr:col>5</xdr:col>
      <xdr:colOff>457200</xdr:colOff>
      <xdr:row>23</xdr:row>
      <xdr:rowOff>114300</xdr:rowOff>
    </xdr:to>
    <xdr:sp macro="" textlink="">
      <xdr:nvSpPr>
        <xdr:cNvPr id="30" name="矩形 29"/>
        <xdr:cNvSpPr/>
      </xdr:nvSpPr>
      <xdr:spPr>
        <a:xfrm>
          <a:off x="3819525" y="4257675"/>
          <a:ext cx="3352800" cy="3429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SEMC 2015 KS </a:t>
          </a:r>
          <a:r>
            <a:rPr lang="en-US" sz="1800" b="1" i="0">
              <a:solidFill>
                <a:schemeClr val="tx1"/>
              </a:solidFill>
              <a:latin typeface="+mn-lt"/>
              <a:ea typeface="+mn-ea"/>
              <a:cs typeface="+mn-cs"/>
            </a:rPr>
            <a:t>trend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0.32337</cdr:x>
      <cdr:y>0.06667</cdr:y>
    </cdr:from>
    <cdr:to>
      <cdr:x>0.63269</cdr:x>
      <cdr:y>0.2381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3505200" y="133350"/>
          <a:ext cx="3352800" cy="3429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25400" cap="flat" cmpd="sng" algn="ctr">
          <a:solidFill>
            <a:sysClr val="window" lastClr="FFFFFF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sz="1800" b="1">
              <a:solidFill>
                <a:sysClr val="windowText" lastClr="000000"/>
              </a:solidFill>
            </a:rPr>
            <a:t>SEMC 2015 IE </a:t>
          </a:r>
          <a:r>
            <a:rPr lang="en-US" sz="1800" b="1" i="0">
              <a:solidFill>
                <a:sysClr val="windowText" lastClr="000000"/>
              </a:solidFill>
              <a:latin typeface="Calibri"/>
            </a:rPr>
            <a:t>trend</a:t>
          </a:r>
          <a:endParaRPr lang="en-US" sz="1800" b="1">
            <a:solidFill>
              <a:sysClr val="windowText" lastClr="000000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SOFFICE\EXCEL\PROPERT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99Plan\Revision%20%231\HRFunction\Calculated%20Target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ersonal\Transfers\Clipsal%20projects\012%20FG%20CIS%20dimmer\01%20Planning\Project%20Card%20-%20Finish%20product%20Dimmers%208_02_2006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58.254\Department\DOCUME~1\ALOYSI~1.LEE\LOCALS~1\Temp\notesE97E9E\STL%20-%20Steps%20to%20fulfill%20APOD%206S%20directive%20-%20v1.0%20(Follow%20up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Group%20report2003\RCG\stock\stock%20provision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y%20documents\KARAM\&#47932;&#47448;&#54016;\mass\Tesys%20T%20order%20status%20V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Admin\LOCALS~1\Temp\C.Lotus.Notes.Data\C60%20cost%20redn%20proposal%20july0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VINCEN~1.SSP\LOCALS~1\Temp\Investment%20request-Varplus14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5\NEWLIFE\00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u\yosan99\&#21508;&#37096;&#65419;&#65393;&#65432;&#65437;&#65400;&#65438;&#29992;\&#30003;&#35531;99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DIRCGA\R2F\Copie_METADATA\01-Ineumconsulting\Conso_webforms_IFR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QUALITY\QUOTE\CISCO\SYNERGY%20WORKGROUP%20ARCHIVE\FARUBA%20(9823305)\NEWHPU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SESA65~1\LOCALS~1\Temp\7zOA7.tmp\industrial_electronic_budget_SCT_UBCM_IR09031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pierre-yves.schecter\My%20Documents\Schneider%20HK\MAC...%20XESP%20-%20XCE%20-%20XS%20transfer\XS\Latest\Economical%20study%20X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redrakumar\c%20drive\C%20drive\Skumar\Business%20Plan\Workings\DVC-ACTIVA-180506-Ver-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redrakumar\c%20drive\back_D\CI001\ACTIVA\ACTIVA-DVC-26.09.05-VER-3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nts%20and%20Settings\djiboma\My%20Documents\BFA\Jobs\ADD%20ON\Mise%20&#224;%20jour%20rapport\Labeyrie%20-%20blini%202003-01-23\report%20d&#233;c%2020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904144\LOCALS~1\Temp\notesE8DBF2\Documents%20and%20Settings\shangzlu\Local%20Settings\Temporary%20Internet%20Files\Content.IE5\8XQZGXIJ\Component_Dashboard_CDC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Business%20Review\BUSINESS%20REVIEW%202006\BR%20Q2%202006\BR%20Q2%20backupv3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544nw061\plantb\Documents%20and%20Settings\WC_NG\Local%20Settings\Temp\GWViewer\Documents%20and%20Settings\Yen_Yan1\Local%20Settings\Temp\eco_mco_ddd_tracking_01%2028%2003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nt\public\documents%20and%20Settings\ebat420\My%20Documents\SITES\6-%20CHINE\1-Shangai%20SSIC\1-%20Projet%20KIR\Bench%20-%20KIR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BT\projecting\Argos\C1\Method\BOM\Tu%20C1%20WPF%202007-5-2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mb_server\heryt\My%20Documents\batam\SEMB2000\P&amp;Lmay2000-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y%20Documents\KARAM%20Project\KARAM_2007%20Burdget\KARAM_2007_070523_review%205_2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orary%20Internet%20Files\OLK1032\Schneider%20GFCI%20&amp;%20AFCI%20Quote%20Rev01%20-%20Interim%20model%202.1.5.3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dunchezian\MALI\study%20notes\Disc%20item\Projet%20d'&#233;tude%20complet\Projet%20d'&#233;tude\Cost%20calculation\Greco%20cost%20target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herve%20boulaie\Local%20Settings\Temporary%20Internet%20Files\OLK11C\Pilot%20Run%20Fixed%20Cost%20template%2007%2002%20200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\Purchasing\2_APM\Jul\070214%20-%20ACCESS%20APM%20-%20Template%20-%20Localilzation%20V3.2.02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cturacion1\JVega\WINNT\Profiles\hzamora\Escritorio\Documentos\MONTHRP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roject\SSR\Invensys%20Climate%20Controls%20Board%20Quote%20-detail%200%20-%20Rev%200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aafr0252.fr.schneider-electric.com/Global/CMC/MRT/elibrary.nsf/luAllByID/AAFR-77EFWF/$file/DEVr200701_AL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es%20Documents\D\kiwi\kiwi\roger\CAPA-B~6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HIMEL\Inform02\Tableau\ECI020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5\9908&#26085;&#25253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B_Work_Project_Managment\MTE%20Dubai\Gulf%20new%20parts%20list_V1.6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BT\projecting\Argos\C1\Method\BOM\Argos%20C1&amp;C2%20bom%2012-27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dft-cmc-fr.schneider-electric.com/documents%20and%20Settings/ebbx323/Desktop/Dossier%20T2/Fichiers%20pour%20le%20site/fichiers%20bases%20pr%20site/APOD%20si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jin\jin\process\751%20PROCESS\LADMA\Three%20workbench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SESA65~1.GES\LOCALS~1\Temp\7zO4A.tmp\BCM%20-%20AAV68845%20-%2034K%20-%2008072009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Compte%20Schneider\Cotations\BCM-CCM\01072009\BCM%20-%20AAV68845%20-%2052K%20-%2008072009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Compte%20Schneider\Cotations\Argos\26082008\Quote%20Argos%20GHE10123AA%2020092008final%2028k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GERMAIN\Local%20Settings\Temporary%20Internet%20Files\OLK5C\Schneider%20Conlog%20Quote%20Rev00%20-%20Interim%20model%203.2.2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nt\public\Mes%20Documents\2API\versions%202api\2API-RH-V3b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dnt01\890010\DOCUME~1\890008\LOCALS~1\Temp\c.lotus.notes.data\DVC%20AOC\Graphy(ATV58Frct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WARWIC~1\LOCALS~1\Temp\notesE1EF34\Wired%20cost%20V1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server\clipsal\Personal\Transfers\November%20review\Transfers%20summary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28;&#54925;&#48512;\DOMINO\WINDOWS\TEMP\TQPJ1011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nt\public\TEMP\2API-RH-V3b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F-R\98GREYBK\augcashfl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ebal253.000\My%20Documents\DOSSIERS\G&amp;I-DI-PPI\TB-optimisation%20Indus\Carat\2004\BD-carat2004-definitif2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Budget%202006\Oct%202006\Copie%20de%20Power%20projects%20PCP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nt\public\FGA\CMA%20usines\CMA%20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microsoft.com/office/2006/relationships/xlExternalLinkPath/xlPathMissing" Target="EDC-DA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Compte%20Schneider\Cotations\BCM-CCM\ME%20quotation%20CUB%20%20%20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file01\BD%20Share%20Drive\windows\TEMP\Interlogic%202+1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ERU\My%20Documents\WINDOWS\TEMP\Std%20Cost%20MCB%202003_page%201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RO2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cturacion1\JVega\WINNT\Profiles\hzamora\Escritorio\Documentos\98NONMSA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P&amp;Lmar2000-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LiHui\LOCALS~1\Temp\notesBB7DB7\GP&#32452;&#35013;&#32447;\production%20%20data\2004\GP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TEMP\COMPTA\suivi_affaire\2003\Nov03\SANORM1003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sdnc091\Gerencia\DOCUME~1\ehrcas\LOCALS~1\Temp\EDP%2009-2001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Brand%20Migration\Documents\OCP\Project%20information%20updated%20on%2020070619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_SERVER\&#20849;&#26377;&#12501;&#12457;&#12523;&#12480;\quartze\&#12477;&#12540;&#12473;\&#26908;&#32034;\&#12487;&#12472;&#12479;&#12523;\Prog\&#26908;&#32034;\&#26908;&#32034;953-1c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58.254\department\documents%20and%20Settings\ebbv836\Desktop\CCA2007-forecasts-16-10-2006\Cl&#233;%20CCA\IP\CCA-IP%20Aout%202006\D&#233;comptev2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Analyse\Conception_d&#233;taill&#233;e\Consolidation\Annexes\Annexes%20Keops%20non%20reprises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TEMP\VERIFONE%20Santana%201.2%20June%2011%2020031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09\Monthly%20report\200901\UNIFY_FILE_TEMPLATE_Act_JANUARY_SSD_YEAR-2009_V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\OTHERS\consignfee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CYSONG~1.SEK\LOCALS~1\Temp\notesFFF692\TP-Karam%2007%20Burdget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CSS_ROI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xsrv06\QMDATA\Documents%20and%20Settings\ghernandezm\Local%20Settings\Temporary%20Internet%20Files\OLKCB\CSS_ROI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FW\WPF\Project\3%20YEAR%20Plan\UNISYS\QUOTE\RFI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NE_GEST\9.%20Controlling%20Team\9.9.%20Team%20Personal\Chen\SWDA%2006\Chart%20View_NEW%20LAYOUT-06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ABT\projecting\ELE\Project\Equipment%20list%20for%20ELP&amp;H%20references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ICI%20NEW\INTERCOMPANY%20INV%20RECO%20JUNE07%20FOR%20HFM%20REVISED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FR\MFR%202006\MFR%20June%202006\DSO%20IIOD%20Total%20(CCO%20consolidation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HARE\97LCM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\&#21697;&#35388;&#20849;&#26377;\Quartze\&#12477;&#12540;&#12473;\&#26908;&#32034;\&#12487;&#12472;&#12479;&#12523;\Prog\&#26908;&#32034;\&#26908;&#32034;953-1c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Adrine.Ong\My%20Documents\Le%20Travail\Country%20Business%20Development\NEA\Digital\HMI%20Activity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Documents%20and%20Settings\MRguig\My%20Documents\Ineumconsulting\Casino\Conso_webforms_12%2011%202003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_gover\d\2007\JULY%2007\Stk\PPS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documents%20and%20Settings\ebaz447\Desktop\&#20849;&#26377;\windows\TEMP\30&#26399;&#25613;&#30410;&#25913;&#21892;&#31574;611-716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830283\LOCALS~1\Temp\Rar$DI00.375\Plant%20summary%20v1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y%20Documents\batam\SEMB2000\P&amp;Lmay2000-2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COSTES\Ctas_03\06\informe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SAPS003\SEA_Disk\BUDGET%202000\Schneider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DF\ServiceFinancier\Audit\Consolidations\2000\06%2000\Marges%20en%20stocks\MES0600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Documents%20and%20Settings\collins\My%20Documents\BillCollins\Digital\Financial%20Reporting\2004%20information\2004.10\Business%20Review%20-%20Forecast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ATEXCE\2001%20CUENTA\FA052001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901626\LOCALS~1\Temp\notes1B04D0\APOD%20IND%20Pre-Fcst%20(for%20BR)_Mar07%20v6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SESA25~1\LOCALS~1\Temp\7zO34.tmp\SUBMIT\FIN\COST08\AOCCHART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58.254\Department\APOD%20REPORTING\RCG\Monthly%20financial%20report\DSO\DSO_2006%20checking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905104\LOCALS~1\Temp\notesE8DBF2\DOCUME~1\SLEBOR~1\LOCALS~1\Temp\DOCUME~1\SLEBOR~1\LOCALS~1\Temp\compte%20d'ex%20DYSON%2005%2008%2005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y%20Documents\batam\SEMB2000\P&amp;Lmar2000-2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chy_li\LOCALS~1\Temp\NW_profit_study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-server\&#20849;&#26377;&#12501;&#12457;&#12523;&#12480;\Quartze\&#12477;&#12540;&#12473;\&#26908;&#32034;\&#12487;&#12472;&#12479;&#12523;\Prog\&#26908;&#32034;\&#26908;&#32034;953-1c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ERACAS\CONFIG~1\Temp\notes8B0720\Pedidos%20Ventas.xls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NE_GEST\9.%20Controlling%20Team\9.9.%20Team%20Personal\Chen\SWDA%2006\Swda%20Database-06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ALIDAD\Indicadores\Tasa%20de%20servicio%20reportes\TASA%20DE%20SERVICIO%20M9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ebaw307\LOCALS~1\Temp\D.Lotus.Notes.Data\S05-1_C2%20moving%20contact_22Jul2005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FW\WPF\Project\3%20YEAR%20Plan\WINDOWS\Temporary%20Internet%20Files\OLK104\Calender%202004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F-R\98GREYBK\grey1298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5\&#24464;&#20891;\WW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TEMP\Documents%20and%20Settings\PBorges\Local%20Settings\Temporary%20Internet%20Files\OLK13\BC%20Santana%201.x%20PL%20May%2028%20-%20to%20PM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FR\MFR%202006\MFR%20September%202006\DSO%20IIOD%20Total%20by%20countryMarch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imal\Industry\Hyderabad%20plant\Project%20Masterpact\Profitability%20file\Copy%20of%20ACB%20business%20plan190704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liufalin\LOCALS~1\Temp\&#24464;&#20891;\&#21333;&#37325;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GERMAIN\Local%20Settings\Temporary%20Internet%20Files\OLK5C\Schneider%20Conlog%20Lead%20Free%20Quote%20Rev00%20-%20Interim%20model%203.2.2.xls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CBN\Zone\RCG\RCG%20Zone%2003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chneider\WPF\ABT\PILOTI\ME\XCE%20Project%20card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Documents%20and%20Settings\MRguig\My%20Documents\Ineumconsulting\Casino\Conso_webforms_IAS39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es%20Documents\Divers\micro\MODELES\Planning\Planning%201.xls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roject\CIS\dimmer%20unit\CIS_dimmer_lin\Cost\dimmer%202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liufalin\LOCALS~1\Temp\&#30427;&#26635;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5\&#24464;&#20891;\&#21333;&#37325;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iren\sej\=SE=TSB\6%20Reporting\Carat\RCG\2003\Dec_2003\TSEL_RCG_Dec_03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acturacion1\JVega\WINNT\Profiles\hzamora\Escritorio\Documentos\422-500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FILES\A_PERCO\ALLCO\REPRTNG\REQ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TB-OCTOBRE.xls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My%20Documents\My%20Working%20File%20Copy-2007\BR%20&amp;%20BSC\Sep07\Corporate%20Template\Template%20BR%20(DCG)%20sept%202007.xls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Common\PP(Product%20Purchasing)\PR\PR%20Tracking%20File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sdnc091\Gerencia\TABLERO%20DE%20COMANDO\Mis%20documentos\EDP%2004-2001.xls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SESA65~1.GES\LOCALS~1\Temp\7zO4A.tmp\Template%20090500%20RFQ%20form%20with%20BOM%20and%20checklist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microsoft.com/office/2006/relationships/xlExternalLinkPath/xlStartup" Target="Reporting%20Tool/StandAlone/2005/2005%20StandAlone-SEK.xls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LECTION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5\CY99&#30424;&#34920;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LiHui\LOCALS~1\Temp\notesBB7DB7\sharing\Report\Weekly%20report\Manufactruing%20Quality%20Meeting\Manufacture%20weekly%20report%200401.xls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aphique%20dans%20N&#233;gos%20Mars2005.ppt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HP_P200\USER\SUBMIT\FWJ\FCST_OCT.XLS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xsrv06\QMDATA\windows\TEMP\HPU%20Summary%20-%20Soma%208-21-02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TEMP\Human%20Resource.XLS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sdnc091\Gerencia\Acceso%20Direccion\Tablero%20de%20comando\Ventas\ADN-Region%20EDP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ersonal\Transfers\Clipsal%20projects\001%20Mech%20dimmer\01%20Planning\Project%20cards\Project%20Card%20-%20CIS_PDL%20Dimmers%2030_09_2005.xls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MV\CAT%20report\new%20CAT05%20(MV).xls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roject\CIS\dimmer%20unit\CIS_dimmer_lin\Cost\dimmer_cost.xls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xsrv06\QMDATA\DOCUME~1\jparker\LOCALS~1\Temp\Tyco%20PCBA%20RFP_Quote_Structure_111403.xls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EXCEL\Nortel\TDMA%20CDMA\Monthly%20Pricing\Nov%20Pricing\PEN_100100.xls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pt_FIN\Controlling\Cat\Cat2004\May04\new%20CAT04%20(A&amp;D).xls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Ariel\Industrial%20Report\2006\Greater%20China%20Report\China%20Productivity%20Report%20by%20Entity%20BR%20Comparision.xls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nts%20and%20Settings\XuHaiGang-902218\Desktop\Action%20Base%20China%20V2_Y20051022.xls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ebar283\LOCALS~1\Temp\Projetlist%20PILT2004%20suivi.xls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iren\sej\=SE=TSB\6%20Reporting\Management%20costing\Dept_Basis\Y2004\Target%202004\TSEL_target_Y2004(Jun%2016%202004).xls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JOHN\QUO\HPSF\SAMPLER\samp02.xls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windows\TEMP\ROI.XLS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dxsrv06\QMDATA\Documents%20and%20Settings\ghernandezm\Local%20Settings\Temporary%20Internet%20Files\OLKCB\ROI.XLS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Documents%20and%20Settings\collins\&#12487;&#12473;&#12463;&#12488;&#12483;&#12503;\RCM%20Zone%2003\RCM%20Zone%2003.xls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shankark\LOCALS~1\Temp\d.Lotus.Notes.Data\Industrialisation\C60%20Project\2005\C60%20cost%20redn%20proposal%20july04.xls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58.254\Department\DFT_CFC\Wei\Fichiers%20DSO%20T4%202006%20-%20Evaluation%20Fin%202006\Fichier%20calcul\DSO_IIOD_Total_1206_VD.xls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ADMINI~1\LOCALS~1\Temp\notesFFF692\DVC-PBH-280307-VER-1.xls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roject\CIS\dimmer%20unit\CIS_dimmer_lin\Cost\dimmer_cost%20analysis.xls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ebat332\My%20Documents\ABT\extraction%20BT003\JAN-05\BT003%20ann&#233;e%202004%20d&#233;finitif.xls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ADMINI~1\LOCALS~1\Temp\c.lotus.notes.data\back_D\SEMIS\REVJULY06.xls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piren\sej\=SE=TSB\CARAT\RCG\2003\Jun.2003\Book2.xls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-file01\CORPORATE\Citect%20transition\Finance%20function\Hyperion%20Reporting\Actual%20&amp;%20Actual%20Prior\Actual\08%20August%202006\Maquettes\ACTUAL\Documents%20and%20Settings\MRguig\My%20Documents\Ineumconsulting\Casino\Conso_webforms_IAS39.xls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NPI\ABT\NPI\Argos%20project\Argos%20project%20card.xls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P.Perrineau\PMT\mod&#232;leavril.xls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uredrakumar\c%20drive\Documents%20and%20Settings\Administrator\Desktop\kere\MATRIXBOM\DVC-ACTIVA-170106-Ver-1.xls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ADMINI~1\LOCALS~1\Temp\notesFFF692\DVC-MCCB-060207-Ver-1.xls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2005\Costing\AOC%20implemetation\200510\new%20CAT05%20(Drive)_value%20only.xls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OS97.XLS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kumar\Costing\Cost%20Eveluation_April_June07.xls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Tjendra\tariff2002\tariff%202002\pst145wf21nov01.xls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BT\projecting\Argos\C2\Method\C2%20WPF%20BOM%202007-05--8.xls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Schneider\WPF\ABT\PILOTI\Project%20Card\ME\Opening%20sheet%20for%20XCE%20(industrial%20deployment)%20-%20final.xls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FW\WPF\Project\3%20YEAR%20Plan\BUREAU\Schneider\Prix%202005\Q2\Q1\SPB%20Q3%202004%20Timisoara.xls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ebal758\LOCALS~1\Temp\7zO4E4.tmp\TDYN-ExtractionTotal07-09-18REFwithHFM.xls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WARWIC~1\LOCALS~1\Temp\notesFFF692\Quotation%20&amp;%20Analysis\PDL\PDL%20Dimmer%20quotation%2026-Sept-2005.xls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project\CIS\Wireless%20C-bus\Wireless_lin\Cost\KeyUnit_cost%20v1.xls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POD%20REPORTING\APOD%20Management%20report\2006\2006.03\BR_200503%20(Loretta).xls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ABT\Micrologic\material\BOM%2010-8.xls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34.8\03_Finance\DOCUME~1\ADMINI~1\LOCALS~1\Temp\C.Lotus.Notes.Data\France%20&amp;%20Spain%20Visit%20Jan-05\share%20folder\pradeep\C60Workings\Industrialisation\Stephane\C60%20cost%20redn%20proposal%20july04.xls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CBN\Digital\Integration%20Plan\BP%20Follow-up\Follow-up%20Organisation\Data%20+%20Valo%20DD%20Final%20V5.xls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~1\MEUGE\LOCALS~1\Temp\Cost%20comparison%20sheet%20V3.xls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77.58.254\Department\DOCUME~1\SELINA~1.AP-\LOCALS~1\Temp\notesC9812B\RTE%20followup%20June%202006%20OD.xls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-keiri-svr\Accounting\FinancialCTRL\Forecast\forecast%20200609\Forecast\forecast%20200606\data\&#65436;&#65392;&#65400;scm\&#12469;&#12531;&#12489;&#12522;&#65295;&#12491;&#12481;&#12518;\&#65296;&#65304;&#65297;&#65299;&#25552;&#20986;&#29992;\&#65296;&#65303;&#65296;&#65300;&#12469;&#12531;&#12489;&#12522;&#27583;&#29289;&#27969;&#20998;&#26512;&#36039;&#26009;.xls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5%20&#24037;&#20316;&#39033;&#30446;\2015%20KE%20data\update\&#26234;&#33021;&#26597;&#25214;&#34920;&#26684;1%20&#26597;&#35810;.xlsx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update/&#26234;&#33021;&#26597;&#25214;&#34920;&#26684;1%20ch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96PROP"/>
      <sheetName val="95PROP"/>
      <sheetName val="95PREM"/>
      <sheetName val="PROPERTY"/>
      <sheetName val="RevisionRound1"/>
      <sheetName val="Q2 YTD OG Sales Analysis"/>
      <sheetName val="Q2 OG Trade Receivables"/>
      <sheetName val="Points"/>
      <sheetName val="Graph 1"/>
    </sheetNames>
    <sheetDataSet>
      <sheetData sheetId="0" refreshError="1">
        <row r="618">
          <cell r="S618" t="str">
            <v>Deductible $10,000</v>
          </cell>
          <cell r="AG618" t="str">
            <v xml:space="preserve">               Deductible 5%</v>
          </cell>
        </row>
        <row r="619">
          <cell r="S619" t="str">
            <v xml:space="preserve"> </v>
          </cell>
          <cell r="AC619" t="str">
            <v xml:space="preserve">            All Other Perils</v>
          </cell>
          <cell r="AG619" t="str">
            <v xml:space="preserve">                (See Note 2)</v>
          </cell>
        </row>
        <row r="620">
          <cell r="R620" t="str">
            <v>CTE4</v>
          </cell>
          <cell r="S620" t="str">
            <v>Attleboro, MA</v>
          </cell>
          <cell r="T620" t="str">
            <v>BI</v>
          </cell>
          <cell r="U620">
            <v>17000</v>
          </cell>
          <cell r="V620" t="str">
            <v xml:space="preserve">      Fire &amp; Extended Coverage</v>
          </cell>
          <cell r="X620">
            <v>3587</v>
          </cell>
          <cell r="Z620" t="str">
            <v xml:space="preserve">        Boiler &amp; Machinery</v>
          </cell>
          <cell r="AA620">
            <v>1632</v>
          </cell>
          <cell r="AC620" t="str">
            <v xml:space="preserve">            Including Flood</v>
          </cell>
          <cell r="AD620">
            <v>561</v>
          </cell>
          <cell r="AF620" t="str">
            <v xml:space="preserve">         EQ 1st $10 Million</v>
          </cell>
          <cell r="AI620" t="str">
            <v xml:space="preserve">         EQ 2nd $10 Million</v>
          </cell>
        </row>
        <row r="621">
          <cell r="S621" t="str">
            <v>20 &amp; 24 Forest Street</v>
          </cell>
          <cell r="T621" t="str">
            <v>Type</v>
          </cell>
          <cell r="U621" t="str">
            <v>1994</v>
          </cell>
          <cell r="V621" t="str">
            <v>Rate/</v>
          </cell>
          <cell r="Y621" t="str">
            <v>Total</v>
          </cell>
          <cell r="Z621" t="str">
            <v>Rate/</v>
          </cell>
          <cell r="AB621" t="str">
            <v>Total</v>
          </cell>
          <cell r="AC621" t="str">
            <v>Rate/</v>
          </cell>
          <cell r="AE621" t="str">
            <v>Total</v>
          </cell>
          <cell r="AF621" t="str">
            <v>Rate/</v>
          </cell>
          <cell r="AH621" t="str">
            <v>Total</v>
          </cell>
          <cell r="AI621" t="str">
            <v>Rate/</v>
          </cell>
          <cell r="AK621" t="str">
            <v>Total</v>
          </cell>
          <cell r="AL621" t="str">
            <v>Grand</v>
          </cell>
          <cell r="AN621" t="str">
            <v>Exclusions/Recommendations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000000"/>
      <sheetName val="Summary"/>
      <sheetName val="RevisionRound1"/>
      <sheetName val="Total HR"/>
      <sheetName val="Executive"/>
      <sheetName val="Aviation"/>
      <sheetName val="Benefits"/>
      <sheetName val="Compensation"/>
      <sheetName val="Quality"/>
      <sheetName val="Sales&amp;Marketing"/>
      <sheetName val="Growth"/>
      <sheetName val="EMPREL-OtherFncs"/>
      <sheetName val="EMPREL-Int'l HR"/>
      <sheetName val="EMPREL-Executive"/>
      <sheetName val="EMPREL-Plants"/>
      <sheetName val="Training"/>
      <sheetName val="HOURLY"/>
      <sheetName val="Base Costs"/>
    </sheetNames>
    <sheetDataSet>
      <sheetData sheetId="0" refreshError="1"/>
      <sheetData sheetId="1" refreshError="1"/>
      <sheetData sheetId="2" refreshError="1">
        <row r="1">
          <cell r="A1" t="str">
            <v>1999 Business Plan</v>
          </cell>
        </row>
        <row r="2">
          <cell r="A2" t="str">
            <v>Human Resources Function</v>
          </cell>
        </row>
        <row r="4">
          <cell r="B4" t="str">
            <v>Original</v>
          </cell>
          <cell r="E4" t="str">
            <v>Revised</v>
          </cell>
        </row>
        <row r="5">
          <cell r="B5" t="str">
            <v>1999</v>
          </cell>
          <cell r="C5" t="str">
            <v>Phase I</v>
          </cell>
          <cell r="D5" t="str">
            <v>Phase II</v>
          </cell>
          <cell r="E5" t="str">
            <v>1999</v>
          </cell>
        </row>
        <row r="6">
          <cell r="B6" t="str">
            <v>Plan</v>
          </cell>
          <cell r="C6" t="str">
            <v>Adjustment</v>
          </cell>
          <cell r="D6" t="str">
            <v>Adjustment</v>
          </cell>
          <cell r="E6" t="str">
            <v>Plan</v>
          </cell>
          <cell r="F6" t="str">
            <v>Revisions Made</v>
          </cell>
        </row>
        <row r="8">
          <cell r="A8" t="str">
            <v>Executive</v>
          </cell>
          <cell r="B8">
            <v>1085</v>
          </cell>
          <cell r="E8">
            <v>1085</v>
          </cell>
        </row>
        <row r="10">
          <cell r="A10" t="str">
            <v>Benefits</v>
          </cell>
          <cell r="B10">
            <v>1347.26</v>
          </cell>
          <cell r="C10">
            <v>55</v>
          </cell>
          <cell r="D10">
            <v>100</v>
          </cell>
          <cell r="E10">
            <v>1192.26</v>
          </cell>
          <cell r="F10" t="str">
            <v>Phase I: Benefits college 15; training 5; HMO consulting 15; benefit comparison 20.</v>
          </cell>
        </row>
        <row r="11">
          <cell r="F11" t="str">
            <v>Phase II: charge pension admin to trust</v>
          </cell>
        </row>
        <row r="13">
          <cell r="A13" t="str">
            <v>Compensation</v>
          </cell>
          <cell r="B13">
            <v>2542.7449999999999</v>
          </cell>
          <cell r="C13">
            <v>277</v>
          </cell>
          <cell r="D13">
            <v>350</v>
          </cell>
          <cell r="E13">
            <v>1915.7449999999999</v>
          </cell>
          <cell r="F13" t="str">
            <v>Phase I: Consulting, sales incentive study; communications; travel; training.</v>
          </cell>
        </row>
        <row r="14">
          <cell r="F14" t="str">
            <v>Phase II:PatSimmons; Developer; Comp Analyst; Manager</v>
          </cell>
        </row>
        <row r="16">
          <cell r="A16" t="str">
            <v>Sales &amp; Marketing</v>
          </cell>
          <cell r="B16">
            <v>1436</v>
          </cell>
          <cell r="C16">
            <v>15</v>
          </cell>
          <cell r="E16">
            <v>1421</v>
          </cell>
          <cell r="F16" t="str">
            <v>Travel</v>
          </cell>
        </row>
        <row r="18">
          <cell r="A18" t="str">
            <v>Growth &amp; Acquisitions</v>
          </cell>
          <cell r="B18">
            <v>388</v>
          </cell>
          <cell r="C18">
            <v>6.8</v>
          </cell>
          <cell r="D18">
            <v>55</v>
          </cell>
          <cell r="E18">
            <v>326.2</v>
          </cell>
          <cell r="F18" t="str">
            <v>Reduce 1 HR rep (Phase II)</v>
          </cell>
        </row>
        <row r="20">
          <cell r="A20" t="str">
            <v>Training</v>
          </cell>
          <cell r="B20">
            <v>8061</v>
          </cell>
          <cell r="C20">
            <v>488</v>
          </cell>
          <cell r="D20">
            <v>2350</v>
          </cell>
          <cell r="E20">
            <v>5223</v>
          </cell>
          <cell r="F20" t="str">
            <v>Phase I: Relatively Painless 488; Phase II:  ODE Director or sales training</v>
          </cell>
        </row>
        <row r="21">
          <cell r="F21" t="str">
            <v>manager; CTO Dev; Performance consulting, PMDP, Memberships,</v>
          </cell>
        </row>
        <row r="22">
          <cell r="F22" t="str">
            <v>operations training manager Cut 52 of 145 product technical classes.</v>
          </cell>
        </row>
        <row r="24">
          <cell r="A24" t="str">
            <v>Employee Relations</v>
          </cell>
          <cell r="B24">
            <v>15006.153999999999</v>
          </cell>
          <cell r="C24">
            <v>322</v>
          </cell>
          <cell r="D24">
            <v>77</v>
          </cell>
          <cell r="E24">
            <v>14607.153999999999</v>
          </cell>
          <cell r="F24" t="str">
            <v>Phase I:   Further PDP reduction 103; building 131; mailroom 5; travel 10;</v>
          </cell>
        </row>
        <row r="25">
          <cell r="F25" t="str">
            <v>misc building projects 44; international HR 20.   Phase II:  Corporate HR &amp;</v>
          </cell>
        </row>
        <row r="26">
          <cell r="F26" t="str">
            <v>plants(green)</v>
          </cell>
        </row>
        <row r="28">
          <cell r="A28" t="str">
            <v>Traditional HR</v>
          </cell>
          <cell r="B28">
            <v>29866.159</v>
          </cell>
          <cell r="C28">
            <v>1163.8</v>
          </cell>
          <cell r="D28">
            <v>2932</v>
          </cell>
          <cell r="E28">
            <v>25770.359</v>
          </cell>
        </row>
        <row r="31">
          <cell r="A31" t="str">
            <v>Aviation</v>
          </cell>
          <cell r="B31">
            <v>4908</v>
          </cell>
          <cell r="E31">
            <v>4908</v>
          </cell>
        </row>
        <row r="33">
          <cell r="A33" t="str">
            <v>Relocation</v>
          </cell>
          <cell r="B33">
            <v>364</v>
          </cell>
          <cell r="E33">
            <v>364</v>
          </cell>
          <cell r="F33" t="str">
            <v>Outsource relocation/fleet $237.  Need to investigate outsource costs.</v>
          </cell>
        </row>
        <row r="35">
          <cell r="A35" t="str">
            <v>Quality</v>
          </cell>
          <cell r="B35">
            <v>1400</v>
          </cell>
          <cell r="C35">
            <v>212</v>
          </cell>
          <cell r="E35">
            <v>1188</v>
          </cell>
          <cell r="F35" t="str">
            <v>Eliminate head; base cost reductions in general; redeployment</v>
          </cell>
        </row>
        <row r="37">
          <cell r="A37" t="str">
            <v>Non-Traditional HR</v>
          </cell>
          <cell r="B37">
            <v>6672</v>
          </cell>
          <cell r="C37">
            <v>212</v>
          </cell>
          <cell r="D37">
            <v>0</v>
          </cell>
          <cell r="E37">
            <v>6460</v>
          </cell>
        </row>
        <row r="40">
          <cell r="A40" t="str">
            <v>Total HR Function</v>
          </cell>
          <cell r="B40">
            <v>36538.159</v>
          </cell>
          <cell r="C40">
            <v>1375.8</v>
          </cell>
          <cell r="D40">
            <v>2932</v>
          </cell>
          <cell r="E40">
            <v>32230.359</v>
          </cell>
        </row>
        <row r="42">
          <cell r="A42" t="str">
            <v>1999 Plan Target</v>
          </cell>
          <cell r="E42">
            <v>32700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Help"/>
      <sheetName val="Project card"/>
      <sheetName val="Prod list"/>
      <sheetName val="Quotation 08 Dec"/>
      <sheetName val="Check List (2)"/>
      <sheetName val="CostBOM FG Dim"/>
      <sheetName val="BOM Mech dimmer"/>
      <sheetName val="Volume Summary"/>
      <sheetName val="Part procurement"/>
      <sheetName val="Layout"/>
      <sheetName val="Currency"/>
      <sheetName val="Schedule"/>
      <sheetName val="Resources"/>
      <sheetName val="Localization"/>
      <sheetName val="Données pour graphique"/>
      <sheetName val="O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Lookup"/>
      <sheetName val="Summary"/>
      <sheetName val="Individule Follow up for Ind. "/>
      <sheetName val="SSQM Mgr&amp;Engr-min GB certified"/>
      <sheetName val="Methods Mgr&amp;Engr-min GB certif"/>
      <sheetName val="Com. qual Eng-min GB certified"/>
      <sheetName val="IDR-RDC QM&amp;Engr-min GB certifie"/>
      <sheetName val="Country QM-min GB certified"/>
      <sheetName val="Plant Qlty Mgr-min BB certified"/>
      <sheetName val="CCC Mgr-min GB trained"/>
      <sheetName val="IDCRDC Mgr-mn GB trained"/>
      <sheetName val="Plant Mgr-min GB trained"/>
      <sheetName val="BB Position Resources"/>
      <sheetName val="Leadership-all N-1 to dept mgrs"/>
      <sheetName val="6S Awareness trg-all employees"/>
      <sheetName val="Sheet3"/>
      <sheetName val="95PREM"/>
      <sheetName val="2005_JAN"/>
      <sheetName val="RéaliséGlobal"/>
      <sheetName val="work center summary"/>
      <sheetName val="Test Labor"/>
      <sheetName val="Chorus_May2006"/>
      <sheetName val="Source"/>
      <sheetName val="DEC 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stock provision"/>
      <sheetName val="provision movement"/>
      <sheetName val="bom"/>
      <sheetName val="forex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Summary by Ref"/>
      <sheetName val="order intake summary"/>
      <sheetName val="Tesys order list"/>
      <sheetName val="Demokit order list"/>
      <sheetName val="Accessary order list"/>
      <sheetName val="FCST vs Order"/>
      <sheetName val="PCBa forecast"/>
      <sheetName val="RM income list"/>
      <sheetName val="estimate"/>
      <sheetName val="XBTGK533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Mfg cost reduction  cost b up"/>
      <sheetName val="16A CVD matl-DTA"/>
      <sheetName val="16A parts cost &amp; investment DTA"/>
      <sheetName val="Bimetal Support"/>
      <sheetName val="Shielding"/>
      <sheetName val="Fixed Contact"/>
      <sheetName val="shunt lr"/>
      <sheetName val="Arc plate"/>
      <sheetName val="Bimetal Support HR nsk"/>
      <sheetName val="input connector lr PS"/>
      <sheetName val="shunt lr PS"/>
      <sheetName val="shunt HR"/>
      <sheetName val="input connector lr"/>
      <sheetName val="output connector hr"/>
      <sheetName val="input connector HR"/>
      <sheetName val="Moving Contact LR"/>
      <sheetName val="Interplex Output connector"/>
      <sheetName val="Interplex Moving Contact LR"/>
      <sheetName val="moving contact"/>
      <sheetName val="Saving (2)"/>
      <sheetName val="Saving"/>
      <sheetName val="Sheet1 (2)"/>
      <sheetName val="6Amps"/>
      <sheetName val="63A Feb-Cost"/>
      <sheetName val="Master sheet Drawing (2)"/>
      <sheetName val="C60 parts list"/>
      <sheetName val="Frame"/>
      <sheetName val="moving core"/>
      <sheetName val="fixed core"/>
      <sheetName val="Arc pl hldr costing"/>
      <sheetName val="Arc Chute assy cost"/>
      <sheetName val="Sheet1"/>
      <sheetName val="Tesys order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assumptions"/>
      <sheetName val="key figures&amp;risks"/>
      <sheetName val="current"/>
      <sheetName val="sensitivity"/>
      <sheetName val="P&amp;L(7)"/>
      <sheetName val="Asset Inv. Dep(7)"/>
      <sheetName val="Tec. Support. Amot(7)"/>
      <sheetName val="DVC&amp;investment(7)"/>
      <sheetName val="DOC3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PR962"/>
      <sheetName val="PR964"/>
      <sheetName val="PR965"/>
      <sheetName val="IPL-156"/>
      <sheetName val="STM-1019"/>
      <sheetName val="IPL"/>
      <sheetName val="STM"/>
      <sheetName val="CY"/>
      <sheetName val="Sheet1"/>
      <sheetName val="重点品"/>
      <sheetName val="半"/>
      <sheetName val="全"/>
      <sheetName val="双"/>
      <sheetName val="MPM"/>
      <sheetName val="PPM "/>
      <sheetName val="CPM"/>
      <sheetName val="PM (2)"/>
      <sheetName val="Sheet3"/>
      <sheetName val="Sheet4"/>
      <sheetName val="冲压金型损坏 "/>
      <sheetName val="成形金型损坏"/>
      <sheetName val="tuih"/>
      <sheetName val="Sheet2"/>
      <sheetName val="Sheet16"/>
      <sheetName val="Module1"/>
      <sheetName val="1116-1"/>
      <sheetName val="1046"/>
      <sheetName val="1145"/>
      <sheetName val="1102"/>
      <sheetName val="PR961"/>
      <sheetName val="PR963"/>
      <sheetName val="Legend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設備投資20万円以上"/>
      <sheetName val="data 3A|6A"/>
      <sheetName val="Sales"/>
      <sheetName val="DOC34"/>
      <sheetName val="bom"/>
      <sheetName val="DEC 2003"/>
      <sheetName val="RevisionRound1"/>
      <sheetName val="wkg cflo"/>
      <sheetName val="Q2 YTD OG Sales Analysis"/>
      <sheetName val="Q2 OG Trade Receivables"/>
      <sheetName val="détail 29-6"/>
      <sheetName val="synthèse"/>
      <sheetName val="DSO June 2007 23 07 07"/>
      <sheetName val="01 T"/>
      <sheetName val="03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SIG_LANGUE"/>
      <sheetName val="SIG_VOCABLE"/>
      <sheetName val="stockage FC"/>
      <sheetName val="BALB"/>
      <sheetName val="BALR"/>
      <sheetName val="BALA"/>
      <sheetName val="OUVE"/>
      <sheetName val="OUVC"/>
      <sheetName val="CTRL"/>
      <sheetName val="LG31B"/>
      <sheetName val="LGINFOS"/>
      <sheetName val="LR1"/>
      <sheetName val="LR1bis"/>
      <sheetName val="LR2"/>
      <sheetName val="LR2 Bis"/>
      <sheetName val="LR3"/>
      <sheetName val="LR4"/>
      <sheetName val="LR4Bis"/>
      <sheetName val="LR5"/>
      <sheetName val="LR5BIS-IFRS"/>
      <sheetName val="LR6"/>
      <sheetName val="LR6BIS-FTA"/>
      <sheetName val="LR6BIS-IFRS"/>
      <sheetName val="LR7"/>
      <sheetName val="LR7 BisOld"/>
      <sheetName val="LR7 Bis1"/>
      <sheetName val="LR7 Bis2"/>
      <sheetName val="LR7 ter"/>
      <sheetName val="LR8"/>
      <sheetName val="LR9"/>
      <sheetName val="LR10"/>
      <sheetName val="LR10 (2)"/>
      <sheetName val="LR10 (3)"/>
      <sheetName val="LR10BIS-IFRS"/>
      <sheetName val="LR11"/>
      <sheetName val="LR11BIS-FTA"/>
      <sheetName val="LR11BIS-IFRS"/>
      <sheetName val="LRXX-IFRS"/>
      <sheetName val="LR12new"/>
      <sheetName val="LR12"/>
      <sheetName val="LR13"/>
      <sheetName val="LR14"/>
      <sheetName val="LR15"/>
      <sheetName val="LR16"/>
      <sheetName val="LR16BIS-IFRS"/>
      <sheetName val="LR17"/>
      <sheetName val="LGRKP"/>
      <sheetName val="DONNEES"/>
      <sheetName val="ENTITY"/>
      <sheetName val="ENTITYb"/>
      <sheetName val="Comentarios"/>
      <sheetName val="Contents"/>
      <sheetName val="Currencies"/>
      <sheetName val="jan"/>
      <sheetName val="Retrieve 2008 per country"/>
      <sheetName val="Retrieve Activity by Month"/>
      <sheetName val="Retrieve Activity YTD ROY YE"/>
      <sheetName val="WELCOME"/>
      <sheetName val="Control Panel"/>
      <sheetName val="Purchases FWJ"/>
      <sheetName val="SWDA"/>
      <sheetName val="ニッセイ入力画面"/>
      <sheetName val="Mth-Vana"/>
      <sheetName val="Page"/>
      <sheetName val="Orders 2009"/>
      <sheetName val="Sales 2009"/>
      <sheetName val="SELECTION"/>
      <sheetName val="INDIC-04"/>
      <sheetName val="INDIC-08"/>
      <sheetName val="DRIVERS"/>
      <sheetName val="Input-Act"/>
      <sheetName val="listes_déroulan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calcsheet"/>
      <sheetName val="Ref"/>
      <sheetName val="OG Trade Receivables Values"/>
      <sheetName val="YTD OG Sales Analysis"/>
      <sheetName val="Criterions"/>
      <sheetName val="1-Economic Synthesis"/>
      <sheetName val="Initia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global_indust_cost"/>
      <sheetName val="tool_cost_jabil"/>
      <sheetName val="SCT"/>
      <sheetName val="UBCM with CCM transfert"/>
      <sheetName val="µBCM"/>
      <sheetName val="IR"/>
      <sheetName val="Material"/>
      <sheetName val="Lege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Possible Scenario"/>
      <sheetName val="Material"/>
      <sheetName val="Forecast"/>
    </sheetNames>
    <sheetDataSet>
      <sheetData sheetId="0">
        <row r="23">
          <cell r="N23">
            <v>192.95215908910811</v>
          </cell>
        </row>
      </sheetData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summ"/>
      <sheetName val="BOM180506"/>
      <sheetName val="BOM"/>
      <sheetName val="price"/>
      <sheetName val="Qty&amp;Dep"/>
      <sheetName val="Costelement"/>
      <sheetName val="Valueaddition"/>
      <sheetName val="Sum"/>
      <sheetName val="Sum-07"/>
      <sheetName val="Summary"/>
      <sheetName val="forex"/>
      <sheetName val="Sheet1"/>
    </sheetNames>
    <sheetDataSet>
      <sheetData sheetId="0">
        <row r="5">
          <cell r="A5" t="str">
            <v>AV10901B5</v>
          </cell>
        </row>
      </sheetData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Summ"/>
      <sheetName val="BOM-A-260905"/>
      <sheetName val="BOM-2"/>
      <sheetName val="BOM-SPR"/>
      <sheetName val="Price"/>
      <sheetName val="bom"/>
      <sheetName val="Variance"/>
      <sheetName val="Sum"/>
      <sheetName val="Sum-07"/>
      <sheetName val="Sheet1"/>
      <sheetName val="Summary"/>
      <sheetName val="cost1"/>
      <sheetName val="detail"/>
      <sheetName val="PointNo.5"/>
      <sheetName val="Scrap Jan08"/>
      <sheetName val="PointNo_5"/>
      <sheetName val="Scrap_Jan08"/>
      <sheetName val="Link"/>
    </sheetNames>
    <sheetDataSet>
      <sheetData sheetId="0" refreshError="1"/>
      <sheetData sheetId="1" refreshError="1">
        <row r="5">
          <cell r="B5" t="str">
            <v>AVC22B5</v>
          </cell>
          <cell r="C5" t="str">
            <v>Auxiliary Contactor 24 V</v>
          </cell>
          <cell r="D5">
            <v>534.9</v>
          </cell>
        </row>
        <row r="6">
          <cell r="B6" t="str">
            <v>AVC22E5</v>
          </cell>
          <cell r="C6" t="str">
            <v>Auxiliary Contactor 48 V</v>
          </cell>
          <cell r="D6">
            <v>534.9</v>
          </cell>
        </row>
        <row r="7">
          <cell r="B7" t="str">
            <v>AVC22F5</v>
          </cell>
          <cell r="C7" t="str">
            <v>Auxiliary Contactor 110 V</v>
          </cell>
          <cell r="D7">
            <v>534.9</v>
          </cell>
        </row>
        <row r="8">
          <cell r="B8" t="str">
            <v>AVC22M5</v>
          </cell>
          <cell r="C8" t="str">
            <v>Auxiliary Contactor 220 V</v>
          </cell>
          <cell r="D8">
            <v>534.9</v>
          </cell>
        </row>
        <row r="9">
          <cell r="B9" t="str">
            <v>AVC22N5</v>
          </cell>
          <cell r="C9" t="str">
            <v>Auxiliary Contactor 415 V</v>
          </cell>
          <cell r="D9">
            <v>534.9</v>
          </cell>
        </row>
        <row r="10">
          <cell r="B10" t="str">
            <v>AVC22U5</v>
          </cell>
          <cell r="C10" t="str">
            <v>Auxiliary Contactor 240 V</v>
          </cell>
          <cell r="D10">
            <v>534.9</v>
          </cell>
        </row>
        <row r="11">
          <cell r="B11" t="str">
            <v>AVC31B5</v>
          </cell>
          <cell r="C11" t="str">
            <v>Auxiliary Contactor 24 V</v>
          </cell>
          <cell r="D11">
            <v>534.9</v>
          </cell>
        </row>
        <row r="12">
          <cell r="B12" t="str">
            <v>AVC31E5</v>
          </cell>
          <cell r="C12" t="str">
            <v>Auxiliary Contactor 48 V</v>
          </cell>
          <cell r="D12">
            <v>534.9</v>
          </cell>
        </row>
        <row r="13">
          <cell r="B13" t="str">
            <v>AVC31F5</v>
          </cell>
          <cell r="C13" t="str">
            <v>Auxiliary Contactor 110 V</v>
          </cell>
          <cell r="D13">
            <v>534.9</v>
          </cell>
        </row>
        <row r="14">
          <cell r="B14" t="str">
            <v>AVC31M5</v>
          </cell>
          <cell r="C14" t="str">
            <v>Auxiliary Contactor 220 V</v>
          </cell>
          <cell r="D14">
            <v>534.9</v>
          </cell>
        </row>
        <row r="15">
          <cell r="B15" t="str">
            <v>AVC31N5</v>
          </cell>
          <cell r="C15" t="str">
            <v>Auxiliary Contactor 415 V</v>
          </cell>
          <cell r="D15">
            <v>534.9</v>
          </cell>
        </row>
        <row r="16">
          <cell r="B16" t="str">
            <v>AVC31U5</v>
          </cell>
          <cell r="C16" t="str">
            <v>Auxiliary Contactor 240 V</v>
          </cell>
          <cell r="D16">
            <v>534.9</v>
          </cell>
        </row>
        <row r="17">
          <cell r="B17" t="str">
            <v>AVC40B5</v>
          </cell>
          <cell r="C17" t="str">
            <v>Auxiliary Contactor 24 V</v>
          </cell>
          <cell r="D17">
            <v>534.9</v>
          </cell>
        </row>
        <row r="18">
          <cell r="B18" t="str">
            <v>AVC40E5</v>
          </cell>
          <cell r="C18" t="str">
            <v>Auxiliary Contactor 48 V</v>
          </cell>
          <cell r="D18">
            <v>534.9</v>
          </cell>
        </row>
        <row r="19">
          <cell r="B19" t="str">
            <v>AVC40F5</v>
          </cell>
          <cell r="C19" t="str">
            <v>Auxiliary Contactor</v>
          </cell>
          <cell r="D19">
            <v>534.9</v>
          </cell>
        </row>
        <row r="20">
          <cell r="B20" t="str">
            <v>AVC40M5</v>
          </cell>
          <cell r="C20" t="str">
            <v>Auxiliary Contactor 220 V</v>
          </cell>
          <cell r="D20">
            <v>534.9</v>
          </cell>
        </row>
        <row r="21">
          <cell r="B21" t="str">
            <v>AVC40N5</v>
          </cell>
          <cell r="C21" t="str">
            <v>Auxiliary Contactor 415 V</v>
          </cell>
          <cell r="D21">
            <v>534.9</v>
          </cell>
        </row>
        <row r="22">
          <cell r="B22" t="str">
            <v>AVC40U5</v>
          </cell>
          <cell r="C22" t="str">
            <v>Auxiliary Contactor 240 V</v>
          </cell>
          <cell r="D22">
            <v>534.9</v>
          </cell>
        </row>
        <row r="23">
          <cell r="B23" t="str">
            <v>AV10901B5</v>
          </cell>
          <cell r="C23" t="str">
            <v>Power Contactor 9A 24VAC</v>
          </cell>
          <cell r="D23">
            <v>566.5</v>
          </cell>
        </row>
        <row r="24">
          <cell r="B24" t="str">
            <v>AV10901E5</v>
          </cell>
          <cell r="C24" t="str">
            <v>Power Contactor 9A 48V</v>
          </cell>
          <cell r="D24">
            <v>566.5</v>
          </cell>
        </row>
        <row r="25">
          <cell r="B25" t="str">
            <v>AV10901F5</v>
          </cell>
          <cell r="C25" t="str">
            <v>Power Contactor 9A 110V</v>
          </cell>
          <cell r="D25">
            <v>566.5</v>
          </cell>
        </row>
        <row r="26">
          <cell r="B26" t="str">
            <v>AV10901M5</v>
          </cell>
          <cell r="C26" t="str">
            <v>Power Contactor 9A 220V</v>
          </cell>
          <cell r="D26">
            <v>566.5</v>
          </cell>
        </row>
        <row r="27">
          <cell r="B27" t="str">
            <v>AV10901N5</v>
          </cell>
          <cell r="C27" t="str">
            <v>Power Contactor 9A 415V</v>
          </cell>
          <cell r="D27">
            <v>566.5</v>
          </cell>
        </row>
        <row r="28">
          <cell r="B28" t="str">
            <v>AV10901U5</v>
          </cell>
          <cell r="C28" t="str">
            <v>Power Contactor 9A 240V</v>
          </cell>
          <cell r="D28">
            <v>566.5</v>
          </cell>
        </row>
        <row r="29">
          <cell r="B29" t="str">
            <v>AV10910B5</v>
          </cell>
          <cell r="C29" t="str">
            <v>Power Contactor 9A 24VAC</v>
          </cell>
          <cell r="D29">
            <v>566.5</v>
          </cell>
        </row>
        <row r="30">
          <cell r="B30" t="str">
            <v>AV10910E5</v>
          </cell>
          <cell r="C30" t="str">
            <v>Power Contactor 9A 48V</v>
          </cell>
          <cell r="D30">
            <v>566.5</v>
          </cell>
        </row>
        <row r="31">
          <cell r="B31" t="str">
            <v>AV10910F5</v>
          </cell>
          <cell r="C31" t="str">
            <v>Power Contactor 9A 110V</v>
          </cell>
          <cell r="D31">
            <v>566.5</v>
          </cell>
        </row>
        <row r="32">
          <cell r="B32" t="str">
            <v>AV10910M5</v>
          </cell>
          <cell r="C32" t="str">
            <v>Power Contactor 9A 220V</v>
          </cell>
          <cell r="D32">
            <v>566.5</v>
          </cell>
        </row>
        <row r="33">
          <cell r="B33" t="str">
            <v>AV10910N5</v>
          </cell>
          <cell r="C33" t="str">
            <v>Power Contactor 9A 415V</v>
          </cell>
          <cell r="D33">
            <v>566.5</v>
          </cell>
        </row>
        <row r="34">
          <cell r="B34" t="str">
            <v>AV10910U5</v>
          </cell>
          <cell r="C34" t="str">
            <v>Power Contactor 9A 240V</v>
          </cell>
          <cell r="D34">
            <v>566.5</v>
          </cell>
        </row>
        <row r="35">
          <cell r="B35" t="str">
            <v>AV1T1610M5</v>
          </cell>
          <cell r="C35" t="str">
            <v>Power Cont.16A 1 NO 220 V 50 Hz Coil ,2 POLE</v>
          </cell>
          <cell r="D35">
            <v>566.5</v>
          </cell>
        </row>
        <row r="36">
          <cell r="B36" t="str">
            <v>AV220022F5</v>
          </cell>
          <cell r="D36">
            <v>5184.1000000000004</v>
          </cell>
        </row>
        <row r="37">
          <cell r="B37" t="str">
            <v>AV11810Q5</v>
          </cell>
          <cell r="D37">
            <v>566.5</v>
          </cell>
        </row>
        <row r="38">
          <cell r="B38" t="str">
            <v>AV110022B5</v>
          </cell>
          <cell r="C38" t="str">
            <v>Power Contactor 100A 24V</v>
          </cell>
          <cell r="D38">
            <v>2617.1</v>
          </cell>
        </row>
        <row r="39">
          <cell r="B39" t="str">
            <v>AV110022E5</v>
          </cell>
          <cell r="C39" t="str">
            <v>Power Contactor 100A 48V</v>
          </cell>
          <cell r="D39">
            <v>2617.1</v>
          </cell>
        </row>
        <row r="40">
          <cell r="B40" t="str">
            <v>AV110022F5</v>
          </cell>
          <cell r="C40" t="str">
            <v>Power Contactor 100A 110V</v>
          </cell>
          <cell r="D40">
            <v>2617.1</v>
          </cell>
        </row>
        <row r="41">
          <cell r="B41" t="str">
            <v>AV110022M5</v>
          </cell>
          <cell r="C41" t="str">
            <v>Power Contactor 100A 220V</v>
          </cell>
          <cell r="D41">
            <v>2617.1</v>
          </cell>
        </row>
        <row r="42">
          <cell r="B42" t="str">
            <v>AV110022N5</v>
          </cell>
          <cell r="C42" t="str">
            <v>Power Contactor 100A 415V</v>
          </cell>
          <cell r="D42">
            <v>2617.1</v>
          </cell>
        </row>
        <row r="43">
          <cell r="B43" t="str">
            <v>AV110022U5</v>
          </cell>
          <cell r="C43" t="str">
            <v>Power Contactor 100A 240V</v>
          </cell>
          <cell r="D43">
            <v>2617.1</v>
          </cell>
        </row>
        <row r="44">
          <cell r="B44" t="str">
            <v>AV111522B5</v>
          </cell>
          <cell r="C44" t="str">
            <v>Power Contactor 115A 24 V</v>
          </cell>
          <cell r="D44">
            <v>2617.1</v>
          </cell>
        </row>
        <row r="45">
          <cell r="B45" t="str">
            <v>AV111522E5</v>
          </cell>
          <cell r="C45" t="str">
            <v>Power Contactor 115A 48V</v>
          </cell>
          <cell r="D45">
            <v>2617.1</v>
          </cell>
        </row>
        <row r="46">
          <cell r="B46" t="str">
            <v>AV111522F5</v>
          </cell>
          <cell r="C46" t="str">
            <v>Power Contactor 115A 110V</v>
          </cell>
          <cell r="D46">
            <v>2617.1</v>
          </cell>
        </row>
        <row r="47">
          <cell r="B47" t="str">
            <v>AV111522M5</v>
          </cell>
          <cell r="C47" t="str">
            <v>Power Contactor 115A 220V</v>
          </cell>
          <cell r="D47">
            <v>2617.1</v>
          </cell>
        </row>
        <row r="48">
          <cell r="B48" t="str">
            <v>AV111522N5</v>
          </cell>
          <cell r="C48" t="str">
            <v>Power Contactor 115A 415V</v>
          </cell>
          <cell r="D48">
            <v>2617.1</v>
          </cell>
        </row>
        <row r="49">
          <cell r="B49" t="str">
            <v>AV111522U5</v>
          </cell>
          <cell r="C49" t="str">
            <v>Power Contactor 115A 240V</v>
          </cell>
          <cell r="D49">
            <v>2617.1</v>
          </cell>
        </row>
        <row r="50">
          <cell r="B50" t="str">
            <v>AV11201B5</v>
          </cell>
          <cell r="C50" t="str">
            <v>Power Contactor 12A 24V</v>
          </cell>
          <cell r="D50">
            <v>566.5</v>
          </cell>
        </row>
        <row r="51">
          <cell r="B51" t="str">
            <v>AV11201E5</v>
          </cell>
          <cell r="C51" t="str">
            <v>Power Contactor 12A 48V</v>
          </cell>
          <cell r="D51">
            <v>566.5</v>
          </cell>
        </row>
        <row r="52">
          <cell r="B52" t="str">
            <v>AV11201F5</v>
          </cell>
          <cell r="C52" t="str">
            <v>Power Contactor 12A 110V</v>
          </cell>
          <cell r="D52">
            <v>566.5</v>
          </cell>
        </row>
        <row r="53">
          <cell r="B53" t="str">
            <v>AV11201M5</v>
          </cell>
          <cell r="C53" t="str">
            <v>Power Contactor 12A 220 V</v>
          </cell>
          <cell r="D53">
            <v>566.5</v>
          </cell>
        </row>
        <row r="54">
          <cell r="B54" t="str">
            <v>AV11201N5</v>
          </cell>
          <cell r="C54" t="str">
            <v>Power Contactor 12A 415 V</v>
          </cell>
          <cell r="D54">
            <v>566.5</v>
          </cell>
        </row>
        <row r="55">
          <cell r="B55" t="str">
            <v>AV11201U5</v>
          </cell>
          <cell r="C55" t="str">
            <v>Power Contactor 12A 240 V</v>
          </cell>
          <cell r="D55">
            <v>566.5</v>
          </cell>
        </row>
        <row r="56">
          <cell r="B56" t="str">
            <v>AV11210B5</v>
          </cell>
          <cell r="C56" t="str">
            <v>Power Contactor 12A 24V</v>
          </cell>
          <cell r="D56">
            <v>566.5</v>
          </cell>
        </row>
        <row r="57">
          <cell r="B57" t="str">
            <v>AV11210E5</v>
          </cell>
          <cell r="C57" t="str">
            <v>Power Contactor 12A 48V</v>
          </cell>
          <cell r="D57">
            <v>566.5</v>
          </cell>
        </row>
        <row r="58">
          <cell r="B58" t="str">
            <v>AV11210F5</v>
          </cell>
          <cell r="C58" t="str">
            <v>Power Contactor 12A 110V</v>
          </cell>
          <cell r="D58">
            <v>566.5</v>
          </cell>
        </row>
        <row r="59">
          <cell r="B59" t="str">
            <v>AV11210M5</v>
          </cell>
          <cell r="C59" t="str">
            <v>Power Contactor 12A 220V</v>
          </cell>
          <cell r="D59">
            <v>566.5</v>
          </cell>
        </row>
        <row r="60">
          <cell r="B60" t="str">
            <v>AV11210N5</v>
          </cell>
          <cell r="C60" t="str">
            <v>Power Contactor 12A 415 V</v>
          </cell>
          <cell r="D60">
            <v>566.5</v>
          </cell>
        </row>
        <row r="61">
          <cell r="B61" t="str">
            <v>AV11210U5</v>
          </cell>
          <cell r="C61" t="str">
            <v>Power Contactor 12A 240V</v>
          </cell>
          <cell r="D61">
            <v>566.5</v>
          </cell>
        </row>
        <row r="62">
          <cell r="B62" t="str">
            <v>AV115022B5</v>
          </cell>
          <cell r="C62" t="str">
            <v>Power Contactor 150A 24 V</v>
          </cell>
          <cell r="D62">
            <v>2940.2</v>
          </cell>
        </row>
        <row r="63">
          <cell r="B63" t="str">
            <v>AV115022E5</v>
          </cell>
          <cell r="C63" t="str">
            <v>Power Contactor 150A 48 V</v>
          </cell>
          <cell r="D63">
            <v>2940.2</v>
          </cell>
        </row>
        <row r="64">
          <cell r="B64" t="str">
            <v>AV115022F5</v>
          </cell>
          <cell r="C64" t="str">
            <v>Power Contactor 150A 110V</v>
          </cell>
          <cell r="D64">
            <v>2940.2</v>
          </cell>
        </row>
        <row r="65">
          <cell r="B65" t="str">
            <v>AV115022M5</v>
          </cell>
          <cell r="C65" t="str">
            <v>Power Contactor 150A 220V</v>
          </cell>
          <cell r="D65">
            <v>2940.2</v>
          </cell>
        </row>
        <row r="66">
          <cell r="B66" t="str">
            <v>AV115022N5</v>
          </cell>
          <cell r="C66" t="str">
            <v>Power Contactor 150A 415V</v>
          </cell>
          <cell r="D66">
            <v>2940.2</v>
          </cell>
        </row>
        <row r="67">
          <cell r="B67" t="str">
            <v>AV115022U5</v>
          </cell>
          <cell r="C67" t="str">
            <v>Power Contactor 150A 240V</v>
          </cell>
          <cell r="D67">
            <v>2940.2</v>
          </cell>
        </row>
        <row r="68">
          <cell r="B68" t="str">
            <v>AV117022B5</v>
          </cell>
          <cell r="C68" t="str">
            <v>Power Contactor 150A 24V</v>
          </cell>
          <cell r="D68">
            <v>2940.2</v>
          </cell>
        </row>
        <row r="69">
          <cell r="B69" t="str">
            <v>AV117022E5</v>
          </cell>
          <cell r="C69" t="str">
            <v>Power Contactor 170A 48V</v>
          </cell>
          <cell r="D69">
            <v>2940.2</v>
          </cell>
        </row>
        <row r="70">
          <cell r="B70" t="str">
            <v>AV117022F5</v>
          </cell>
          <cell r="C70" t="str">
            <v>Power Contactor 170A 110V</v>
          </cell>
          <cell r="D70">
            <v>2940.2</v>
          </cell>
        </row>
        <row r="71">
          <cell r="B71" t="str">
            <v>AV117022M5</v>
          </cell>
          <cell r="C71" t="str">
            <v>Power Contactor 170A 220V</v>
          </cell>
          <cell r="D71">
            <v>2940.2</v>
          </cell>
        </row>
        <row r="72">
          <cell r="B72" t="str">
            <v>AV117022N5</v>
          </cell>
          <cell r="C72" t="str">
            <v>Power Contactor 170A 415V</v>
          </cell>
          <cell r="D72">
            <v>2940.2</v>
          </cell>
        </row>
        <row r="73">
          <cell r="B73" t="str">
            <v>AV117022U5</v>
          </cell>
          <cell r="C73" t="str">
            <v>Power Contactor 170A 240V</v>
          </cell>
          <cell r="D73">
            <v>2940.2</v>
          </cell>
        </row>
        <row r="74">
          <cell r="B74" t="str">
            <v>AV11801B5</v>
          </cell>
          <cell r="C74" t="str">
            <v>Power Contactor 18A 24V</v>
          </cell>
          <cell r="D74">
            <v>566.5</v>
          </cell>
        </row>
        <row r="75">
          <cell r="B75" t="str">
            <v>AV11801E5</v>
          </cell>
          <cell r="C75" t="str">
            <v>Power Contactor 18A 48V</v>
          </cell>
          <cell r="D75">
            <v>566.5</v>
          </cell>
        </row>
        <row r="76">
          <cell r="B76" t="str">
            <v>AV11801F5</v>
          </cell>
          <cell r="C76" t="str">
            <v>Power Contactor 18A 110V</v>
          </cell>
          <cell r="D76">
            <v>566.5</v>
          </cell>
        </row>
        <row r="77">
          <cell r="B77" t="str">
            <v>AV11801M5</v>
          </cell>
          <cell r="C77" t="str">
            <v>Power Contactor 18A 220V</v>
          </cell>
          <cell r="D77">
            <v>566.5</v>
          </cell>
        </row>
        <row r="78">
          <cell r="B78" t="str">
            <v>AV11801N5</v>
          </cell>
          <cell r="C78" t="str">
            <v>Power Contactor 18A 415 V</v>
          </cell>
          <cell r="D78">
            <v>566.5</v>
          </cell>
        </row>
        <row r="79">
          <cell r="B79" t="str">
            <v>AV11801U5</v>
          </cell>
          <cell r="C79" t="str">
            <v>Power Contactor 18A 240 V</v>
          </cell>
          <cell r="D79">
            <v>566.5</v>
          </cell>
        </row>
        <row r="80">
          <cell r="B80" t="str">
            <v>AV11810B5</v>
          </cell>
          <cell r="C80" t="str">
            <v>Power Contactor 18A 24 V</v>
          </cell>
          <cell r="D80">
            <v>566.5</v>
          </cell>
        </row>
        <row r="81">
          <cell r="B81" t="str">
            <v>AV11810E5</v>
          </cell>
          <cell r="C81" t="str">
            <v>Power Contactor 18A 48V</v>
          </cell>
          <cell r="D81">
            <v>566.5</v>
          </cell>
        </row>
        <row r="82">
          <cell r="B82" t="str">
            <v>AV11810F5</v>
          </cell>
          <cell r="C82" t="str">
            <v>Power Contactor 18A 110 V</v>
          </cell>
          <cell r="D82">
            <v>566.5</v>
          </cell>
        </row>
        <row r="83">
          <cell r="B83" t="str">
            <v>AV11810M5</v>
          </cell>
          <cell r="C83" t="str">
            <v>Power Contactor 18A 220 V</v>
          </cell>
          <cell r="D83">
            <v>566.5</v>
          </cell>
        </row>
        <row r="84">
          <cell r="B84" t="str">
            <v>AV11810N5</v>
          </cell>
          <cell r="C84" t="str">
            <v>Power Contactor 18A 415V</v>
          </cell>
          <cell r="D84">
            <v>566.5</v>
          </cell>
        </row>
        <row r="85">
          <cell r="B85" t="str">
            <v>AV11810U5</v>
          </cell>
          <cell r="C85" t="str">
            <v>Power Contactor 18A 240V</v>
          </cell>
          <cell r="D85">
            <v>566.5</v>
          </cell>
        </row>
        <row r="86">
          <cell r="B86" t="str">
            <v>AV120022B5</v>
          </cell>
          <cell r="C86" t="str">
            <v>Power Contactor 200A 24 V</v>
          </cell>
          <cell r="D86">
            <v>5184.1000000000004</v>
          </cell>
        </row>
        <row r="87">
          <cell r="B87" t="str">
            <v>AV120022E5</v>
          </cell>
          <cell r="C87" t="str">
            <v>Power Contactor 200A 48 V</v>
          </cell>
          <cell r="D87">
            <v>5184.1000000000004</v>
          </cell>
        </row>
        <row r="88">
          <cell r="B88" t="str">
            <v>AV120022F5</v>
          </cell>
          <cell r="C88" t="str">
            <v>Power Contactor 200A 110V</v>
          </cell>
          <cell r="D88">
            <v>5184.1000000000004</v>
          </cell>
        </row>
        <row r="89">
          <cell r="B89" t="str">
            <v>AV120022M5</v>
          </cell>
          <cell r="C89" t="str">
            <v>Power Contactor 200A 220V</v>
          </cell>
          <cell r="D89">
            <v>5184.1000000000004</v>
          </cell>
        </row>
        <row r="90">
          <cell r="B90" t="str">
            <v>AV120022N5</v>
          </cell>
          <cell r="C90" t="str">
            <v>Power Contactor 200A 415V</v>
          </cell>
          <cell r="D90">
            <v>5184.1000000000004</v>
          </cell>
        </row>
        <row r="91">
          <cell r="B91" t="str">
            <v>AV120022U5</v>
          </cell>
          <cell r="C91" t="str">
            <v>Power Contactor 200A 240V</v>
          </cell>
          <cell r="D91">
            <v>5184.1000000000004</v>
          </cell>
        </row>
        <row r="92">
          <cell r="B92" t="str">
            <v>AV12501B5</v>
          </cell>
          <cell r="C92" t="str">
            <v>Power Contactor 25A  24V</v>
          </cell>
          <cell r="D92">
            <v>566.5</v>
          </cell>
        </row>
        <row r="93">
          <cell r="B93" t="str">
            <v>AV12501E5</v>
          </cell>
          <cell r="C93" t="str">
            <v>Power Contactor 25A 48 V</v>
          </cell>
          <cell r="D93">
            <v>566.5</v>
          </cell>
        </row>
        <row r="94">
          <cell r="B94" t="str">
            <v>AV12501F5</v>
          </cell>
          <cell r="C94" t="str">
            <v>Power Contactor 25A 110 V</v>
          </cell>
          <cell r="D94">
            <v>566.5</v>
          </cell>
        </row>
        <row r="95">
          <cell r="B95" t="str">
            <v>AV12501M5</v>
          </cell>
          <cell r="C95" t="str">
            <v>Power Contactor 25A 220 V</v>
          </cell>
          <cell r="D95">
            <v>566.5</v>
          </cell>
        </row>
        <row r="96">
          <cell r="B96" t="str">
            <v>AV12501N5</v>
          </cell>
          <cell r="C96" t="str">
            <v>Power Contactor 25A 415V</v>
          </cell>
          <cell r="D96">
            <v>566.5</v>
          </cell>
        </row>
        <row r="97">
          <cell r="B97" t="str">
            <v>AV12501U5</v>
          </cell>
          <cell r="C97" t="str">
            <v>Power Contactor 25A 240 V</v>
          </cell>
          <cell r="D97">
            <v>566.5</v>
          </cell>
        </row>
        <row r="98">
          <cell r="B98" t="str">
            <v>AV12510B5</v>
          </cell>
          <cell r="C98" t="str">
            <v>Power Contactor 25A 24 V</v>
          </cell>
          <cell r="D98">
            <v>566.5</v>
          </cell>
        </row>
        <row r="99">
          <cell r="B99" t="str">
            <v>AV12510E5</v>
          </cell>
          <cell r="C99" t="str">
            <v>Power Contactor 25A 48 V</v>
          </cell>
          <cell r="D99">
            <v>566.5</v>
          </cell>
        </row>
        <row r="100">
          <cell r="B100" t="str">
            <v>AV12510F5</v>
          </cell>
          <cell r="C100" t="str">
            <v>Power Contactor 25A 110 V</v>
          </cell>
          <cell r="D100">
            <v>566.5</v>
          </cell>
        </row>
        <row r="101">
          <cell r="B101" t="str">
            <v>AV12510M5</v>
          </cell>
          <cell r="C101" t="str">
            <v>Power Contactor 25A 220 V</v>
          </cell>
          <cell r="D101">
            <v>566.5</v>
          </cell>
        </row>
        <row r="102">
          <cell r="B102" t="str">
            <v>AV12510N5</v>
          </cell>
          <cell r="C102" t="str">
            <v>Power Contactor 25A 415 V</v>
          </cell>
          <cell r="D102">
            <v>566.5</v>
          </cell>
        </row>
        <row r="103">
          <cell r="B103" t="str">
            <v>AV12510U5</v>
          </cell>
          <cell r="C103" t="str">
            <v>Power Contactor 25A 240 V</v>
          </cell>
          <cell r="D103">
            <v>566.5</v>
          </cell>
        </row>
        <row r="104">
          <cell r="B104" t="str">
            <v>AV130022B5</v>
          </cell>
          <cell r="C104" t="str">
            <v>Power Contactor 300A 24 V</v>
          </cell>
          <cell r="D104">
            <v>3588.4</v>
          </cell>
        </row>
        <row r="105">
          <cell r="B105" t="str">
            <v>AV130022E5</v>
          </cell>
          <cell r="C105" t="str">
            <v>Power Contactor 300A 48 V</v>
          </cell>
          <cell r="D105">
            <v>3588.4</v>
          </cell>
        </row>
        <row r="106">
          <cell r="B106" t="str">
            <v>AV130022F5</v>
          </cell>
          <cell r="C106" t="str">
            <v>Power Contactor 300A 110V</v>
          </cell>
          <cell r="D106">
            <v>3588.4</v>
          </cell>
        </row>
        <row r="107">
          <cell r="B107" t="str">
            <v>AV130022M5</v>
          </cell>
          <cell r="C107" t="str">
            <v>Power Contactor 300A 220V</v>
          </cell>
          <cell r="D107">
            <v>3588.4</v>
          </cell>
        </row>
        <row r="108">
          <cell r="B108" t="str">
            <v>AV130022N5</v>
          </cell>
          <cell r="C108" t="str">
            <v>Power Contactor 300A 415V</v>
          </cell>
          <cell r="D108">
            <v>3588.4</v>
          </cell>
        </row>
        <row r="109">
          <cell r="B109" t="str">
            <v>AV130022U5</v>
          </cell>
          <cell r="C109" t="str">
            <v>Power Contactor 300A 240V</v>
          </cell>
          <cell r="D109">
            <v>3588.4</v>
          </cell>
        </row>
        <row r="110">
          <cell r="B110" t="str">
            <v>AV13201B5</v>
          </cell>
          <cell r="C110" t="str">
            <v>Power Contactor 32A 24 V</v>
          </cell>
          <cell r="D110">
            <v>566.5</v>
          </cell>
        </row>
        <row r="111">
          <cell r="B111" t="str">
            <v>AV13201E5</v>
          </cell>
          <cell r="C111" t="str">
            <v>Power Contactor 32A 48 V</v>
          </cell>
          <cell r="D111">
            <v>566.5</v>
          </cell>
        </row>
        <row r="112">
          <cell r="B112" t="str">
            <v>AV13201F5</v>
          </cell>
          <cell r="C112" t="str">
            <v>Power Contactor 32A 110 V</v>
          </cell>
          <cell r="D112">
            <v>566.5</v>
          </cell>
        </row>
        <row r="113">
          <cell r="B113" t="str">
            <v>AV13201M5</v>
          </cell>
          <cell r="C113" t="str">
            <v>Power Contactor 32A 220 V</v>
          </cell>
          <cell r="D113">
            <v>566.5</v>
          </cell>
        </row>
        <row r="114">
          <cell r="B114" t="str">
            <v>AV13201N5</v>
          </cell>
          <cell r="C114" t="str">
            <v>Power Contactor 32A 415 V</v>
          </cell>
          <cell r="D114">
            <v>566.5</v>
          </cell>
        </row>
        <row r="115">
          <cell r="B115" t="str">
            <v>AV13201U5</v>
          </cell>
          <cell r="C115" t="str">
            <v>Power Contactor 32A 240 V</v>
          </cell>
          <cell r="D115">
            <v>566.5</v>
          </cell>
        </row>
        <row r="116">
          <cell r="B116" t="str">
            <v>AV13210B5</v>
          </cell>
          <cell r="C116" t="str">
            <v>Power Contactor 32A 24 V</v>
          </cell>
          <cell r="D116">
            <v>566.5</v>
          </cell>
        </row>
        <row r="117">
          <cell r="B117" t="str">
            <v>AV13210E5</v>
          </cell>
          <cell r="C117" t="str">
            <v>Power Contactor 32A 48 V</v>
          </cell>
          <cell r="D117">
            <v>566.5</v>
          </cell>
        </row>
        <row r="118">
          <cell r="B118" t="str">
            <v>AV13210F5</v>
          </cell>
          <cell r="C118" t="str">
            <v>Power Contactor 32A 110 V</v>
          </cell>
          <cell r="D118">
            <v>566.5</v>
          </cell>
        </row>
        <row r="119">
          <cell r="B119" t="str">
            <v>AV13210M5</v>
          </cell>
          <cell r="C119" t="str">
            <v>Power Contactor 32A 220 V</v>
          </cell>
          <cell r="D119">
            <v>566.5</v>
          </cell>
        </row>
        <row r="120">
          <cell r="B120" t="str">
            <v>AV13210N5</v>
          </cell>
          <cell r="C120" t="str">
            <v>Power Contactor 32A 415 V</v>
          </cell>
          <cell r="D120">
            <v>566.5</v>
          </cell>
        </row>
        <row r="121">
          <cell r="B121" t="str">
            <v>AV13210U5</v>
          </cell>
          <cell r="C121" t="str">
            <v>Power Contactor 32A 240 V</v>
          </cell>
          <cell r="D121">
            <v>566.5</v>
          </cell>
        </row>
        <row r="122">
          <cell r="B122" t="str">
            <v>AV13201U5</v>
          </cell>
          <cell r="C122" t="str">
            <v>Power Contactor 32A 240 V</v>
          </cell>
          <cell r="D122">
            <v>566.5</v>
          </cell>
        </row>
        <row r="123">
          <cell r="B123" t="str">
            <v>AV14010B5</v>
          </cell>
          <cell r="C123" t="str">
            <v>Power Contactor 40A 24 V</v>
          </cell>
          <cell r="D123">
            <v>566.5</v>
          </cell>
        </row>
        <row r="124">
          <cell r="B124" t="str">
            <v>AV14001B5</v>
          </cell>
          <cell r="C124" t="str">
            <v>Power Contactor 40A 24 V</v>
          </cell>
          <cell r="D124">
            <v>566.5</v>
          </cell>
        </row>
        <row r="125">
          <cell r="B125" t="str">
            <v>AV14010E5</v>
          </cell>
          <cell r="C125" t="str">
            <v>Power Contactor 40A 48 V</v>
          </cell>
          <cell r="D125">
            <v>566.5</v>
          </cell>
        </row>
        <row r="126">
          <cell r="B126" t="str">
            <v>AV14001E5</v>
          </cell>
          <cell r="C126" t="str">
            <v>Power Contactor 40A 48 V</v>
          </cell>
          <cell r="D126">
            <v>566.5</v>
          </cell>
        </row>
        <row r="127">
          <cell r="B127" t="str">
            <v>AV14010F5</v>
          </cell>
          <cell r="C127" t="str">
            <v>Power Contactor 40A 110 V</v>
          </cell>
          <cell r="D127">
            <v>566.5</v>
          </cell>
        </row>
        <row r="128">
          <cell r="B128" t="str">
            <v>AV14001F5</v>
          </cell>
          <cell r="C128" t="str">
            <v>Power Contactor 40A 110 V</v>
          </cell>
          <cell r="D128">
            <v>566.5</v>
          </cell>
        </row>
        <row r="129">
          <cell r="B129" t="str">
            <v>AV14010M5</v>
          </cell>
          <cell r="C129" t="str">
            <v>Power Contactor 40A 220 V</v>
          </cell>
          <cell r="D129">
            <v>566.5</v>
          </cell>
        </row>
        <row r="130">
          <cell r="B130" t="str">
            <v>AV14001M5</v>
          </cell>
          <cell r="C130" t="str">
            <v>Power Contactor 40A 220 V</v>
          </cell>
          <cell r="D130">
            <v>566.5</v>
          </cell>
        </row>
        <row r="131">
          <cell r="B131" t="str">
            <v>AV14010U5</v>
          </cell>
          <cell r="C131" t="str">
            <v>Power Contactor 40A 240 V</v>
          </cell>
          <cell r="D131">
            <v>566.5</v>
          </cell>
        </row>
        <row r="132">
          <cell r="B132" t="str">
            <v>AV14001U5</v>
          </cell>
          <cell r="C132" t="str">
            <v>Power Contactor 40A 240 V</v>
          </cell>
          <cell r="D132">
            <v>566.5</v>
          </cell>
        </row>
        <row r="133">
          <cell r="B133" t="str">
            <v>AV14010N5</v>
          </cell>
          <cell r="C133" t="str">
            <v>Power Contactor 40A 415 V</v>
          </cell>
          <cell r="D133">
            <v>566.5</v>
          </cell>
        </row>
        <row r="134">
          <cell r="B134" t="str">
            <v>AV14001N5</v>
          </cell>
          <cell r="C134" t="str">
            <v>Power Contactor 40A 415 V</v>
          </cell>
          <cell r="D134">
            <v>566.5</v>
          </cell>
        </row>
        <row r="135">
          <cell r="B135" t="str">
            <v>AV15011B5</v>
          </cell>
          <cell r="C135" t="str">
            <v>Power Contactor 50A 24 V</v>
          </cell>
          <cell r="D135">
            <v>499.8</v>
          </cell>
        </row>
        <row r="136">
          <cell r="B136" t="str">
            <v>AV15011E5</v>
          </cell>
          <cell r="C136" t="str">
            <v>Power Contactor 50A 48 V</v>
          </cell>
          <cell r="D136">
            <v>499.8</v>
          </cell>
        </row>
        <row r="137">
          <cell r="B137" t="str">
            <v>AV15011F5</v>
          </cell>
          <cell r="C137" t="str">
            <v>Power Contactor 50A 110 V</v>
          </cell>
          <cell r="D137">
            <v>499.8</v>
          </cell>
        </row>
        <row r="138">
          <cell r="B138" t="str">
            <v>AV15011M5</v>
          </cell>
          <cell r="C138" t="str">
            <v>Power Contactor 50A 220 V</v>
          </cell>
          <cell r="D138">
            <v>499.8</v>
          </cell>
        </row>
        <row r="139">
          <cell r="B139" t="str">
            <v>AV15011U5</v>
          </cell>
          <cell r="C139" t="str">
            <v>Power Contactor 50A 240 V</v>
          </cell>
          <cell r="D139">
            <v>499.8</v>
          </cell>
        </row>
        <row r="140">
          <cell r="B140" t="str">
            <v>AV15011N5</v>
          </cell>
          <cell r="C140" t="str">
            <v>Power Contactor 50A 415 V</v>
          </cell>
          <cell r="D140">
            <v>499.8</v>
          </cell>
        </row>
        <row r="141">
          <cell r="B141" t="str">
            <v>AV16511B5</v>
          </cell>
          <cell r="C141" t="str">
            <v>Power Contactor 65A 24 V</v>
          </cell>
          <cell r="D141">
            <v>499.8</v>
          </cell>
        </row>
        <row r="142">
          <cell r="B142" t="str">
            <v>AV16511E5</v>
          </cell>
          <cell r="C142" t="str">
            <v>Power Contactor 65A 48A</v>
          </cell>
          <cell r="D142">
            <v>499.8</v>
          </cell>
        </row>
        <row r="143">
          <cell r="B143" t="str">
            <v>AV16511F5</v>
          </cell>
          <cell r="C143" t="str">
            <v>Power Contactor 65A 110 V</v>
          </cell>
          <cell r="D143">
            <v>499.8</v>
          </cell>
        </row>
        <row r="144">
          <cell r="B144" t="str">
            <v>AV16511M5</v>
          </cell>
          <cell r="C144" t="str">
            <v>Power Contactor 65A 220 V</v>
          </cell>
          <cell r="D144">
            <v>499.8</v>
          </cell>
        </row>
        <row r="145">
          <cell r="B145" t="str">
            <v>AV16511U5</v>
          </cell>
          <cell r="C145" t="str">
            <v>Power Contactor 65A 240 V</v>
          </cell>
          <cell r="D145">
            <v>499.8</v>
          </cell>
        </row>
        <row r="146">
          <cell r="B146" t="str">
            <v>AV16511N5</v>
          </cell>
          <cell r="C146" t="str">
            <v>Power Contactor 65A 415 V</v>
          </cell>
          <cell r="D146">
            <v>499.8</v>
          </cell>
        </row>
        <row r="147">
          <cell r="B147" t="str">
            <v>AV18011B5</v>
          </cell>
          <cell r="C147" t="str">
            <v>Power Contactor 80A 24 V</v>
          </cell>
          <cell r="D147">
            <v>534.9</v>
          </cell>
        </row>
        <row r="148">
          <cell r="B148" t="str">
            <v>AV18011E5</v>
          </cell>
          <cell r="C148" t="str">
            <v>Power Contactor 80A 48 V</v>
          </cell>
          <cell r="D148">
            <v>534.9</v>
          </cell>
        </row>
        <row r="149">
          <cell r="B149" t="str">
            <v>AV18011F5</v>
          </cell>
          <cell r="C149" t="str">
            <v>Power Contactor 80A 110 V</v>
          </cell>
          <cell r="D149">
            <v>534.9</v>
          </cell>
        </row>
        <row r="150">
          <cell r="B150" t="str">
            <v>AV18011M5</v>
          </cell>
          <cell r="C150" t="str">
            <v>Power Contactor 80A 220 V</v>
          </cell>
          <cell r="D150">
            <v>534.9</v>
          </cell>
        </row>
        <row r="151">
          <cell r="B151" t="str">
            <v>AV18011U5</v>
          </cell>
          <cell r="C151" t="str">
            <v>Power Contactor 80A 240 V</v>
          </cell>
          <cell r="D151">
            <v>534.9</v>
          </cell>
        </row>
        <row r="152">
          <cell r="B152" t="str">
            <v>AV18011N5</v>
          </cell>
          <cell r="C152" t="str">
            <v>Power Contactor 80A 415 V</v>
          </cell>
          <cell r="D152">
            <v>534.9</v>
          </cell>
        </row>
        <row r="153">
          <cell r="B153" t="str">
            <v>AV110022B5</v>
          </cell>
          <cell r="C153" t="str">
            <v>Power Contactor 100A 24V</v>
          </cell>
          <cell r="D153">
            <v>2617.1</v>
          </cell>
        </row>
        <row r="154">
          <cell r="B154" t="str">
            <v>AV110022E5</v>
          </cell>
          <cell r="C154" t="str">
            <v>Power Contactor 100A 48V</v>
          </cell>
          <cell r="D154">
            <v>2617.1</v>
          </cell>
        </row>
        <row r="155">
          <cell r="B155" t="str">
            <v>AV110022F5</v>
          </cell>
          <cell r="C155" t="str">
            <v>Power Contactor 100A 110V</v>
          </cell>
          <cell r="D155">
            <v>2617.1</v>
          </cell>
        </row>
        <row r="156">
          <cell r="B156" t="str">
            <v>AV110022M5</v>
          </cell>
          <cell r="C156" t="str">
            <v>Power Contactor 100A 220V</v>
          </cell>
          <cell r="D156">
            <v>2617.1</v>
          </cell>
        </row>
        <row r="157">
          <cell r="B157" t="str">
            <v>AV110022U5</v>
          </cell>
          <cell r="C157" t="str">
            <v>Power Contactor 100A 240V</v>
          </cell>
          <cell r="D157">
            <v>2617.1</v>
          </cell>
        </row>
        <row r="158">
          <cell r="B158" t="str">
            <v>AV110022N5</v>
          </cell>
          <cell r="C158" t="str">
            <v>Power Contactor 100A 415V</v>
          </cell>
          <cell r="D158">
            <v>2617.1</v>
          </cell>
        </row>
        <row r="159">
          <cell r="B159" t="str">
            <v>AV111522B5</v>
          </cell>
          <cell r="C159" t="str">
            <v>Power Contactor 115A 24 V</v>
          </cell>
          <cell r="D159">
            <v>2617.1</v>
          </cell>
        </row>
        <row r="160">
          <cell r="B160" t="str">
            <v>AV111522E5</v>
          </cell>
          <cell r="C160" t="str">
            <v>Power Contactor 115A 48V</v>
          </cell>
          <cell r="D160">
            <v>2617.1</v>
          </cell>
        </row>
        <row r="161">
          <cell r="B161" t="str">
            <v>AV111522F5</v>
          </cell>
          <cell r="C161" t="str">
            <v>Power Contactor 115A 110V</v>
          </cell>
          <cell r="D161">
            <v>2617.1</v>
          </cell>
        </row>
        <row r="162">
          <cell r="B162" t="str">
            <v>AV111522M5</v>
          </cell>
          <cell r="C162" t="str">
            <v>Power Contactor 115A 220V</v>
          </cell>
          <cell r="D162">
            <v>2617.1</v>
          </cell>
        </row>
        <row r="163">
          <cell r="B163" t="str">
            <v>AV111522U5</v>
          </cell>
          <cell r="C163" t="str">
            <v>Power Contactor 115A 240V</v>
          </cell>
          <cell r="D163">
            <v>2617.1</v>
          </cell>
        </row>
        <row r="164">
          <cell r="B164" t="str">
            <v>AV111522N5</v>
          </cell>
          <cell r="C164" t="str">
            <v>Power Contactor 115A 415V</v>
          </cell>
          <cell r="D164">
            <v>2617.1</v>
          </cell>
        </row>
        <row r="165">
          <cell r="B165" t="str">
            <v>AV115022B5</v>
          </cell>
          <cell r="C165" t="str">
            <v>Power Contactor 150A 24 V</v>
          </cell>
          <cell r="D165">
            <v>2940.2</v>
          </cell>
        </row>
        <row r="166">
          <cell r="B166" t="str">
            <v>AV115022E5</v>
          </cell>
          <cell r="C166" t="str">
            <v>Power Contactor 150A 48 V</v>
          </cell>
          <cell r="D166">
            <v>2940.2</v>
          </cell>
        </row>
        <row r="167">
          <cell r="B167" t="str">
            <v>AV115022F5</v>
          </cell>
          <cell r="C167" t="str">
            <v>Power Contactor 150A 110V</v>
          </cell>
          <cell r="D167">
            <v>2940.2</v>
          </cell>
        </row>
        <row r="168">
          <cell r="B168" t="str">
            <v>AV115022M5</v>
          </cell>
          <cell r="C168" t="str">
            <v>Power Contactor 150A 220V</v>
          </cell>
          <cell r="D168">
            <v>2940.2</v>
          </cell>
        </row>
        <row r="169">
          <cell r="B169" t="str">
            <v>AV115022U5</v>
          </cell>
          <cell r="C169" t="str">
            <v>Power Contactor 150A 240V</v>
          </cell>
          <cell r="D169">
            <v>2940.2</v>
          </cell>
        </row>
        <row r="170">
          <cell r="B170" t="str">
            <v>AV115022N5</v>
          </cell>
          <cell r="C170" t="str">
            <v>Power Contactor 150A 415V</v>
          </cell>
          <cell r="D170">
            <v>2940.2</v>
          </cell>
        </row>
        <row r="171">
          <cell r="B171" t="str">
            <v>AV117022B5</v>
          </cell>
          <cell r="C171" t="str">
            <v>Power Contactor 150A 24V</v>
          </cell>
          <cell r="D171">
            <v>2940.2</v>
          </cell>
        </row>
        <row r="172">
          <cell r="B172" t="str">
            <v>AV117022E5</v>
          </cell>
          <cell r="C172" t="str">
            <v>Power Contactor 170A 48V</v>
          </cell>
          <cell r="D172">
            <v>2940.2</v>
          </cell>
        </row>
        <row r="173">
          <cell r="B173" t="str">
            <v>AV117022F5</v>
          </cell>
          <cell r="C173" t="str">
            <v>Power Contactor 170A 110V</v>
          </cell>
          <cell r="D173">
            <v>2940.2</v>
          </cell>
        </row>
        <row r="174">
          <cell r="B174" t="str">
            <v>AV117022M5</v>
          </cell>
          <cell r="C174" t="str">
            <v>Power Contactor 170A 220V</v>
          </cell>
          <cell r="D174">
            <v>2940.2</v>
          </cell>
        </row>
        <row r="175">
          <cell r="B175" t="str">
            <v>AV117022U5</v>
          </cell>
          <cell r="C175" t="str">
            <v>Power Contactor 170A 240V</v>
          </cell>
          <cell r="D175">
            <v>2940.2</v>
          </cell>
        </row>
        <row r="176">
          <cell r="B176" t="str">
            <v>AV117022N5</v>
          </cell>
          <cell r="C176" t="str">
            <v>Power Contactor 170A 415V</v>
          </cell>
          <cell r="D176">
            <v>2940.2</v>
          </cell>
        </row>
        <row r="177">
          <cell r="B177" t="str">
            <v>AV120022B5</v>
          </cell>
          <cell r="C177" t="str">
            <v>Power Contactor 200A 24 V</v>
          </cell>
          <cell r="D177">
            <v>5184.1000000000004</v>
          </cell>
        </row>
        <row r="178">
          <cell r="B178" t="str">
            <v>AV120022E5</v>
          </cell>
          <cell r="C178" t="str">
            <v>Power Contactor 200A 48 V</v>
          </cell>
          <cell r="D178">
            <v>5184.1000000000004</v>
          </cell>
        </row>
        <row r="179">
          <cell r="B179" t="str">
            <v>AV120022F5</v>
          </cell>
          <cell r="C179" t="str">
            <v>Power Contactor 200A 110V</v>
          </cell>
          <cell r="D179">
            <v>5184.1000000000004</v>
          </cell>
        </row>
        <row r="180">
          <cell r="B180" t="str">
            <v>AV120022M5</v>
          </cell>
          <cell r="C180" t="str">
            <v>Power Contactor 200A 220V</v>
          </cell>
          <cell r="D180">
            <v>5184.1000000000004</v>
          </cell>
        </row>
        <row r="181">
          <cell r="B181" t="str">
            <v>AV120022U5</v>
          </cell>
          <cell r="C181" t="str">
            <v>Power Contactor 200A 240V</v>
          </cell>
          <cell r="D181">
            <v>5184.1000000000004</v>
          </cell>
        </row>
        <row r="182">
          <cell r="B182" t="str">
            <v>AV120022N5</v>
          </cell>
          <cell r="C182" t="str">
            <v>Power Contactor 200A 415V</v>
          </cell>
          <cell r="D182">
            <v>5184.1000000000004</v>
          </cell>
        </row>
        <row r="183">
          <cell r="B183" t="str">
            <v>AV130022B5</v>
          </cell>
          <cell r="C183" t="str">
            <v>Power Contactor 300A 24 V</v>
          </cell>
          <cell r="D183">
            <v>3588.4</v>
          </cell>
        </row>
        <row r="184">
          <cell r="B184" t="str">
            <v>AV130022E5</v>
          </cell>
          <cell r="C184" t="str">
            <v>Power Contactor 300A 48 V</v>
          </cell>
          <cell r="D184">
            <v>3588.4</v>
          </cell>
        </row>
        <row r="185">
          <cell r="B185" t="str">
            <v>AV130022F5</v>
          </cell>
          <cell r="C185" t="str">
            <v>Power Contactor 300A 110V</v>
          </cell>
          <cell r="D185">
            <v>3588.4</v>
          </cell>
        </row>
        <row r="186">
          <cell r="B186" t="str">
            <v>AV130022M5</v>
          </cell>
          <cell r="C186" t="str">
            <v>Power Contactor 300A 220V</v>
          </cell>
          <cell r="D186">
            <v>3588.4</v>
          </cell>
        </row>
        <row r="187">
          <cell r="B187" t="str">
            <v>AV130022U5</v>
          </cell>
          <cell r="C187" t="str">
            <v>Power Contactor 300A 240V</v>
          </cell>
          <cell r="D187">
            <v>3588.4</v>
          </cell>
        </row>
        <row r="188">
          <cell r="B188" t="str">
            <v>AV130022N5</v>
          </cell>
          <cell r="C188" t="str">
            <v>Power Contactor 300A 415V</v>
          </cell>
          <cell r="D188">
            <v>3588.4</v>
          </cell>
        </row>
        <row r="189">
          <cell r="B189" t="str">
            <v>AV140022B5</v>
          </cell>
          <cell r="C189" t="str">
            <v>Power Contactor 400A 24V</v>
          </cell>
          <cell r="D189">
            <v>3588.4</v>
          </cell>
        </row>
        <row r="190">
          <cell r="B190" t="str">
            <v>AV140022E5</v>
          </cell>
          <cell r="C190" t="str">
            <v>Power Contactor 400A 48 V</v>
          </cell>
          <cell r="D190">
            <v>3588.4</v>
          </cell>
        </row>
        <row r="191">
          <cell r="B191" t="str">
            <v>AV140022F5</v>
          </cell>
          <cell r="C191" t="str">
            <v>Power Contactor 400A 110V</v>
          </cell>
          <cell r="D191">
            <v>3588.4</v>
          </cell>
        </row>
        <row r="192">
          <cell r="B192" t="str">
            <v>AV140022M5</v>
          </cell>
          <cell r="C192" t="str">
            <v>Power Contactor 400A 220V</v>
          </cell>
          <cell r="D192">
            <v>3588.4</v>
          </cell>
        </row>
        <row r="193">
          <cell r="B193" t="str">
            <v>AV140022U5</v>
          </cell>
          <cell r="C193" t="str">
            <v>Power Contactor 400A 240V</v>
          </cell>
          <cell r="D193">
            <v>3588.4</v>
          </cell>
        </row>
        <row r="194">
          <cell r="B194" t="str">
            <v>AV140022N5</v>
          </cell>
          <cell r="C194" t="str">
            <v>Power Contactor 400A 415V</v>
          </cell>
          <cell r="D194">
            <v>3588.4</v>
          </cell>
        </row>
        <row r="195">
          <cell r="B195" t="str">
            <v>AV155044B5</v>
          </cell>
          <cell r="C195" t="str">
            <v>Power Contactor 550A 24 V</v>
          </cell>
          <cell r="D195">
            <v>6775.4</v>
          </cell>
        </row>
        <row r="196">
          <cell r="B196" t="str">
            <v>AV155044E5</v>
          </cell>
          <cell r="C196" t="str">
            <v>Power Contactor 550A 48 V</v>
          </cell>
          <cell r="D196">
            <v>6775.4</v>
          </cell>
        </row>
        <row r="197">
          <cell r="B197" t="str">
            <v>AV155044F5</v>
          </cell>
          <cell r="C197" t="str">
            <v>Power Contactor 550A 110V</v>
          </cell>
          <cell r="D197">
            <v>6775.4</v>
          </cell>
        </row>
        <row r="198">
          <cell r="B198" t="str">
            <v>AV155044M5</v>
          </cell>
          <cell r="C198" t="str">
            <v>Power Contactor 550A 220V</v>
          </cell>
          <cell r="D198">
            <v>6775.4</v>
          </cell>
        </row>
        <row r="199">
          <cell r="B199" t="str">
            <v>AV155044U5</v>
          </cell>
          <cell r="C199" t="str">
            <v>Power Contactor 550A 240V</v>
          </cell>
          <cell r="D199">
            <v>6775.4</v>
          </cell>
        </row>
        <row r="200">
          <cell r="B200" t="str">
            <v>AV155044N5</v>
          </cell>
          <cell r="C200" t="str">
            <v>Power Contactor 550A 415V</v>
          </cell>
          <cell r="D200">
            <v>6775.4</v>
          </cell>
        </row>
        <row r="201">
          <cell r="B201" t="str">
            <v>AV163044B5</v>
          </cell>
          <cell r="C201" t="str">
            <v>Power Contactor 630A 24 V</v>
          </cell>
          <cell r="D201">
            <v>6775.4</v>
          </cell>
        </row>
        <row r="202">
          <cell r="B202" t="str">
            <v>AV163044E5</v>
          </cell>
          <cell r="C202" t="str">
            <v>Power Contactor 630A 48 V</v>
          </cell>
          <cell r="D202">
            <v>6775.4</v>
          </cell>
        </row>
        <row r="203">
          <cell r="B203" t="str">
            <v>AV163044F5</v>
          </cell>
          <cell r="C203" t="str">
            <v>Power Contactor 630A 110V</v>
          </cell>
          <cell r="D203">
            <v>6775.4</v>
          </cell>
        </row>
        <row r="204">
          <cell r="B204" t="str">
            <v>AV163044M5</v>
          </cell>
          <cell r="C204" t="str">
            <v>Power Contactor 630A 220V</v>
          </cell>
          <cell r="D204">
            <v>6775.4</v>
          </cell>
        </row>
        <row r="205">
          <cell r="B205" t="str">
            <v>AV163044U5</v>
          </cell>
          <cell r="C205" t="str">
            <v>Power Contactor 630A 240V</v>
          </cell>
          <cell r="D205">
            <v>6775.4</v>
          </cell>
        </row>
        <row r="206">
          <cell r="B206" t="str">
            <v>AV163044N5</v>
          </cell>
          <cell r="C206" t="str">
            <v>Power Contactor 630A 415V</v>
          </cell>
          <cell r="D206">
            <v>6775.4</v>
          </cell>
        </row>
        <row r="207">
          <cell r="B207" t="str">
            <v>AVR101</v>
          </cell>
          <cell r="C207" t="str">
            <v>Thermal Overload Relay</v>
          </cell>
          <cell r="D207">
            <v>166.8</v>
          </cell>
        </row>
        <row r="208">
          <cell r="B208" t="str">
            <v>AVR102</v>
          </cell>
          <cell r="C208" t="str">
            <v>Thermal Overload Relay</v>
          </cell>
          <cell r="D208">
            <v>166.8</v>
          </cell>
        </row>
        <row r="209">
          <cell r="B209" t="str">
            <v>AVR103</v>
          </cell>
          <cell r="C209" t="str">
            <v>Thermal Overload Relay</v>
          </cell>
          <cell r="D209">
            <v>166.8</v>
          </cell>
        </row>
        <row r="210">
          <cell r="B210" t="str">
            <v>AVR104</v>
          </cell>
          <cell r="C210" t="str">
            <v>Thermal Overload Relay</v>
          </cell>
          <cell r="D210">
            <v>166.8</v>
          </cell>
        </row>
        <row r="211">
          <cell r="B211" t="str">
            <v>AVR105</v>
          </cell>
          <cell r="C211" t="str">
            <v>Thermal Overload Relay</v>
          </cell>
          <cell r="D211">
            <v>166.8</v>
          </cell>
        </row>
        <row r="212">
          <cell r="B212" t="str">
            <v>AVR106</v>
          </cell>
          <cell r="C212" t="str">
            <v>Thermal Overload Relay</v>
          </cell>
          <cell r="D212">
            <v>166.8</v>
          </cell>
        </row>
        <row r="213">
          <cell r="B213" t="str">
            <v>AVR107</v>
          </cell>
          <cell r="C213" t="str">
            <v>Thermal Overload Relay</v>
          </cell>
          <cell r="D213">
            <v>166.8</v>
          </cell>
        </row>
        <row r="214">
          <cell r="B214" t="str">
            <v>AVR108</v>
          </cell>
          <cell r="C214" t="str">
            <v>Thermal Overload Relay</v>
          </cell>
          <cell r="D214">
            <v>166.8</v>
          </cell>
        </row>
        <row r="215">
          <cell r="B215" t="str">
            <v>AVR110</v>
          </cell>
          <cell r="C215" t="str">
            <v>Thermal Overload Relay</v>
          </cell>
          <cell r="D215">
            <v>166.8</v>
          </cell>
        </row>
        <row r="216">
          <cell r="B216" t="str">
            <v>AVR112</v>
          </cell>
          <cell r="C216" t="str">
            <v>Thermal Overload Relay</v>
          </cell>
          <cell r="D216">
            <v>166.8</v>
          </cell>
        </row>
        <row r="217">
          <cell r="B217" t="str">
            <v>AVR114</v>
          </cell>
          <cell r="C217" t="str">
            <v>Thermal Overload Relay</v>
          </cell>
          <cell r="D217">
            <v>166.8</v>
          </cell>
        </row>
        <row r="218">
          <cell r="B218" t="str">
            <v>AVR116</v>
          </cell>
          <cell r="C218" t="str">
            <v>Thermal Overload Relay</v>
          </cell>
          <cell r="D218">
            <v>166.8</v>
          </cell>
        </row>
        <row r="219">
          <cell r="B219" t="str">
            <v>AVR121</v>
          </cell>
          <cell r="C219" t="str">
            <v>Thermal Overload Relay</v>
          </cell>
          <cell r="D219">
            <v>166.8</v>
          </cell>
        </row>
        <row r="220">
          <cell r="B220" t="str">
            <v>AVR122</v>
          </cell>
          <cell r="C220" t="str">
            <v>Thermal Overload Relay</v>
          </cell>
          <cell r="D220">
            <v>166.8</v>
          </cell>
        </row>
        <row r="221">
          <cell r="B221" t="str">
            <v>AVR132</v>
          </cell>
          <cell r="C221" t="str">
            <v>Thermal Overload Relay</v>
          </cell>
          <cell r="D221">
            <v>166.8</v>
          </cell>
        </row>
        <row r="222">
          <cell r="B222" t="str">
            <v>AVR135</v>
          </cell>
          <cell r="C222" t="str">
            <v>Thermal Overload Relay</v>
          </cell>
          <cell r="D222">
            <v>166.8</v>
          </cell>
        </row>
        <row r="223">
          <cell r="B223" t="str">
            <v>AVR255</v>
          </cell>
          <cell r="C223" t="str">
            <v>Thermal Overload Relay</v>
          </cell>
          <cell r="D223">
            <v>166.8</v>
          </cell>
        </row>
        <row r="224">
          <cell r="B224" t="str">
            <v>AVR257</v>
          </cell>
          <cell r="C224" t="str">
            <v>Thermal Overload Relay</v>
          </cell>
          <cell r="D224">
            <v>166.8</v>
          </cell>
        </row>
        <row r="225">
          <cell r="B225" t="str">
            <v>AVR259</v>
          </cell>
          <cell r="C225" t="str">
            <v>Thermal Overload Relay</v>
          </cell>
          <cell r="D225">
            <v>166.8</v>
          </cell>
        </row>
        <row r="226">
          <cell r="B226" t="str">
            <v>AVR261</v>
          </cell>
          <cell r="C226" t="str">
            <v>Thermal Overload Relay</v>
          </cell>
          <cell r="D226">
            <v>166.8</v>
          </cell>
        </row>
        <row r="227">
          <cell r="B227" t="str">
            <v>AVR263</v>
          </cell>
          <cell r="C227" t="str">
            <v>Thermal Overload Relay</v>
          </cell>
          <cell r="D227">
            <v>166.8</v>
          </cell>
        </row>
        <row r="228">
          <cell r="B228" t="str">
            <v>AVR380</v>
          </cell>
          <cell r="C228" t="str">
            <v>Thermal Overload Relay</v>
          </cell>
          <cell r="D228">
            <v>166.8</v>
          </cell>
        </row>
        <row r="229">
          <cell r="B229" t="str">
            <v>AVR381</v>
          </cell>
          <cell r="C229" t="str">
            <v>Thermal Overload Relay</v>
          </cell>
          <cell r="D229">
            <v>166.8</v>
          </cell>
        </row>
        <row r="230">
          <cell r="B230" t="str">
            <v>AVR382</v>
          </cell>
          <cell r="C230" t="str">
            <v>Thermal Overload Relay</v>
          </cell>
          <cell r="D230">
            <v>166.8</v>
          </cell>
        </row>
        <row r="231">
          <cell r="B231" t="str">
            <v>AVR383</v>
          </cell>
          <cell r="C231" t="str">
            <v>Thermal Overload Relay</v>
          </cell>
          <cell r="D231">
            <v>166.8</v>
          </cell>
        </row>
        <row r="232">
          <cell r="B232" t="str">
            <v>AVR384</v>
          </cell>
          <cell r="C232" t="str">
            <v>Thermal Overload Relay</v>
          </cell>
          <cell r="D232">
            <v>166.8</v>
          </cell>
        </row>
        <row r="233">
          <cell r="B233" t="str">
            <v>AVR385</v>
          </cell>
          <cell r="C233" t="str">
            <v>Thermal Overload Relay</v>
          </cell>
          <cell r="D233">
            <v>166.8</v>
          </cell>
        </row>
        <row r="234">
          <cell r="B234" t="str">
            <v>AVR386</v>
          </cell>
          <cell r="C234" t="str">
            <v>Thermal Overload Relay</v>
          </cell>
          <cell r="D234">
            <v>166.8</v>
          </cell>
        </row>
        <row r="235">
          <cell r="B235" t="str">
            <v>AVR387</v>
          </cell>
          <cell r="C235" t="str">
            <v>Thermal Overload Relay</v>
          </cell>
          <cell r="D235">
            <v>166.8</v>
          </cell>
        </row>
        <row r="236">
          <cell r="B236" t="str">
            <v>AVR388</v>
          </cell>
          <cell r="C236" t="str">
            <v>Thermal Overload Relay</v>
          </cell>
          <cell r="D236">
            <v>166.8</v>
          </cell>
        </row>
        <row r="237">
          <cell r="B237" t="str">
            <v>AVR389</v>
          </cell>
          <cell r="C237" t="str">
            <v>Thermal Overload Relay</v>
          </cell>
          <cell r="D237">
            <v>166.8</v>
          </cell>
        </row>
        <row r="238">
          <cell r="B238" t="str">
            <v>AVA11</v>
          </cell>
          <cell r="C238" t="str">
            <v>ADDON BLOCK 1NO+1NC</v>
          </cell>
          <cell r="D238">
            <v>200</v>
          </cell>
        </row>
        <row r="239">
          <cell r="B239" t="str">
            <v>AVA22</v>
          </cell>
          <cell r="C239" t="str">
            <v>ADDON BLOCK 2NO+2NC</v>
          </cell>
          <cell r="D239">
            <v>200</v>
          </cell>
        </row>
        <row r="240">
          <cell r="B240" t="str">
            <v>AVAA02</v>
          </cell>
          <cell r="C240" t="str">
            <v>ADDON BLOCK 2 NC</v>
          </cell>
          <cell r="D240">
            <v>200</v>
          </cell>
        </row>
        <row r="241">
          <cell r="B241" t="str">
            <v>AVAA04</v>
          </cell>
          <cell r="C241" t="str">
            <v>ADDON BLOCK 4NC</v>
          </cell>
          <cell r="D241">
            <v>200</v>
          </cell>
        </row>
        <row r="242">
          <cell r="B242" t="str">
            <v>AVAA11</v>
          </cell>
          <cell r="C242" t="str">
            <v>ADDON BLOCK 1NO+1NC</v>
          </cell>
          <cell r="D242">
            <v>200</v>
          </cell>
        </row>
        <row r="243">
          <cell r="B243" t="str">
            <v>AVAA13</v>
          </cell>
          <cell r="C243" t="str">
            <v>ADDON BLOCK 1NO+3NC</v>
          </cell>
          <cell r="D243">
            <v>200</v>
          </cell>
        </row>
        <row r="244">
          <cell r="B244" t="str">
            <v>AVAA20</v>
          </cell>
          <cell r="C244" t="str">
            <v>ADDON BLOCK 2 NO</v>
          </cell>
          <cell r="D244">
            <v>200</v>
          </cell>
        </row>
        <row r="245">
          <cell r="B245" t="str">
            <v>AVAA22</v>
          </cell>
          <cell r="C245" t="str">
            <v>ADDON BLOCK 2NO+2NC</v>
          </cell>
          <cell r="D245">
            <v>200</v>
          </cell>
        </row>
        <row r="246">
          <cell r="B246" t="str">
            <v>AVAA31</v>
          </cell>
          <cell r="C246" t="str">
            <v>ADDON BLOCK 3NO+1NC</v>
          </cell>
          <cell r="D246">
            <v>200</v>
          </cell>
        </row>
        <row r="247">
          <cell r="B247" t="str">
            <v>AVAA40</v>
          </cell>
          <cell r="C247" t="str">
            <v>ADDON BLOCK 4NO</v>
          </cell>
          <cell r="D247">
            <v>200</v>
          </cell>
        </row>
        <row r="248">
          <cell r="B248" t="str">
            <v>AVAAS11</v>
          </cell>
          <cell r="C248" t="str">
            <v>Axcont blck 100~400</v>
          </cell>
          <cell r="D248">
            <v>200</v>
          </cell>
        </row>
        <row r="249">
          <cell r="B249" t="str">
            <v>AVAC10</v>
          </cell>
          <cell r="C249" t="str">
            <v>SPARE MAIN CONTACT SET</v>
          </cell>
          <cell r="D249">
            <v>200</v>
          </cell>
        </row>
        <row r="250">
          <cell r="B250" t="str">
            <v>AVAC11</v>
          </cell>
          <cell r="C250" t="str">
            <v>SPARE MAIN CONTACT SET</v>
          </cell>
          <cell r="D250">
            <v>200</v>
          </cell>
        </row>
        <row r="251">
          <cell r="B251" t="str">
            <v>AVAC12</v>
          </cell>
          <cell r="C251" t="str">
            <v>SPARE MAIN CONTACT SET</v>
          </cell>
          <cell r="D251">
            <v>200</v>
          </cell>
        </row>
        <row r="252">
          <cell r="B252" t="str">
            <v>AVAC4</v>
          </cell>
          <cell r="C252" t="str">
            <v>SPARE MAIN CONTACT SET</v>
          </cell>
          <cell r="D252">
            <v>200</v>
          </cell>
        </row>
        <row r="253">
          <cell r="B253" t="str">
            <v>AVAC5</v>
          </cell>
          <cell r="C253" t="str">
            <v>SPARE MAIN CONTACT SET</v>
          </cell>
          <cell r="D253">
            <v>200</v>
          </cell>
        </row>
        <row r="254">
          <cell r="B254" t="str">
            <v>AVAC6</v>
          </cell>
          <cell r="C254" t="str">
            <v>SPARE MAIN CONTACT SET</v>
          </cell>
          <cell r="D254">
            <v>200</v>
          </cell>
        </row>
        <row r="255">
          <cell r="B255" t="str">
            <v>AVAC7</v>
          </cell>
          <cell r="C255" t="str">
            <v>SPARE MAIN CONTACT SET</v>
          </cell>
          <cell r="D255">
            <v>200</v>
          </cell>
        </row>
        <row r="256">
          <cell r="B256" t="str">
            <v>AVAC8</v>
          </cell>
          <cell r="C256" t="str">
            <v>SPARE MAIN CONTACT SET</v>
          </cell>
          <cell r="D256">
            <v>200</v>
          </cell>
        </row>
        <row r="257">
          <cell r="B257" t="str">
            <v>AVAC9</v>
          </cell>
          <cell r="C257" t="str">
            <v>SPARE MAIN CONTACT SET</v>
          </cell>
          <cell r="D257">
            <v>200</v>
          </cell>
        </row>
        <row r="258">
          <cell r="B258" t="str">
            <v>AVAMI3</v>
          </cell>
          <cell r="C258" t="str">
            <v>M/Interlock for AV1100</v>
          </cell>
          <cell r="D258">
            <v>200</v>
          </cell>
        </row>
        <row r="259">
          <cell r="B259" t="str">
            <v>AVAMI4</v>
          </cell>
          <cell r="C259" t="str">
            <v>M/Interlock for AV1150</v>
          </cell>
          <cell r="D259">
            <v>200</v>
          </cell>
        </row>
        <row r="260">
          <cell r="B260" t="str">
            <v>AVAMI5</v>
          </cell>
          <cell r="C260" t="str">
            <v>M/Interlock for AV1200</v>
          </cell>
          <cell r="D260">
            <v>200</v>
          </cell>
        </row>
        <row r="261">
          <cell r="B261" t="str">
            <v>AVAMI6</v>
          </cell>
          <cell r="C261" t="str">
            <v>M/Interlock forAV300/400</v>
          </cell>
          <cell r="D261">
            <v>200</v>
          </cell>
        </row>
        <row r="262">
          <cell r="B262" t="str">
            <v>AVAMI7</v>
          </cell>
          <cell r="C262" t="str">
            <v>M/Interlock forAV550/630</v>
          </cell>
          <cell r="D262">
            <v>200</v>
          </cell>
        </row>
        <row r="263">
          <cell r="B263" t="str">
            <v>AVASC3</v>
          </cell>
          <cell r="C263" t="str">
            <v>Surge suppressor AV1100</v>
          </cell>
          <cell r="D263">
            <v>200</v>
          </cell>
        </row>
        <row r="264">
          <cell r="B264" t="str">
            <v>AVASC4</v>
          </cell>
          <cell r="C264" t="str">
            <v>Surge suppressor AV1150</v>
          </cell>
          <cell r="D264">
            <v>200</v>
          </cell>
        </row>
        <row r="265">
          <cell r="B265" t="str">
            <v>AVASC5</v>
          </cell>
          <cell r="C265" t="str">
            <v>Surge suppressor AV1200</v>
          </cell>
          <cell r="D265">
            <v>200</v>
          </cell>
        </row>
        <row r="266">
          <cell r="B266" t="str">
            <v>AVASC6</v>
          </cell>
          <cell r="C266" t="str">
            <v>Surge suppressor AV1300</v>
          </cell>
          <cell r="D266">
            <v>200</v>
          </cell>
        </row>
        <row r="267">
          <cell r="B267" t="str">
            <v>AVASC7</v>
          </cell>
          <cell r="C267" t="str">
            <v>Surge suppressor AV1550</v>
          </cell>
          <cell r="D267">
            <v>200</v>
          </cell>
        </row>
        <row r="268">
          <cell r="B268" t="str">
            <v>AVAX1B5</v>
          </cell>
          <cell r="C268" t="str">
            <v>Spare coil 24VAC</v>
          </cell>
          <cell r="D268">
            <v>200</v>
          </cell>
        </row>
        <row r="269">
          <cell r="B269" t="str">
            <v>AVAX1E5</v>
          </cell>
          <cell r="C269" t="str">
            <v>Spare coil 48VAC</v>
          </cell>
          <cell r="D269">
            <v>200</v>
          </cell>
        </row>
        <row r="270">
          <cell r="B270" t="str">
            <v>AVAX1F5</v>
          </cell>
          <cell r="C270" t="str">
            <v>Spare coil 110VAC</v>
          </cell>
          <cell r="D270">
            <v>200</v>
          </cell>
        </row>
        <row r="271">
          <cell r="B271" t="str">
            <v>AVAX1M5</v>
          </cell>
          <cell r="C271" t="str">
            <v>Spare coil 220VAC</v>
          </cell>
          <cell r="D271">
            <v>200</v>
          </cell>
        </row>
        <row r="272">
          <cell r="B272" t="str">
            <v>AVAX1N5</v>
          </cell>
          <cell r="C272" t="str">
            <v>Spare coil 415VAC</v>
          </cell>
          <cell r="D272">
            <v>200</v>
          </cell>
        </row>
        <row r="273">
          <cell r="B273" t="str">
            <v>AVAX1U5</v>
          </cell>
          <cell r="C273" t="str">
            <v>Spare coil 240VAC</v>
          </cell>
          <cell r="D273">
            <v>200</v>
          </cell>
        </row>
        <row r="274">
          <cell r="B274" t="str">
            <v>AVAX2B5</v>
          </cell>
          <cell r="C274" t="str">
            <v>Spare coil 24VAC</v>
          </cell>
          <cell r="D274">
            <v>200</v>
          </cell>
        </row>
        <row r="275">
          <cell r="B275" t="str">
            <v>AVAX2BD</v>
          </cell>
          <cell r="C275" t="str">
            <v>Spare coil 220VDC</v>
          </cell>
          <cell r="D275">
            <v>200</v>
          </cell>
        </row>
        <row r="276">
          <cell r="B276" t="str">
            <v>AVAX2E5</v>
          </cell>
          <cell r="C276" t="str">
            <v>Spare coil 48VAC</v>
          </cell>
          <cell r="D276">
            <v>200</v>
          </cell>
        </row>
        <row r="277">
          <cell r="B277" t="str">
            <v>AVAX2ED</v>
          </cell>
          <cell r="C277" t="str">
            <v>Spare coil 48 VDC</v>
          </cell>
          <cell r="D277">
            <v>200</v>
          </cell>
        </row>
        <row r="278">
          <cell r="B278" t="str">
            <v>AVAX2F5</v>
          </cell>
          <cell r="C278" t="str">
            <v>Spare coil 110VAC</v>
          </cell>
          <cell r="D278">
            <v>200</v>
          </cell>
        </row>
        <row r="279">
          <cell r="B279" t="str">
            <v>AVAX2FD</v>
          </cell>
          <cell r="C279" t="str">
            <v>Spare coil 110V DC</v>
          </cell>
          <cell r="D279">
            <v>200</v>
          </cell>
        </row>
        <row r="280">
          <cell r="B280" t="str">
            <v>AVAX2KD</v>
          </cell>
          <cell r="C280" t="str">
            <v>Spare coil 60V DC</v>
          </cell>
          <cell r="D280">
            <v>200</v>
          </cell>
        </row>
        <row r="281">
          <cell r="B281" t="str">
            <v>AVAX2M5</v>
          </cell>
          <cell r="C281" t="str">
            <v>Spare Coil 220V AC</v>
          </cell>
          <cell r="D281">
            <v>200</v>
          </cell>
        </row>
        <row r="282">
          <cell r="B282" t="str">
            <v>AVAX2MD</v>
          </cell>
          <cell r="C282" t="str">
            <v>Spare coil 220V DC</v>
          </cell>
          <cell r="D282">
            <v>200</v>
          </cell>
        </row>
        <row r="283">
          <cell r="B283" t="str">
            <v>AVAX2N5</v>
          </cell>
          <cell r="C283" t="str">
            <v>Spare coil 415VAC</v>
          </cell>
          <cell r="D283">
            <v>200</v>
          </cell>
        </row>
        <row r="284">
          <cell r="B284" t="str">
            <v>AVAX2U5</v>
          </cell>
          <cell r="C284" t="str">
            <v>Spare coil 240VAC</v>
          </cell>
          <cell r="D284">
            <v>200</v>
          </cell>
        </row>
        <row r="285">
          <cell r="B285" t="str">
            <v>AVAX3BD</v>
          </cell>
          <cell r="C285" t="str">
            <v>Spare coil 24 V DC</v>
          </cell>
          <cell r="D285">
            <v>200</v>
          </cell>
        </row>
        <row r="286">
          <cell r="B286" t="str">
            <v>AVAX3ED</v>
          </cell>
          <cell r="C286" t="str">
            <v>Spare coil 48V DC</v>
          </cell>
          <cell r="D286">
            <v>200</v>
          </cell>
        </row>
        <row r="287">
          <cell r="B287" t="str">
            <v>AVAX3FD</v>
          </cell>
          <cell r="C287" t="str">
            <v>Spare coil 110 V DC</v>
          </cell>
          <cell r="D287">
            <v>200</v>
          </cell>
        </row>
        <row r="288">
          <cell r="B288" t="str">
            <v>AVAX3KD</v>
          </cell>
          <cell r="C288" t="str">
            <v>Spare coil 60 V DC</v>
          </cell>
          <cell r="D288">
            <v>200</v>
          </cell>
        </row>
        <row r="289">
          <cell r="B289" t="str">
            <v>AVAX3MD</v>
          </cell>
          <cell r="C289" t="str">
            <v>Spare coil 220VDC</v>
          </cell>
          <cell r="D289">
            <v>200</v>
          </cell>
        </row>
        <row r="290">
          <cell r="B290" t="str">
            <v>AVAX4B5</v>
          </cell>
          <cell r="C290" t="str">
            <v>SPARE COIL 24 V AC</v>
          </cell>
          <cell r="D290">
            <v>200</v>
          </cell>
        </row>
        <row r="291">
          <cell r="B291" t="str">
            <v>AVAX4E5</v>
          </cell>
          <cell r="C291" t="str">
            <v>SPARE COIL 48 V AC</v>
          </cell>
          <cell r="D291">
            <v>200</v>
          </cell>
        </row>
        <row r="292">
          <cell r="B292" t="str">
            <v>AVAX4F5</v>
          </cell>
          <cell r="C292" t="str">
            <v>SPARE COIL 110 V AC</v>
          </cell>
          <cell r="D292">
            <v>200</v>
          </cell>
        </row>
        <row r="293">
          <cell r="B293" t="str">
            <v>AVAX4M5</v>
          </cell>
          <cell r="C293" t="str">
            <v>SPARE COIL 220V AC</v>
          </cell>
          <cell r="D293">
            <v>200</v>
          </cell>
        </row>
        <row r="294">
          <cell r="B294" t="str">
            <v>AVAX4N5</v>
          </cell>
          <cell r="C294" t="str">
            <v>SPARE COIL 415 V AC</v>
          </cell>
          <cell r="D294">
            <v>200</v>
          </cell>
        </row>
        <row r="295">
          <cell r="B295" t="str">
            <v>AVAX4U5</v>
          </cell>
          <cell r="C295" t="str">
            <v>SPARE COIL 240 V AC</v>
          </cell>
          <cell r="D295">
            <v>200</v>
          </cell>
        </row>
        <row r="296">
          <cell r="B296" t="str">
            <v>AVAX5B5</v>
          </cell>
          <cell r="C296" t="str">
            <v>SPARE COIL 24 V AC</v>
          </cell>
          <cell r="D296">
            <v>200</v>
          </cell>
        </row>
        <row r="297">
          <cell r="B297" t="str">
            <v>AVAX5E5</v>
          </cell>
          <cell r="C297" t="str">
            <v>SPARE COIL 48 V AC</v>
          </cell>
          <cell r="D297">
            <v>200</v>
          </cell>
        </row>
        <row r="298">
          <cell r="B298" t="str">
            <v>AVAX5F5</v>
          </cell>
          <cell r="C298" t="str">
            <v>SPARE COIL 110 V AC</v>
          </cell>
          <cell r="D298">
            <v>200</v>
          </cell>
        </row>
        <row r="299">
          <cell r="B299" t="str">
            <v>AVAX5M5</v>
          </cell>
          <cell r="C299" t="str">
            <v>SPARE COIL 220V AC</v>
          </cell>
          <cell r="D299">
            <v>200</v>
          </cell>
        </row>
        <row r="300">
          <cell r="B300" t="str">
            <v>AVAX5N5</v>
          </cell>
          <cell r="C300" t="str">
            <v>SPARE COIL 415 V AC</v>
          </cell>
          <cell r="D300">
            <v>200</v>
          </cell>
        </row>
        <row r="301">
          <cell r="B301" t="str">
            <v>AVAX5U5</v>
          </cell>
          <cell r="C301" t="str">
            <v>SPARE COIL 240 V AC</v>
          </cell>
          <cell r="D301">
            <v>200</v>
          </cell>
        </row>
        <row r="302">
          <cell r="B302" t="str">
            <v>AVAX6B5</v>
          </cell>
          <cell r="C302" t="str">
            <v>SPARE COIL 24 V AC</v>
          </cell>
          <cell r="D302">
            <v>200</v>
          </cell>
        </row>
        <row r="303">
          <cell r="B303" t="str">
            <v>AVAX6E5</v>
          </cell>
          <cell r="C303" t="str">
            <v>SPARE COIL 48 V AC</v>
          </cell>
          <cell r="D303">
            <v>200</v>
          </cell>
        </row>
        <row r="304">
          <cell r="B304" t="str">
            <v>AVAX6F5</v>
          </cell>
          <cell r="C304" t="str">
            <v>SPARE COIL 110 V AC</v>
          </cell>
          <cell r="D304">
            <v>200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synthèse"/>
      <sheetName val="synthèse bis"/>
      <sheetName val="détail minor"/>
      <sheetName val="intercos"/>
      <sheetName val="marge stock"/>
      <sheetName val="lab norge"/>
      <sheetName val="devises"/>
      <sheetName val="officiel"/>
      <sheetName val="bank report"/>
      <sheetName val="EDC97"/>
      <sheetName val="DOC34"/>
      <sheetName val="Summ"/>
      <sheetName val="Sum-07"/>
      <sheetName val="Original"/>
      <sheetName val="Variance"/>
      <sheetName val="cost1"/>
      <sheetName val="Sum"/>
      <sheetName val="TABEL"/>
      <sheetName val="Summary"/>
      <sheetName val="WELCOME"/>
      <sheetName val="Summery 1"/>
      <sheetName val="Prod cost Analysis Mold SSIC"/>
      <sheetName val="detail"/>
      <sheetName val="Hoja1"/>
      <sheetName val="Entity List"/>
      <sheetName val="Liste Depense"/>
      <sheetName val="Ref"/>
      <sheetName val="Sheet1"/>
      <sheetName val="Break down adjustments"/>
      <sheetName val="Trad I"/>
      <sheetName val="report déc 2002"/>
      <sheetName val="B&amp;S31-03-04"/>
      <sheetName val="HOURLY"/>
      <sheetName val="Base Costs"/>
      <sheetName val="synthèse_bis"/>
      <sheetName val="détail_minor"/>
      <sheetName val="marge_stock"/>
      <sheetName val="lab_norge"/>
      <sheetName val="bank_report"/>
      <sheetName val="Prod_cost_Analysis_Mold_SSIC"/>
      <sheetName val="Summery_1"/>
      <sheetName val="Liste_Depense"/>
      <sheetName val="Trad_I"/>
      <sheetName val="report_déc_2002"/>
      <sheetName val="Entity_List"/>
      <sheetName val="Break_down_adjustments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YangTSE6"/>
      <sheetName val="Dashboard"/>
      <sheetName val="INDIC-04"/>
      <sheetName val="INDIC-08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Orders &amp; Sales YTD June as BR"/>
      <sheetName val="Orders By quarter as BR"/>
      <sheetName val="Gráfico1 (wo PEC) as BR"/>
      <sheetName val="Graph Growth as BR"/>
      <sheetName val="Detail by Activity as BR"/>
      <sheetName val="Delta Analysis  as BR"/>
      <sheetName val="P&amp;L Quarter as BR"/>
      <sheetName val="Orders &amp; Sales YTD June"/>
      <sheetName val="Orders By quarter"/>
      <sheetName val="Detail by Activity June YTD"/>
      <sheetName val="Delta Analysis YTD by country"/>
      <sheetName val="Delta Analysis YEF by country"/>
      <sheetName val="Delta Price YTD"/>
      <sheetName val="Delta Price YEF 2006"/>
      <sheetName val="Delta Price as BR"/>
      <sheetName val="delta price calc"/>
      <sheetName val="price realization by activity"/>
      <sheetName val="delta price graph"/>
      <sheetName val="OGOrders by act. and by country"/>
      <sheetName val="OGOrders by act. YEF"/>
      <sheetName val="P&amp;L YTD  June"/>
      <sheetName val="P&amp;L by country IIOD YTD"/>
      <sheetName val="P&amp;L H1 &amp; H2"/>
      <sheetName val="P&amp;L YEF"/>
      <sheetName val="P&amp;L YEF by Entity"/>
      <sheetName val="CCO P&amp;L June"/>
      <sheetName val="AOC Template"/>
      <sheetName val="AOC CCO"/>
      <sheetName val="Productivity"/>
      <sheetName val="CAPEX"/>
      <sheetName val="summary CCO Simulation"/>
      <sheetName val="CCO Simulation Global Picture"/>
      <sheetName val="cco simulation draft"/>
      <sheetName val="WC "/>
      <sheetName val="Inventory June 2006"/>
      <sheetName val="Inventory  IIOD"/>
      <sheetName val="Grafico Inventory"/>
      <sheetName val="DSO by country"/>
      <sheetName val="DSO Graphs "/>
      <sheetName val="IIOD basket"/>
      <sheetName val="basket detail by country"/>
      <sheetName val="aoc backup1"/>
      <sheetName val="aoc backup2"/>
      <sheetName val="Receivables Zones"/>
      <sheetName val="OG Sales with VAT"/>
      <sheetName val="curr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DDD_list"/>
      <sheetName val="Numeric&amp;NPI"/>
      <sheetName val="MCO"/>
      <sheetName val="2003_Jan"/>
      <sheetName val="2002_Dec"/>
      <sheetName val="2002_Nov"/>
      <sheetName val="2002_Oct"/>
      <sheetName val="2002_Sep"/>
      <sheetName val="2002_Aug"/>
      <sheetName val="2002_Jul"/>
      <sheetName val="2002_Jun"/>
      <sheetName val="2002_May"/>
      <sheetName val="2002_April"/>
      <sheetName val="2002_March"/>
      <sheetName val="2002_Feb"/>
      <sheetName val="2002_Jan"/>
      <sheetName val="2001_Dec"/>
      <sheetName val="2001_Nov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Suivi des Modifs"/>
      <sheetName val="Synthèse"/>
      <sheetName val="Quantités C1"/>
      <sheetName val="bin list-SAP (3)"/>
      <sheetName val="June"/>
      <sheetName val="RevisionRound1"/>
      <sheetName val="Ref"/>
      <sheetName val="Bench - KIR"/>
      <sheetName val="Imp Vs as on Dec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Suivi des Modifs"/>
      <sheetName val="nomenclature"/>
      <sheetName val="Synthèse"/>
      <sheetName val="Quantités C1"/>
    </sheetNames>
    <sheetDataSet>
      <sheetData sheetId="0"/>
      <sheetData sheetId="1"/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XXXXXX"/>
      <sheetName val="Exrate"/>
      <sheetName val="Mth-Vana2"/>
      <sheetName val="Ytd-Vana2"/>
      <sheetName val="Mth-Vana"/>
      <sheetName val="Ytd-Vana"/>
      <sheetName val="P&amp;L Carat"/>
      <sheetName val="Profit &amp; Loss"/>
      <sheetName val="Expenses"/>
      <sheetName val="Mgt Profit &amp; Loss"/>
      <sheetName val="Balance Sheet "/>
      <sheetName val="BS-Working"/>
      <sheetName val="Season-P&amp;L Full Year"/>
      <sheetName val="Season-Expense"/>
      <sheetName val="Season-P&amp;L"/>
      <sheetName val="Season-Expense Full Year"/>
      <sheetName val="NOWC"/>
      <sheetName val="Cash Flow "/>
      <sheetName val="bom"/>
      <sheetName val="forex"/>
      <sheetName val="Synthèse"/>
      <sheetName val="OUVE"/>
      <sheetName val="OUVC"/>
      <sheetName val="LANG"/>
      <sheetName val="Input"/>
      <sheetName val="summ"/>
      <sheetName val="P&amp;Lmay2000-2"/>
      <sheetName val="Sheet1"/>
      <sheetName val="INDIC-04"/>
      <sheetName val="détail 29-6"/>
      <sheetName val="Aseet1998"/>
      <sheetName val="P&amp;L_Carat"/>
      <sheetName val="Profit_&amp;_Loss"/>
      <sheetName val="Mgt_Profit_&amp;_Loss"/>
      <sheetName val="Balance_Sheet_"/>
      <sheetName val="Season-P&amp;L_Full_Year"/>
      <sheetName val="Season-Expense_Full_Year"/>
      <sheetName val="Cash_Flow_"/>
      <sheetName val="détail_29-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I12" t="e">
            <v>#DIV/0!</v>
          </cell>
        </row>
        <row r="15">
          <cell r="I15" t="e">
            <v>#DIV/0!</v>
          </cell>
        </row>
        <row r="24">
          <cell r="I24" t="e">
            <v>#N/A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OLD - Projects data"/>
      <sheetName val="New updated - Projects data (2)"/>
      <sheetName val="REVIEW"/>
      <sheetName val="New - Inv &amp; Exp Tracking"/>
    </sheetNames>
    <sheetDataSet>
      <sheetData sheetId="0"/>
      <sheetData sheetId="1" refreshError="1"/>
      <sheetData sheetId="2"/>
      <sheetData sheetId="3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NRE's"/>
      <sheetName val="INPUTS"/>
      <sheetName val="INPUTS-Specials"/>
      <sheetName val="OUTPUTS"/>
      <sheetName val="OUTPUTS-Override"/>
      <sheetName val=" P &amp; L"/>
      <sheetName val="P&amp;LDetail"/>
      <sheetName val="LaborDetail"/>
      <sheetName val="MaterialDetail"/>
      <sheetName val="WarrantyDetail"/>
      <sheetName val="REPORTING "/>
      <sheetName val="Sign Off and Approval Form"/>
      <sheetName val="Tables"/>
      <sheetName val="Modif Log"/>
    </sheetNames>
    <sheetDataSet>
      <sheetData sheetId="0"/>
      <sheetData sheetId="1">
        <row r="11">
          <cell r="C11" t="str">
            <v>AFCI &amp; GFCI</v>
          </cell>
        </row>
        <row r="12">
          <cell r="C12" t="str">
            <v>Phillippe Germain</v>
          </cell>
        </row>
        <row r="16">
          <cell r="C16" t="str">
            <v>A-05-0026-Q-C-SCH-01</v>
          </cell>
        </row>
        <row r="19">
          <cell r="B19" t="str">
            <v>Volume band</v>
          </cell>
          <cell r="D19" t="str">
            <v>VOL1</v>
          </cell>
          <cell r="E19" t="str">
            <v>VOL2</v>
          </cell>
          <cell r="F19" t="str">
            <v>VOL3</v>
          </cell>
          <cell r="G19" t="str">
            <v>VOL4</v>
          </cell>
          <cell r="H19" t="str">
            <v>VOL5</v>
          </cell>
          <cell r="I19" t="str">
            <v>VOL6</v>
          </cell>
        </row>
        <row r="20">
          <cell r="A20">
            <v>2</v>
          </cell>
          <cell r="B20" t="str">
            <v>Customer PN</v>
          </cell>
          <cell r="D20" t="str">
            <v>48155-437-50 GFCI</v>
          </cell>
          <cell r="E20" t="str">
            <v>48155-437-50 GFCI</v>
          </cell>
          <cell r="F20" t="str">
            <v>48155-438-50 AFCI</v>
          </cell>
          <cell r="G20" t="str">
            <v>48155-438-50 AFCI</v>
          </cell>
          <cell r="H20" t="str">
            <v xml:space="preserve"> </v>
          </cell>
          <cell r="I20" t="str">
            <v xml:space="preserve"> </v>
          </cell>
        </row>
        <row r="21">
          <cell r="A21">
            <v>3</v>
          </cell>
          <cell r="B21" t="str">
            <v>Production site</v>
          </cell>
          <cell r="D21" t="str">
            <v>Batam</v>
          </cell>
          <cell r="E21" t="str">
            <v>Batam</v>
          </cell>
          <cell r="F21" t="str">
            <v>Batam</v>
          </cell>
          <cell r="G21" t="str">
            <v>Batam</v>
          </cell>
          <cell r="H21" t="str">
            <v>Bordeaux</v>
          </cell>
          <cell r="I21" t="str">
            <v>Bordeaux</v>
          </cell>
        </row>
        <row r="22">
          <cell r="B22" t="str">
            <v>Ship to location</v>
          </cell>
          <cell r="D22" t="str">
            <v>Ex-factory</v>
          </cell>
          <cell r="E22" t="str">
            <v>Ex-factory</v>
          </cell>
          <cell r="F22" t="str">
            <v>Ex-factory</v>
          </cell>
          <cell r="G22" t="str">
            <v>Ex-factory</v>
          </cell>
          <cell r="H22" t="str">
            <v xml:space="preserve"> </v>
          </cell>
          <cell r="I22" t="str">
            <v xml:space="preserve"> </v>
          </cell>
        </row>
        <row r="23">
          <cell r="A23">
            <v>5</v>
          </cell>
          <cell r="B23" t="str">
            <v>Annual volume</v>
          </cell>
          <cell r="D23">
            <v>300000</v>
          </cell>
          <cell r="E23">
            <v>600000</v>
          </cell>
          <cell r="F23">
            <v>1500000</v>
          </cell>
          <cell r="G23">
            <v>2000000</v>
          </cell>
          <cell r="H23">
            <v>1</v>
          </cell>
          <cell r="I23">
            <v>1</v>
          </cell>
        </row>
        <row r="25">
          <cell r="B25" t="str">
            <v>MATERIAL Section</v>
          </cell>
        </row>
        <row r="26">
          <cell r="B26" t="str">
            <v>Turnkey</v>
          </cell>
        </row>
        <row r="27">
          <cell r="A27">
            <v>9</v>
          </cell>
          <cell r="B27" t="str">
            <v xml:space="preserve">RM Cost (Turnkey) </v>
          </cell>
          <cell r="C27" t="str">
            <v>USD</v>
          </cell>
          <cell r="D27">
            <v>2.9980450199999997</v>
          </cell>
          <cell r="E27">
            <v>2.9928950199999997</v>
          </cell>
          <cell r="F27">
            <v>4.2412718800000029</v>
          </cell>
          <cell r="G27">
            <v>4.2361218800000033</v>
          </cell>
          <cell r="H27">
            <v>1</v>
          </cell>
          <cell r="I27">
            <v>1</v>
          </cell>
        </row>
        <row r="28">
          <cell r="B28" t="str">
            <v>RPPV</v>
          </cell>
          <cell r="C28" t="str">
            <v>% of RM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B29" t="str">
            <v>Number of Line Items (Turnkey)</v>
          </cell>
          <cell r="D29">
            <v>28</v>
          </cell>
          <cell r="E29">
            <v>28</v>
          </cell>
          <cell r="F29">
            <v>45</v>
          </cell>
          <cell r="G29">
            <v>45</v>
          </cell>
          <cell r="H29">
            <v>1</v>
          </cell>
          <cell r="I29">
            <v>1</v>
          </cell>
        </row>
        <row r="30">
          <cell r="B30" t="str">
            <v>DPO</v>
          </cell>
          <cell r="C30" t="str">
            <v>days</v>
          </cell>
          <cell r="D30">
            <v>45</v>
          </cell>
          <cell r="E30">
            <v>45</v>
          </cell>
          <cell r="F30">
            <v>45</v>
          </cell>
          <cell r="G30">
            <v>45</v>
          </cell>
          <cell r="H30">
            <v>45</v>
          </cell>
          <cell r="I30">
            <v>45</v>
          </cell>
        </row>
        <row r="32">
          <cell r="B32" t="str">
            <v>Consigned</v>
          </cell>
        </row>
        <row r="33">
          <cell r="A33">
            <v>15</v>
          </cell>
          <cell r="B33" t="str">
            <v>RM Cost (Consigned)</v>
          </cell>
          <cell r="C33" t="str">
            <v>USD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B34" t="str">
            <v>Number of Line Items (Consigned)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</row>
        <row r="35">
          <cell r="D35" t="str">
            <v xml:space="preserve"> </v>
          </cell>
          <cell r="E35" t="str">
            <v xml:space="preserve"> </v>
          </cell>
          <cell r="F35" t="str">
            <v xml:space="preserve"> </v>
          </cell>
          <cell r="G35" t="str">
            <v xml:space="preserve"> </v>
          </cell>
          <cell r="H35" t="str">
            <v xml:space="preserve"> </v>
          </cell>
          <cell r="I35" t="str">
            <v xml:space="preserve"> </v>
          </cell>
        </row>
        <row r="36">
          <cell r="B36" t="str">
            <v>Finished goods</v>
          </cell>
        </row>
        <row r="37">
          <cell r="B37" t="str">
            <v xml:space="preserve">Number of shipments </v>
          </cell>
          <cell r="C37" t="str">
            <v>monthly</v>
          </cell>
          <cell r="D37">
            <v>4</v>
          </cell>
          <cell r="E37">
            <v>4</v>
          </cell>
          <cell r="F37">
            <v>4</v>
          </cell>
          <cell r="G37">
            <v>4</v>
          </cell>
          <cell r="H37">
            <v>4</v>
          </cell>
          <cell r="I37">
            <v>4</v>
          </cell>
        </row>
        <row r="38">
          <cell r="B38" t="str">
            <v>Std Packaging Mtl Cost (if 0 default used)</v>
          </cell>
          <cell r="C38" t="str">
            <v>USD</v>
          </cell>
          <cell r="D38">
            <v>9.9999999999999995E-8</v>
          </cell>
          <cell r="E38">
            <v>9.9999999999999995E-8</v>
          </cell>
          <cell r="F38">
            <v>9.9999999999999995E-8</v>
          </cell>
          <cell r="G38">
            <v>9.9999999999999995E-8</v>
          </cell>
          <cell r="H38">
            <v>0</v>
          </cell>
          <cell r="I38">
            <v>0</v>
          </cell>
          <cell r="J38" t="str">
            <v>Quote without packaging material cost</v>
          </cell>
        </row>
        <row r="39">
          <cell r="B39" t="str">
            <v>Outbound F&amp;D</v>
          </cell>
          <cell r="C39" t="str">
            <v>USD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</row>
        <row r="40">
          <cell r="B40" t="str">
            <v>Transportation Packaging Mtl Cost</v>
          </cell>
          <cell r="C40" t="str">
            <v>USD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A41">
            <v>23</v>
          </cell>
          <cell r="B41" t="str">
            <v>DSO</v>
          </cell>
          <cell r="C41" t="str">
            <v>days</v>
          </cell>
          <cell r="D41">
            <v>30</v>
          </cell>
          <cell r="E41">
            <v>30</v>
          </cell>
          <cell r="F41">
            <v>30</v>
          </cell>
          <cell r="G41">
            <v>30</v>
          </cell>
          <cell r="H41">
            <v>30</v>
          </cell>
          <cell r="I41">
            <v>30</v>
          </cell>
        </row>
        <row r="43">
          <cell r="B43" t="str">
            <v>STANDARD PROCESS Section</v>
          </cell>
        </row>
        <row r="44">
          <cell r="B44" t="str">
            <v>SMT components</v>
          </cell>
          <cell r="C44" t="str">
            <v># per board</v>
          </cell>
          <cell r="D44">
            <v>31</v>
          </cell>
          <cell r="E44">
            <v>31</v>
          </cell>
          <cell r="F44">
            <v>57</v>
          </cell>
          <cell r="G44">
            <v>57</v>
          </cell>
          <cell r="H44">
            <v>1</v>
          </cell>
          <cell r="I44">
            <v>1</v>
          </cell>
        </row>
        <row r="45">
          <cell r="B45" t="str">
            <v>Number of SMT Line Items (if 0 default used)</v>
          </cell>
          <cell r="D45">
            <v>23</v>
          </cell>
          <cell r="E45">
            <v>23</v>
          </cell>
          <cell r="F45">
            <v>38</v>
          </cell>
          <cell r="G45">
            <v>38</v>
          </cell>
          <cell r="H45">
            <v>0</v>
          </cell>
          <cell r="I45">
            <v>0</v>
          </cell>
        </row>
        <row r="47">
          <cell r="B47" t="str">
            <v>Single/Double Sided SMT</v>
          </cell>
          <cell r="C47" t="str">
            <v>Single</v>
          </cell>
          <cell r="D47" t="str">
            <v>Single</v>
          </cell>
          <cell r="E47" t="str">
            <v>Single</v>
          </cell>
          <cell r="F47" t="str">
            <v>Single</v>
          </cell>
          <cell r="G47" t="str">
            <v>Single</v>
          </cell>
          <cell r="H47" t="str">
            <v>Single</v>
          </cell>
          <cell r="I47" t="str">
            <v>Single</v>
          </cell>
        </row>
        <row r="48">
          <cell r="B48" t="str">
            <v>Solder Paste</v>
          </cell>
          <cell r="C48" t="str">
            <v>Standard</v>
          </cell>
          <cell r="D48" t="str">
            <v>Standard</v>
          </cell>
          <cell r="E48" t="str">
            <v>Standard</v>
          </cell>
          <cell r="F48" t="str">
            <v>Standard</v>
          </cell>
          <cell r="G48" t="str">
            <v>Standard</v>
          </cell>
          <cell r="H48" t="str">
            <v>Standard</v>
          </cell>
          <cell r="I48" t="str">
            <v>Standard</v>
          </cell>
        </row>
        <row r="50">
          <cell r="B50" t="str">
            <v>Hand Load components</v>
          </cell>
          <cell r="C50" t="str">
            <v># per board</v>
          </cell>
          <cell r="D50">
            <v>3</v>
          </cell>
          <cell r="E50">
            <v>3</v>
          </cell>
          <cell r="F50">
            <v>4</v>
          </cell>
          <cell r="G50">
            <v>4</v>
          </cell>
          <cell r="H50">
            <v>0</v>
          </cell>
          <cell r="I50">
            <v>0</v>
          </cell>
        </row>
        <row r="51">
          <cell r="B51" t="str">
            <v>Handload Time Time (if 0 default used)</v>
          </cell>
          <cell r="C51" t="str">
            <v>minutes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3">
          <cell r="B53" t="str">
            <v>Mechanical components</v>
          </cell>
          <cell r="C53" t="str">
            <v># per board</v>
          </cell>
          <cell r="D53">
            <v>1</v>
          </cell>
          <cell r="E53">
            <v>1</v>
          </cell>
          <cell r="F53">
            <v>1</v>
          </cell>
          <cell r="G53">
            <v>1</v>
          </cell>
          <cell r="H53">
            <v>0</v>
          </cell>
          <cell r="I53">
            <v>0</v>
          </cell>
          <cell r="J53" t="str">
            <v>Lable, cost included in BOM</v>
          </cell>
        </row>
        <row r="54">
          <cell r="B54" t="str">
            <v>Mech. Assy Time (if 0 default used)</v>
          </cell>
          <cell r="C54" t="str">
            <v>minutes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6">
          <cell r="B56" t="str">
            <v>Test Strategy:</v>
          </cell>
          <cell r="D56" t="str">
            <v>Standard ICT</v>
          </cell>
          <cell r="E56" t="str">
            <v>Standard ICT</v>
          </cell>
          <cell r="F56" t="str">
            <v>Standard ICT</v>
          </cell>
          <cell r="G56" t="str">
            <v>Standard ICT</v>
          </cell>
          <cell r="H56" t="str">
            <v>Standard ICT</v>
          </cell>
          <cell r="I56" t="str">
            <v>Standard ICT</v>
          </cell>
          <cell r="J56" t="str">
            <v>GFCI - 26 sec ICT</v>
          </cell>
        </row>
        <row r="57">
          <cell r="B57" t="str">
            <v>Customer ICT time (if 0 default used)</v>
          </cell>
          <cell r="C57" t="str">
            <v>minutes</v>
          </cell>
          <cell r="D57">
            <v>0.43333333333333335</v>
          </cell>
          <cell r="E57">
            <v>0.43333333333333335</v>
          </cell>
          <cell r="F57">
            <v>0.2</v>
          </cell>
          <cell r="G57">
            <v>0.2</v>
          </cell>
          <cell r="H57">
            <v>0</v>
          </cell>
          <cell r="I57">
            <v>0</v>
          </cell>
          <cell r="J57" t="str">
            <v>AFCI - 12 sec ICT</v>
          </cell>
        </row>
        <row r="58">
          <cell r="B58" t="str">
            <v>Customer Repair time (if 0 default used)</v>
          </cell>
          <cell r="C58" t="str">
            <v>minutes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B59" t="str">
            <v>Panelized test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</row>
        <row r="61">
          <cell r="B61" t="str">
            <v>Functionnal Test</v>
          </cell>
          <cell r="C61" t="str">
            <v>Y/Y</v>
          </cell>
          <cell r="D61" t="str">
            <v>Y</v>
          </cell>
          <cell r="E61" t="str">
            <v>Y</v>
          </cell>
          <cell r="F61" t="str">
            <v>Y</v>
          </cell>
          <cell r="G61" t="str">
            <v>Y</v>
          </cell>
          <cell r="H61" t="str">
            <v>N</v>
          </cell>
          <cell r="I61" t="str">
            <v>N</v>
          </cell>
        </row>
        <row r="62">
          <cell r="B62" t="str">
            <v xml:space="preserve">FCT Tester Cost </v>
          </cell>
          <cell r="C62" t="str">
            <v>USD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B63" t="str">
            <v>Amortization period (if 0 not amortized)</v>
          </cell>
          <cell r="C63" t="str">
            <v>0-5 years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B64" t="str">
            <v>Customer FCT time (if 0 default used)</v>
          </cell>
          <cell r="C64" t="str">
            <v>minutes</v>
          </cell>
          <cell r="D64">
            <v>2.4999999999999998E-2</v>
          </cell>
          <cell r="E64">
            <v>2.4999999999999998E-2</v>
          </cell>
          <cell r="F64">
            <v>0.58333333333333337</v>
          </cell>
          <cell r="G64">
            <v>0.58333333333333337</v>
          </cell>
          <cell r="H64">
            <v>0</v>
          </cell>
          <cell r="I64">
            <v>0</v>
          </cell>
          <cell r="J64" t="str">
            <v>GFCI - 21 sec (sampling at 2 out of 28 assy)</v>
          </cell>
        </row>
        <row r="65">
          <cell r="B65" t="str">
            <v>Customer Repair time (if 0 default used)</v>
          </cell>
          <cell r="C65" t="str">
            <v>minutes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 t="str">
            <v>AFCI - 35 sec</v>
          </cell>
        </row>
      </sheetData>
      <sheetData sheetId="2">
        <row r="10">
          <cell r="B10" t="str">
            <v>Volume band</v>
          </cell>
          <cell r="D10" t="str">
            <v>VOL1</v>
          </cell>
          <cell r="E10" t="str">
            <v>VOL2</v>
          </cell>
          <cell r="F10" t="str">
            <v>VOL3</v>
          </cell>
          <cell r="G10" t="str">
            <v>VOL4</v>
          </cell>
          <cell r="H10" t="str">
            <v>VOL5</v>
          </cell>
          <cell r="I10" t="str">
            <v>VOL6</v>
          </cell>
        </row>
        <row r="11">
          <cell r="B11" t="str">
            <v>Customer PN</v>
          </cell>
          <cell r="D11" t="str">
            <v>48155-437-50 GFCI</v>
          </cell>
          <cell r="E11" t="str">
            <v>48155-437-50 GFCI</v>
          </cell>
          <cell r="F11" t="str">
            <v>48155-438-50 AFCI</v>
          </cell>
          <cell r="G11" t="str">
            <v>48155-438-50 AFCI</v>
          </cell>
          <cell r="H11" t="str">
            <v xml:space="preserve"> </v>
          </cell>
          <cell r="I11" t="str">
            <v xml:space="preserve"> </v>
          </cell>
        </row>
        <row r="13">
          <cell r="B13" t="str">
            <v>UNIQUE PROCESSES Section (with common equipments)</v>
          </cell>
        </row>
        <row r="14">
          <cell r="B14" t="str">
            <v>2D X-RAY</v>
          </cell>
          <cell r="D14" t="str">
            <v>N</v>
          </cell>
          <cell r="E14" t="str">
            <v>N</v>
          </cell>
          <cell r="F14" t="str">
            <v>N</v>
          </cell>
          <cell r="G14" t="str">
            <v>N</v>
          </cell>
          <cell r="H14" t="str">
            <v>N</v>
          </cell>
          <cell r="I14" t="str">
            <v>N</v>
          </cell>
        </row>
        <row r="15">
          <cell r="B15" t="str">
            <v>SAMPLING RATIO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B16" t="str">
            <v>CYCLE TIME : if 0 default used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B17" t="str">
            <v>3D X-RAY</v>
          </cell>
          <cell r="D17" t="str">
            <v>N</v>
          </cell>
          <cell r="E17" t="str">
            <v>N</v>
          </cell>
          <cell r="F17" t="str">
            <v>N</v>
          </cell>
          <cell r="G17" t="str">
            <v>N</v>
          </cell>
          <cell r="H17" t="str">
            <v>N</v>
          </cell>
          <cell r="I17" t="str">
            <v>N</v>
          </cell>
        </row>
        <row r="18">
          <cell r="B18" t="str">
            <v>SAMPLING RATIO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B19" t="str">
            <v>CYCLE TIME : if 0 default used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0">
          <cell r="B20" t="str">
            <v>Auto-Inserter</v>
          </cell>
          <cell r="D20" t="str">
            <v>N</v>
          </cell>
          <cell r="E20" t="str">
            <v>N</v>
          </cell>
          <cell r="F20" t="str">
            <v>N</v>
          </cell>
          <cell r="G20" t="str">
            <v>N</v>
          </cell>
          <cell r="H20" t="str">
            <v>N</v>
          </cell>
          <cell r="I20" t="str">
            <v>N</v>
          </cell>
        </row>
        <row r="21">
          <cell r="B21" t="str">
            <v>NUMBER of PARTS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B22" t="str">
            <v>Auto-visualInspection</v>
          </cell>
          <cell r="D22" t="str">
            <v>N</v>
          </cell>
          <cell r="E22" t="str">
            <v>N</v>
          </cell>
          <cell r="F22" t="str">
            <v>N</v>
          </cell>
          <cell r="G22" t="str">
            <v>N</v>
          </cell>
          <cell r="H22" t="str">
            <v>N</v>
          </cell>
          <cell r="I22" t="str">
            <v>N</v>
          </cell>
        </row>
        <row r="23">
          <cell r="B23" t="str">
            <v>SAMPLING RATIO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B24" t="str">
            <v>CYCLE TIME : if 0 default used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B25" t="str">
            <v>BGA Rework</v>
          </cell>
          <cell r="D25" t="str">
            <v>N</v>
          </cell>
          <cell r="E25" t="str">
            <v>N</v>
          </cell>
          <cell r="F25" t="str">
            <v>N</v>
          </cell>
          <cell r="G25" t="str">
            <v>N</v>
          </cell>
          <cell r="H25" t="str">
            <v>N</v>
          </cell>
          <cell r="I25" t="str">
            <v>N</v>
          </cell>
        </row>
        <row r="26">
          <cell r="B26" t="str">
            <v>YIELD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</row>
        <row r="27">
          <cell r="B27" t="str">
            <v>REPAIR TIME : if 0 default used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B28" t="str">
            <v># of BGA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B29" t="str">
            <v xml:space="preserve">Burn In </v>
          </cell>
          <cell r="D29" t="str">
            <v>N</v>
          </cell>
          <cell r="E29" t="str">
            <v>N</v>
          </cell>
          <cell r="F29" t="str">
            <v>N</v>
          </cell>
          <cell r="G29" t="str">
            <v>N</v>
          </cell>
          <cell r="H29" t="str">
            <v>N</v>
          </cell>
          <cell r="I29" t="str">
            <v>N</v>
          </cell>
        </row>
        <row r="30">
          <cell r="B30" t="str">
            <v>NUMBER of BOARD per batch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B31" t="str">
            <v>CYCLE TIME : if 0 default used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</row>
        <row r="32">
          <cell r="B32" t="str">
            <v>Conformal Coater</v>
          </cell>
          <cell r="D32" t="str">
            <v>Y</v>
          </cell>
          <cell r="E32" t="str">
            <v>Y</v>
          </cell>
          <cell r="F32" t="str">
            <v>Y</v>
          </cell>
          <cell r="G32" t="str">
            <v>Y</v>
          </cell>
          <cell r="H32">
            <v>0</v>
          </cell>
          <cell r="I32">
            <v>0</v>
          </cell>
        </row>
        <row r="33">
          <cell r="B33" t="str">
            <v>CYCLE TIME : if 0 default used</v>
          </cell>
          <cell r="D33">
            <v>0.96083333333333332</v>
          </cell>
          <cell r="E33">
            <v>0.96083333333333332</v>
          </cell>
          <cell r="F33">
            <v>1.1333333333333333</v>
          </cell>
          <cell r="G33">
            <v>1.1333333333333333</v>
          </cell>
          <cell r="H33">
            <v>0</v>
          </cell>
          <cell r="I33">
            <v>0</v>
          </cell>
        </row>
        <row r="34">
          <cell r="B34" t="str">
            <v>SUPPLIES : $ per board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</row>
        <row r="35">
          <cell r="B35" t="str">
            <v>Depanalizer(router)</v>
          </cell>
          <cell r="D35" t="str">
            <v>Y</v>
          </cell>
          <cell r="E35" t="str">
            <v>Y</v>
          </cell>
          <cell r="F35" t="str">
            <v>Y</v>
          </cell>
          <cell r="G35" t="str">
            <v>Y</v>
          </cell>
          <cell r="H35" t="str">
            <v>N</v>
          </cell>
          <cell r="I35" t="str">
            <v>N</v>
          </cell>
        </row>
        <row r="36">
          <cell r="B36" t="str">
            <v>NUMBER of BOARD per panel</v>
          </cell>
          <cell r="D36">
            <v>20</v>
          </cell>
          <cell r="E36">
            <v>20</v>
          </cell>
          <cell r="F36">
            <v>20</v>
          </cell>
          <cell r="G36">
            <v>20</v>
          </cell>
          <cell r="H36">
            <v>0</v>
          </cell>
          <cell r="I36">
            <v>0</v>
          </cell>
        </row>
        <row r="37">
          <cell r="B37" t="str">
            <v>CYCLE TIME : if 0 default used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B38" t="str">
            <v>Flying Probe</v>
          </cell>
          <cell r="D38" t="str">
            <v>N</v>
          </cell>
          <cell r="E38" t="str">
            <v>N</v>
          </cell>
          <cell r="F38" t="str">
            <v>N</v>
          </cell>
          <cell r="G38" t="str">
            <v>N</v>
          </cell>
          <cell r="H38" t="str">
            <v>N</v>
          </cell>
          <cell r="I38" t="str">
            <v>N</v>
          </cell>
        </row>
        <row r="39">
          <cell r="B39" t="str">
            <v>YIELD, if omitted 100% repaired</v>
          </cell>
          <cell r="D39">
            <v>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</row>
        <row r="40">
          <cell r="B40" t="str">
            <v>CYCLE TIME : if 0 default used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B41" t="str">
            <v>Glue Dispenser</v>
          </cell>
          <cell r="D41" t="str">
            <v>N</v>
          </cell>
          <cell r="E41" t="str">
            <v>N</v>
          </cell>
          <cell r="F41" t="str">
            <v>N</v>
          </cell>
          <cell r="G41" t="str">
            <v>N</v>
          </cell>
          <cell r="H41" t="str">
            <v>N</v>
          </cell>
          <cell r="I41" t="str">
            <v>N</v>
          </cell>
        </row>
        <row r="42">
          <cell r="B42" t="str">
            <v>LeaseholdImprove</v>
          </cell>
          <cell r="D42" t="str">
            <v>N</v>
          </cell>
          <cell r="E42" t="str">
            <v>N</v>
          </cell>
          <cell r="F42" t="str">
            <v>N</v>
          </cell>
          <cell r="G42" t="str">
            <v>N</v>
          </cell>
          <cell r="H42" t="str">
            <v>N</v>
          </cell>
          <cell r="I42" t="str">
            <v>N</v>
          </cell>
        </row>
        <row r="43">
          <cell r="B43" t="str">
            <v>Misc process I</v>
          </cell>
          <cell r="D43" t="str">
            <v>Y</v>
          </cell>
          <cell r="E43" t="str">
            <v>Y</v>
          </cell>
          <cell r="F43" t="str">
            <v>Y</v>
          </cell>
          <cell r="G43" t="str">
            <v>Y</v>
          </cell>
          <cell r="H43" t="str">
            <v>N</v>
          </cell>
          <cell r="I43" t="str">
            <v>N</v>
          </cell>
        </row>
        <row r="44">
          <cell r="B44" t="str">
            <v xml:space="preserve">CYCLE TIME </v>
          </cell>
          <cell r="D44">
            <v>4</v>
          </cell>
          <cell r="E44">
            <v>4</v>
          </cell>
          <cell r="F44">
            <v>4</v>
          </cell>
          <cell r="G44">
            <v>4</v>
          </cell>
          <cell r="H44">
            <v>0</v>
          </cell>
          <cell r="I44">
            <v>0</v>
          </cell>
        </row>
        <row r="45">
          <cell r="B45" t="str">
            <v>SUPPLIES : $ per board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B46" t="str">
            <v>EQT COST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B47" t="str">
            <v>Misc process II</v>
          </cell>
          <cell r="D47" t="str">
            <v>N</v>
          </cell>
          <cell r="E47" t="str">
            <v>N</v>
          </cell>
          <cell r="F47" t="str">
            <v>N</v>
          </cell>
          <cell r="G47" t="str">
            <v>N</v>
          </cell>
          <cell r="H47" t="str">
            <v>N</v>
          </cell>
          <cell r="I47" t="str">
            <v>N</v>
          </cell>
        </row>
        <row r="48">
          <cell r="B48" t="str">
            <v xml:space="preserve">CYCLE TIME 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B49" t="str">
            <v>SUPPLIES : $ per board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B50" t="str">
            <v>EQT COST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B51" t="str">
            <v>Misc process III</v>
          </cell>
          <cell r="D51" t="str">
            <v>N</v>
          </cell>
          <cell r="E51" t="str">
            <v>N</v>
          </cell>
          <cell r="F51" t="str">
            <v>N</v>
          </cell>
          <cell r="G51" t="str">
            <v>N</v>
          </cell>
          <cell r="H51" t="str">
            <v>N</v>
          </cell>
          <cell r="I51" t="str">
            <v>N</v>
          </cell>
        </row>
        <row r="52">
          <cell r="B52" t="str">
            <v xml:space="preserve">CYCLE TIME 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B53" t="str">
            <v>SUPPLIES : $ per board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B54" t="str">
            <v>EQT COST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B55" t="str">
            <v>Press Fit</v>
          </cell>
          <cell r="D55" t="str">
            <v>N</v>
          </cell>
          <cell r="E55" t="str">
            <v>N</v>
          </cell>
          <cell r="F55" t="str">
            <v>N</v>
          </cell>
          <cell r="G55" t="str">
            <v>N</v>
          </cell>
          <cell r="H55" t="str">
            <v>N</v>
          </cell>
          <cell r="I55" t="str">
            <v>N</v>
          </cell>
        </row>
        <row r="56">
          <cell r="B56" t="str">
            <v>NUMBER of CONNECTOR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B57" t="str">
            <v>CYCLE TIME : if 0 default used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B58" t="str">
            <v>Underfill</v>
          </cell>
          <cell r="D58" t="str">
            <v>N</v>
          </cell>
          <cell r="E58" t="str">
            <v>N</v>
          </cell>
          <cell r="F58" t="str">
            <v>N</v>
          </cell>
          <cell r="G58" t="str">
            <v>N</v>
          </cell>
          <cell r="H58" t="str">
            <v>N</v>
          </cell>
          <cell r="I58" t="str">
            <v>N</v>
          </cell>
        </row>
        <row r="59">
          <cell r="B59" t="str">
            <v>CYCLE TIME : if 0 default used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B60" t="str">
            <v>SUPPLIES : $ per board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B61" t="str">
            <v>Wire Soldering</v>
          </cell>
          <cell r="D61" t="str">
            <v>Y</v>
          </cell>
          <cell r="E61" t="str">
            <v>Y</v>
          </cell>
          <cell r="F61" t="str">
            <v>Y</v>
          </cell>
          <cell r="G61" t="str">
            <v>Y</v>
          </cell>
          <cell r="H61" t="str">
            <v>N</v>
          </cell>
          <cell r="I61" t="str">
            <v>N</v>
          </cell>
        </row>
        <row r="62">
          <cell r="B62" t="str">
            <v>NUMBER of WIRE</v>
          </cell>
          <cell r="D62">
            <v>2</v>
          </cell>
          <cell r="E62">
            <v>2</v>
          </cell>
          <cell r="F62">
            <v>2</v>
          </cell>
          <cell r="G62">
            <v>2</v>
          </cell>
          <cell r="H62">
            <v>0</v>
          </cell>
          <cell r="I62">
            <v>0</v>
          </cell>
        </row>
        <row r="63">
          <cell r="B63" t="str">
            <v>CYCLE TIME : if 0 default used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</row>
        <row r="65">
          <cell r="B65" t="str">
            <v>SPECIFIC PROCESS Section (with non shareable equipments)</v>
          </cell>
        </row>
        <row r="66">
          <cell r="B66" t="str">
            <v>Other</v>
          </cell>
          <cell r="C66" t="str">
            <v>Y/N</v>
          </cell>
          <cell r="D66" t="str">
            <v>N</v>
          </cell>
          <cell r="E66" t="str">
            <v>N</v>
          </cell>
          <cell r="F66" t="str">
            <v>N</v>
          </cell>
          <cell r="G66" t="str">
            <v>N</v>
          </cell>
          <cell r="H66" t="str">
            <v>N</v>
          </cell>
          <cell r="I66" t="str">
            <v>N</v>
          </cell>
        </row>
        <row r="67">
          <cell r="B67" t="str">
            <v>Other Equipement Cost (total)</v>
          </cell>
          <cell r="C67" t="str">
            <v>USD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B68" t="str">
            <v>Amortization period (if 0 not amortized)</v>
          </cell>
          <cell r="C68" t="str">
            <v>0-5 years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B69" t="str">
            <v>Cycle Time (total)</v>
          </cell>
          <cell r="C69" t="str">
            <v>minutes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1">
          <cell r="B71" t="str">
            <v>Brazil Special Section</v>
          </cell>
        </row>
        <row r="72">
          <cell r="A72">
            <v>63</v>
          </cell>
          <cell r="B72" t="str">
            <v>Rebates</v>
          </cell>
          <cell r="C72" t="str">
            <v>USD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64</v>
          </cell>
          <cell r="B73" t="str">
            <v>CPMF</v>
          </cell>
          <cell r="C73" t="str">
            <v>USD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65</v>
          </cell>
          <cell r="B74" t="str">
            <v>R&amp;D</v>
          </cell>
          <cell r="C74" t="str">
            <v>% of price</v>
          </cell>
          <cell r="D74">
            <v>0.04</v>
          </cell>
          <cell r="E74">
            <v>0.04</v>
          </cell>
          <cell r="F74">
            <v>0.04</v>
          </cell>
          <cell r="G74">
            <v>0.04</v>
          </cell>
          <cell r="H74">
            <v>0.04</v>
          </cell>
          <cell r="I74">
            <v>0.04</v>
          </cell>
        </row>
      </sheetData>
      <sheetData sheetId="3">
        <row r="9">
          <cell r="C9" t="str">
            <v>Schneider</v>
          </cell>
        </row>
        <row r="14">
          <cell r="B14" t="str">
            <v>Volume band</v>
          </cell>
          <cell r="D14" t="str">
            <v>Blended</v>
          </cell>
          <cell r="E14" t="str">
            <v>VOL1</v>
          </cell>
          <cell r="F14" t="str">
            <v>VOL2</v>
          </cell>
          <cell r="G14" t="str">
            <v>VOL3</v>
          </cell>
          <cell r="H14" t="str">
            <v>VOL4</v>
          </cell>
          <cell r="I14" t="str">
            <v>VOL5</v>
          </cell>
          <cell r="J14" t="str">
            <v>VOL6</v>
          </cell>
        </row>
        <row r="15">
          <cell r="D15" t="str">
            <v>Inc. In blended</v>
          </cell>
          <cell r="E15" t="str">
            <v>Y</v>
          </cell>
          <cell r="F15" t="str">
            <v>Y</v>
          </cell>
          <cell r="G15" t="str">
            <v>Y</v>
          </cell>
          <cell r="H15" t="str">
            <v>Y</v>
          </cell>
          <cell r="I15" t="str">
            <v>Y</v>
          </cell>
          <cell r="J15" t="str">
            <v>Y</v>
          </cell>
        </row>
        <row r="16">
          <cell r="A16">
            <v>3</v>
          </cell>
          <cell r="B16" t="str">
            <v>Production site</v>
          </cell>
          <cell r="D16" t="str">
            <v>Batam</v>
          </cell>
          <cell r="E16" t="str">
            <v>Batam</v>
          </cell>
          <cell r="F16" t="str">
            <v>Batam</v>
          </cell>
          <cell r="G16" t="str">
            <v>Batam</v>
          </cell>
          <cell r="H16" t="str">
            <v>Batam</v>
          </cell>
          <cell r="I16" t="str">
            <v>Bordeaux</v>
          </cell>
          <cell r="J16" t="str">
            <v>Bordeaux</v>
          </cell>
        </row>
        <row r="17">
          <cell r="B17" t="str">
            <v>Production Country</v>
          </cell>
          <cell r="D17" t="str">
            <v>Indonesia</v>
          </cell>
          <cell r="E17" t="str">
            <v>Indonesia</v>
          </cell>
          <cell r="F17" t="str">
            <v>Indonesia</v>
          </cell>
          <cell r="G17" t="str">
            <v>Indonesia</v>
          </cell>
          <cell r="H17" t="str">
            <v>Indonesia</v>
          </cell>
          <cell r="I17" t="str">
            <v>France</v>
          </cell>
          <cell r="J17" t="str">
            <v>France</v>
          </cell>
        </row>
        <row r="18">
          <cell r="B18" t="str">
            <v>Customer PN</v>
          </cell>
          <cell r="E18" t="str">
            <v>48155-437-50 GFCI</v>
          </cell>
          <cell r="F18" t="str">
            <v>48155-437-50 GFCI</v>
          </cell>
          <cell r="G18" t="str">
            <v>48155-438-50 AFCI</v>
          </cell>
          <cell r="H18" t="str">
            <v>48155-438-50 AFCI</v>
          </cell>
          <cell r="I18" t="str">
            <v xml:space="preserve"> </v>
          </cell>
          <cell r="J18" t="str">
            <v xml:space="preserve"> </v>
          </cell>
        </row>
        <row r="19">
          <cell r="A19">
            <v>6</v>
          </cell>
          <cell r="B19" t="str">
            <v>Annual volume</v>
          </cell>
          <cell r="D19">
            <v>4400002</v>
          </cell>
          <cell r="E19">
            <v>300000</v>
          </cell>
          <cell r="F19">
            <v>600000</v>
          </cell>
          <cell r="G19">
            <v>1500000</v>
          </cell>
          <cell r="H19">
            <v>2000000</v>
          </cell>
          <cell r="I19">
            <v>1</v>
          </cell>
          <cell r="J19">
            <v>1</v>
          </cell>
        </row>
        <row r="20">
          <cell r="B20" t="str">
            <v>Annual placements (millions)</v>
          </cell>
          <cell r="D20">
            <v>244.10000199999999</v>
          </cell>
          <cell r="E20">
            <v>10.199999999999999</v>
          </cell>
          <cell r="F20">
            <v>20.399999999999999</v>
          </cell>
          <cell r="G20">
            <v>91.5</v>
          </cell>
          <cell r="H20">
            <v>122</v>
          </cell>
          <cell r="I20">
            <v>9.9999999999999995E-7</v>
          </cell>
          <cell r="J20">
            <v>9.9999999999999995E-7</v>
          </cell>
        </row>
        <row r="21">
          <cell r="B21" t="str">
            <v>Delivery model</v>
          </cell>
          <cell r="E21" t="str">
            <v>MV</v>
          </cell>
          <cell r="F21" t="str">
            <v>MV</v>
          </cell>
          <cell r="G21" t="str">
            <v>HV</v>
          </cell>
          <cell r="H21" t="str">
            <v>HV</v>
          </cell>
          <cell r="I21" t="str">
            <v>NPI</v>
          </cell>
          <cell r="J21" t="str">
            <v>NPI</v>
          </cell>
        </row>
        <row r="22">
          <cell r="B22" t="str">
            <v>Currency</v>
          </cell>
          <cell r="D22" t="str">
            <v>USD</v>
          </cell>
          <cell r="E22" t="str">
            <v>USD</v>
          </cell>
          <cell r="F22" t="str">
            <v>USD</v>
          </cell>
          <cell r="G22" t="str">
            <v>USD</v>
          </cell>
          <cell r="H22" t="str">
            <v>USD</v>
          </cell>
          <cell r="I22" t="str">
            <v>USD</v>
          </cell>
          <cell r="J22" t="str">
            <v>USD</v>
          </cell>
        </row>
        <row r="23">
          <cell r="A23">
            <v>10</v>
          </cell>
          <cell r="B23" t="str">
            <v>Exchange rate vs USD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</row>
        <row r="24"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</row>
        <row r="25"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</row>
        <row r="27">
          <cell r="B27" t="str">
            <v>Price breakdown</v>
          </cell>
        </row>
        <row r="28">
          <cell r="A28">
            <v>15</v>
          </cell>
          <cell r="B28" t="str">
            <v>Material cost</v>
          </cell>
          <cell r="D28">
            <v>3.9839309386677582</v>
          </cell>
          <cell r="E28">
            <v>2.9980450199999997</v>
          </cell>
          <cell r="F28">
            <v>2.9928950199999997</v>
          </cell>
          <cell r="G28">
            <v>4.2412718800000029</v>
          </cell>
          <cell r="H28">
            <v>4.2361218800000033</v>
          </cell>
          <cell r="I28">
            <v>1</v>
          </cell>
          <cell r="J28">
            <v>1</v>
          </cell>
        </row>
        <row r="29">
          <cell r="B29" t="str">
            <v>Consigned Material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A30">
            <v>17</v>
          </cell>
          <cell r="B30" t="str">
            <v>Material Mark-up (F&amp;D+MSCC)</v>
          </cell>
          <cell r="D30">
            <v>8.9109415722002511E-2</v>
          </cell>
          <cell r="E30">
            <v>8.1977019034281895E-2</v>
          </cell>
          <cell r="F30">
            <v>7.5435775218890111E-2</v>
          </cell>
          <cell r="G30">
            <v>9.2638297469950892E-2</v>
          </cell>
          <cell r="H30">
            <v>9.1634283974548758E-2</v>
          </cell>
          <cell r="I30">
            <v>0.51119999999999988</v>
          </cell>
          <cell r="J30">
            <v>0.51119999999999988</v>
          </cell>
        </row>
        <row r="31">
          <cell r="A31">
            <v>18</v>
          </cell>
          <cell r="B31" t="str">
            <v>Transformation cost + scrap on line</v>
          </cell>
          <cell r="D31">
            <v>0.52554194903448881</v>
          </cell>
          <cell r="E31">
            <v>0.55514545681603011</v>
          </cell>
          <cell r="F31">
            <v>0.5551045374626763</v>
          </cell>
          <cell r="G31">
            <v>0.51817999760316735</v>
          </cell>
          <cell r="H31">
            <v>0.51635806642214421</v>
          </cell>
          <cell r="I31">
            <v>1396.5690320970346</v>
          </cell>
          <cell r="J31">
            <v>1396.5690320970346</v>
          </cell>
        </row>
        <row r="32">
          <cell r="A32">
            <v>19</v>
          </cell>
          <cell r="B32" t="str">
            <v>IT/Facility/Other</v>
          </cell>
          <cell r="D32">
            <v>5.0212319838951733E-2</v>
          </cell>
          <cell r="E32">
            <v>4.0147715760073671E-2</v>
          </cell>
          <cell r="F32">
            <v>3.9959639207266626E-2</v>
          </cell>
          <cell r="G32">
            <v>5.2873289739407629E-2</v>
          </cell>
          <cell r="H32">
            <v>5.2786594688576931E-2</v>
          </cell>
          <cell r="I32">
            <v>15.542738689967052</v>
          </cell>
          <cell r="J32">
            <v>15.542738689967052</v>
          </cell>
        </row>
        <row r="33">
          <cell r="A33">
            <v>20</v>
          </cell>
          <cell r="B33" t="str">
            <v>Std Packaging Mtl</v>
          </cell>
          <cell r="D33">
            <v>1.9090900413227081E-7</v>
          </cell>
          <cell r="E33">
            <v>9.9999999999999995E-8</v>
          </cell>
          <cell r="F33">
            <v>9.9999999999999995E-8</v>
          </cell>
          <cell r="G33">
            <v>9.9999999999999995E-8</v>
          </cell>
          <cell r="H33">
            <v>9.9999999999999995E-8</v>
          </cell>
          <cell r="I33">
            <v>0.2</v>
          </cell>
          <cell r="J33">
            <v>0.2</v>
          </cell>
        </row>
        <row r="34">
          <cell r="A34">
            <v>21</v>
          </cell>
          <cell r="B34" t="str">
            <v>Warranty</v>
          </cell>
          <cell r="D34">
            <v>1.225263276936606E-2</v>
          </cell>
          <cell r="E34">
            <v>1.2252380952380952E-2</v>
          </cell>
          <cell r="F34">
            <v>1.2252380952380952E-2</v>
          </cell>
          <cell r="G34">
            <v>1.2252380952380954E-2</v>
          </cell>
          <cell r="H34">
            <v>1.2252380952380954E-2</v>
          </cell>
          <cell r="I34">
            <v>0.56624999999999992</v>
          </cell>
          <cell r="J34">
            <v>0.56624999999999992</v>
          </cell>
        </row>
        <row r="35">
          <cell r="A35">
            <v>22</v>
          </cell>
          <cell r="B35" t="str">
            <v>SG&amp;A</v>
          </cell>
          <cell r="D35">
            <v>0.15065108927287801</v>
          </cell>
          <cell r="E35">
            <v>0.120443147280221</v>
          </cell>
          <cell r="F35">
            <v>0.11987891762179988</v>
          </cell>
          <cell r="G35">
            <v>0.15861986921822288</v>
          </cell>
          <cell r="H35">
            <v>0.15835978406573076</v>
          </cell>
          <cell r="I35">
            <v>77.713693449835262</v>
          </cell>
          <cell r="J35">
            <v>77.713693449835262</v>
          </cell>
        </row>
        <row r="36">
          <cell r="A36">
            <v>23</v>
          </cell>
          <cell r="B36" t="str">
            <v>Misc.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A37">
            <v>24</v>
          </cell>
          <cell r="B37" t="str">
            <v>Interests</v>
          </cell>
          <cell r="D37">
            <v>0.17574351702449958</v>
          </cell>
          <cell r="E37">
            <v>0.20671011883714116</v>
          </cell>
          <cell r="F37">
            <v>0.2004207506390818</v>
          </cell>
          <cell r="G37">
            <v>0.16956215911567238</v>
          </cell>
          <cell r="H37">
            <v>0.16833138857689869</v>
          </cell>
          <cell r="I37">
            <v>0.16226646750965928</v>
          </cell>
          <cell r="J37">
            <v>0.16226646750965928</v>
          </cell>
        </row>
        <row r="38">
          <cell r="B38" t="str">
            <v>PBT</v>
          </cell>
          <cell r="D38">
            <v>3.3789930656225507E-2</v>
          </cell>
          <cell r="E38">
            <v>5.0617327238128285E-5</v>
          </cell>
          <cell r="F38">
            <v>1.6799624567492843E-5</v>
          </cell>
          <cell r="G38">
            <v>4.1930999841958611E-2</v>
          </cell>
          <cell r="H38">
            <v>4.2814990177409501E-2</v>
          </cell>
          <cell r="I38">
            <v>62.008688292358464</v>
          </cell>
          <cell r="J38">
            <v>62.008688292358464</v>
          </cell>
        </row>
        <row r="39">
          <cell r="A39">
            <v>26</v>
          </cell>
          <cell r="B39" t="str">
            <v>Total Price (FCA)</v>
          </cell>
          <cell r="D39">
            <v>5.0212319838951736</v>
          </cell>
          <cell r="E39">
            <v>4.0147715760073668</v>
          </cell>
          <cell r="F39">
            <v>3.9959639207266626</v>
          </cell>
          <cell r="G39">
            <v>5.2873289739407632</v>
          </cell>
          <cell r="H39">
            <v>5.2786594688576924</v>
          </cell>
          <cell r="I39">
            <v>1554.2738689967052</v>
          </cell>
          <cell r="J39">
            <v>1554.2738689967052</v>
          </cell>
        </row>
        <row r="40">
          <cell r="B40" t="str">
            <v>Value Add / unit</v>
          </cell>
          <cell r="D40">
            <v>1.0373010452274158</v>
          </cell>
          <cell r="E40">
            <v>1.0167265560073671</v>
          </cell>
          <cell r="F40">
            <v>1.0030689007266629</v>
          </cell>
          <cell r="G40">
            <v>1.0460570939407603</v>
          </cell>
          <cell r="H40">
            <v>1.0425375888576891</v>
          </cell>
          <cell r="I40">
            <v>1553.2738689967052</v>
          </cell>
          <cell r="J40">
            <v>1553.2738689967052</v>
          </cell>
        </row>
        <row r="42">
          <cell r="B42" t="str">
            <v>Transport Packaging Mtl</v>
          </cell>
          <cell r="C42" t="str">
            <v>Cost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B43" t="str">
            <v>Freight out to</v>
          </cell>
          <cell r="C43" t="str">
            <v>Cost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B44" t="str">
            <v>Total landed Price (DDU)</v>
          </cell>
          <cell r="D44">
            <v>5.0212319838951736</v>
          </cell>
          <cell r="E44">
            <v>4.0147715760073668</v>
          </cell>
          <cell r="F44">
            <v>3.9959639207266626</v>
          </cell>
          <cell r="G44">
            <v>5.2873289739407632</v>
          </cell>
          <cell r="H44">
            <v>5.2786594688576924</v>
          </cell>
          <cell r="I44">
            <v>1554.2738689967052</v>
          </cell>
          <cell r="J44">
            <v>1554.2738689967052</v>
          </cell>
        </row>
        <row r="46">
          <cell r="B46" t="str">
            <v>Annual REVENUE</v>
          </cell>
          <cell r="D46">
            <v>22.093430771602733</v>
          </cell>
          <cell r="E46">
            <v>1.2044314728022101</v>
          </cell>
          <cell r="F46">
            <v>2.3975783524359975</v>
          </cell>
          <cell r="G46">
            <v>7.9309934609111448</v>
          </cell>
          <cell r="H46">
            <v>10.557318937715385</v>
          </cell>
          <cell r="I46">
            <v>1.5542738689967052E-3</v>
          </cell>
          <cell r="J46">
            <v>1.5542738689967052E-3</v>
          </cell>
        </row>
        <row r="47">
          <cell r="B47" t="str">
            <v xml:space="preserve">MATERIAL </v>
          </cell>
          <cell r="C47" t="str">
            <v>annual rev.</v>
          </cell>
          <cell r="D47">
            <v>17.529304098000011</v>
          </cell>
          <cell r="E47">
            <v>0.89941350599999992</v>
          </cell>
          <cell r="F47">
            <v>1.7957370119999998</v>
          </cell>
          <cell r="G47">
            <v>6.3619078200000043</v>
          </cell>
          <cell r="H47">
            <v>8.4722437600000067</v>
          </cell>
          <cell r="I47">
            <v>9.9999999999999995E-7</v>
          </cell>
          <cell r="J47">
            <v>9.9999999999999995E-7</v>
          </cell>
        </row>
        <row r="48">
          <cell r="C48" t="str">
            <v>% of sales</v>
          </cell>
          <cell r="D48">
            <v>0.79341702423739846</v>
          </cell>
          <cell r="E48">
            <v>0.74675357320864388</v>
          </cell>
          <cell r="F48">
            <v>0.74897949014908638</v>
          </cell>
          <cell r="G48">
            <v>0.80215774371211279</v>
          </cell>
          <cell r="H48">
            <v>0.80249955599365541</v>
          </cell>
          <cell r="I48">
            <v>6.4338725622757012E-4</v>
          </cell>
          <cell r="J48">
            <v>6.4338725622757012E-4</v>
          </cell>
        </row>
        <row r="49">
          <cell r="B49" t="str">
            <v>VALUE ADD</v>
          </cell>
          <cell r="C49" t="str">
            <v>annual rev.</v>
          </cell>
          <cell r="D49">
            <v>4.5641266736027193</v>
          </cell>
          <cell r="E49">
            <v>0.30501796680221016</v>
          </cell>
          <cell r="F49">
            <v>0.60184134043599768</v>
          </cell>
          <cell r="G49">
            <v>1.5690856409111404</v>
          </cell>
          <cell r="H49">
            <v>2.0850751777153782</v>
          </cell>
          <cell r="I49">
            <v>1.5532738689967053E-3</v>
          </cell>
          <cell r="J49">
            <v>1.5532738689967053E-3</v>
          </cell>
        </row>
        <row r="50">
          <cell r="C50" t="str">
            <v>% of sales</v>
          </cell>
          <cell r="D50">
            <v>0.20658297576260154</v>
          </cell>
          <cell r="E50">
            <v>0.25324642679135612</v>
          </cell>
          <cell r="F50">
            <v>0.25102050985091362</v>
          </cell>
          <cell r="G50">
            <v>0.19784225628788721</v>
          </cell>
          <cell r="H50">
            <v>0.19750044400634459</v>
          </cell>
          <cell r="I50">
            <v>0.99935661274377241</v>
          </cell>
          <cell r="J50">
            <v>0.99935661274377241</v>
          </cell>
        </row>
        <row r="52">
          <cell r="B52" t="str">
            <v>Management Section</v>
          </cell>
        </row>
        <row r="53">
          <cell r="B53" t="str">
            <v>GROSS MARGIN</v>
          </cell>
          <cell r="C53" t="str">
            <v>% of sales</v>
          </cell>
          <cell r="D53">
            <v>7.1732303567896977E-2</v>
          </cell>
          <cell r="E53">
            <v>8.1500000000000003E-2</v>
          </cell>
          <cell r="F53">
            <v>8.0159999999999898E-2</v>
          </cell>
          <cell r="G53">
            <v>7.0000000000000007E-2</v>
          </cell>
          <cell r="H53">
            <v>6.9999999999999951E-2</v>
          </cell>
          <cell r="I53">
            <v>9.0000000000000163E-2</v>
          </cell>
          <cell r="J53">
            <v>9.0000000000000163E-2</v>
          </cell>
        </row>
        <row r="54">
          <cell r="B54" t="str">
            <v>PBIT</v>
          </cell>
          <cell r="C54" t="str">
            <v>% of sales</v>
          </cell>
          <cell r="D54">
            <v>4.1729489566060748E-2</v>
          </cell>
          <cell r="E54">
            <v>5.1500000000000004E-2</v>
          </cell>
          <cell r="F54">
            <v>5.0159999999999899E-2</v>
          </cell>
          <cell r="G54">
            <v>4.0000000000000008E-2</v>
          </cell>
          <cell r="H54">
            <v>3.9999999999999952E-2</v>
          </cell>
          <cell r="I54">
            <v>4.000000000000016E-2</v>
          </cell>
          <cell r="J54">
            <v>4.000000000000016E-2</v>
          </cell>
        </row>
        <row r="55">
          <cell r="B55" t="str">
            <v>PBT</v>
          </cell>
          <cell r="C55" t="str">
            <v>% of sales</v>
          </cell>
          <cell r="D55">
            <v>6.7294103846626818E-3</v>
          </cell>
          <cell r="E55">
            <v>1.260777264159435E-5</v>
          </cell>
          <cell r="F55">
            <v>4.2041482106666694E-6</v>
          </cell>
          <cell r="G55">
            <v>7.9304692499029619E-3</v>
          </cell>
          <cell r="H55">
            <v>8.1109589337980056E-3</v>
          </cell>
          <cell r="I55">
            <v>3.9895599822691377E-2</v>
          </cell>
          <cell r="J55">
            <v>3.9895599822691377E-2</v>
          </cell>
        </row>
        <row r="56">
          <cell r="B56" t="str">
            <v>MSCC (w F&amp;D,w/o WC)</v>
          </cell>
          <cell r="C56" t="str">
            <v>% of RM</v>
          </cell>
          <cell r="D56">
            <v>2.2367208943587021E-2</v>
          </cell>
          <cell r="E56">
            <v>2.7343491671209762E-2</v>
          </cell>
          <cell r="F56">
            <v>2.5204951966170241E-2</v>
          </cell>
          <cell r="G56">
            <v>2.1842103050925099E-2</v>
          </cell>
          <cell r="H56">
            <v>2.1631644832312683E-2</v>
          </cell>
          <cell r="I56">
            <v>0.51119999999999988</v>
          </cell>
          <cell r="J56">
            <v>0.51119999999999988</v>
          </cell>
        </row>
        <row r="57">
          <cell r="C57" t="str">
            <v>budget</v>
          </cell>
          <cell r="D57">
            <v>276.38819114884109</v>
          </cell>
          <cell r="E57">
            <v>18.656976570684623</v>
          </cell>
          <cell r="F57">
            <v>33.409600852134346</v>
          </cell>
          <cell r="G57">
            <v>96.968854592925993</v>
          </cell>
          <cell r="H57">
            <v>127.35175913309617</v>
          </cell>
          <cell r="I57">
            <v>5.0000000000000001E-4</v>
          </cell>
          <cell r="J57">
            <v>5.0000000000000001E-4</v>
          </cell>
        </row>
        <row r="58">
          <cell r="B58" t="str">
            <v>SG&amp;A</v>
          </cell>
          <cell r="C58" t="str">
            <v>% of sales</v>
          </cell>
          <cell r="D58">
            <v>3.0002814001836228E-2</v>
          </cell>
          <cell r="E58">
            <v>0.03</v>
          </cell>
          <cell r="F58">
            <v>0.03</v>
          </cell>
          <cell r="G58">
            <v>0.03</v>
          </cell>
          <cell r="H58">
            <v>2.9999999999999995E-2</v>
          </cell>
          <cell r="I58">
            <v>0.05</v>
          </cell>
          <cell r="J58">
            <v>0.05</v>
          </cell>
        </row>
        <row r="59">
          <cell r="C59" t="str">
            <v>budget</v>
          </cell>
          <cell r="D59">
            <v>662.86509410284168</v>
          </cell>
          <cell r="E59">
            <v>36.132944184066297</v>
          </cell>
          <cell r="F59">
            <v>71.92735057307992</v>
          </cell>
          <cell r="G59">
            <v>237.92980382733433</v>
          </cell>
          <cell r="H59">
            <v>316.71956813146153</v>
          </cell>
          <cell r="I59">
            <v>7.7713693449835267E-2</v>
          </cell>
          <cell r="J59">
            <v>7.7713693449835267E-2</v>
          </cell>
        </row>
        <row r="60">
          <cell r="B60" t="str">
            <v>IT/Fac./Other</v>
          </cell>
          <cell r="C60" t="str">
            <v>% of sales</v>
          </cell>
          <cell r="D60">
            <v>0.01</v>
          </cell>
          <cell r="E60">
            <v>0.01</v>
          </cell>
          <cell r="F60">
            <v>0.01</v>
          </cell>
          <cell r="G60">
            <v>0.01</v>
          </cell>
          <cell r="H60">
            <v>1.0000000000000002E-2</v>
          </cell>
          <cell r="I60">
            <v>0.01</v>
          </cell>
          <cell r="J60">
            <v>0.01</v>
          </cell>
        </row>
        <row r="61">
          <cell r="B61" t="str">
            <v>Interests (incl.WC)</v>
          </cell>
          <cell r="C61" t="str">
            <v>% of sales</v>
          </cell>
          <cell r="D61">
            <v>3.5000079181398067E-2</v>
          </cell>
          <cell r="E61">
            <v>5.148739222735841E-2</v>
          </cell>
          <cell r="F61">
            <v>5.0155795851789232E-2</v>
          </cell>
          <cell r="G61">
            <v>3.2069530750097046E-2</v>
          </cell>
          <cell r="H61">
            <v>3.1889041066201947E-2</v>
          </cell>
          <cell r="I61">
            <v>1.0440017730877984E-4</v>
          </cell>
          <cell r="J61">
            <v>1.0440017730877984E-4</v>
          </cell>
        </row>
        <row r="62">
          <cell r="B62" t="str">
            <v>ROIR (PBIT)</v>
          </cell>
          <cell r="D62">
            <v>0.24815351226344098</v>
          </cell>
          <cell r="E62">
            <v>0.24019321292729187</v>
          </cell>
          <cell r="F62">
            <v>0.2525504248359875</v>
          </cell>
          <cell r="G62">
            <v>0.24220801887093299</v>
          </cell>
          <cell r="H62">
            <v>0.24549966460182093</v>
          </cell>
          <cell r="I62">
            <v>6.6489066508778713E-2</v>
          </cell>
          <cell r="J62">
            <v>6.6489066508778713E-2</v>
          </cell>
        </row>
        <row r="63">
          <cell r="B63" t="str">
            <v>ROIC (Pbt)</v>
          </cell>
          <cell r="D63">
            <v>2.4079257828907696E-2</v>
          </cell>
          <cell r="E63">
            <v>2.8129847639013068E-5</v>
          </cell>
          <cell r="F63">
            <v>9.6232752945404674E-6</v>
          </cell>
          <cell r="G63">
            <v>2.8255544040732262E-2</v>
          </cell>
          <cell r="H63">
            <v>2.905798111170774E-2</v>
          </cell>
          <cell r="I63">
            <v>0.34342517157055047</v>
          </cell>
          <cell r="J63">
            <v>0.34342517157055047</v>
          </cell>
        </row>
        <row r="64">
          <cell r="B64" t="str">
            <v>ROA (Pbt)</v>
          </cell>
          <cell r="D64">
            <v>1.7047996332836962E-2</v>
          </cell>
          <cell r="E64">
            <v>2.2679768002355895E-5</v>
          </cell>
          <cell r="F64">
            <v>7.7154662168655249E-6</v>
          </cell>
          <cell r="G64">
            <v>2.0007979508817008E-2</v>
          </cell>
          <cell r="H64">
            <v>2.0540558406389759E-2</v>
          </cell>
          <cell r="I64">
            <v>0.34309629360922533</v>
          </cell>
          <cell r="J64">
            <v>0.34309629360922533</v>
          </cell>
        </row>
        <row r="65">
          <cell r="A65">
            <v>52</v>
          </cell>
          <cell r="B65" t="str">
            <v>TURN</v>
          </cell>
          <cell r="D65">
            <v>12.891508704680255</v>
          </cell>
          <cell r="E65">
            <v>7.7669902912621342</v>
          </cell>
          <cell r="F65">
            <v>8.9775561097256862</v>
          </cell>
          <cell r="G65">
            <v>13.479539983952927</v>
          </cell>
          <cell r="H65">
            <v>13.926499032882012</v>
          </cell>
          <cell r="I65">
            <v>1.8715882505848711</v>
          </cell>
          <cell r="J65">
            <v>1.8715882505848711</v>
          </cell>
        </row>
        <row r="66">
          <cell r="A66">
            <v>53</v>
          </cell>
          <cell r="B66" t="str">
            <v>DSO</v>
          </cell>
          <cell r="D66">
            <v>29.999999999999993</v>
          </cell>
          <cell r="E66">
            <v>30</v>
          </cell>
          <cell r="F66">
            <v>30</v>
          </cell>
          <cell r="G66">
            <v>30</v>
          </cell>
          <cell r="H66">
            <v>30</v>
          </cell>
          <cell r="I66">
            <v>30</v>
          </cell>
          <cell r="J66">
            <v>30</v>
          </cell>
        </row>
        <row r="67">
          <cell r="B67" t="str">
            <v>DPO</v>
          </cell>
          <cell r="D67">
            <v>45</v>
          </cell>
          <cell r="E67">
            <v>45</v>
          </cell>
          <cell r="F67">
            <v>45</v>
          </cell>
          <cell r="G67">
            <v>45</v>
          </cell>
          <cell r="H67">
            <v>45</v>
          </cell>
          <cell r="I67">
            <v>45</v>
          </cell>
          <cell r="J67">
            <v>45</v>
          </cell>
        </row>
        <row r="69">
          <cell r="B69" t="str">
            <v>Other</v>
          </cell>
        </row>
        <row r="70">
          <cell r="B70" t="str">
            <v>cents labor per component</v>
          </cell>
          <cell r="D70">
            <v>1.0742994833223622</v>
          </cell>
          <cell r="E70">
            <v>1.6211369650526029</v>
          </cell>
          <cell r="F70">
            <v>1.6210200526144489</v>
          </cell>
          <cell r="G70">
            <v>0.85553625573475522</v>
          </cell>
          <cell r="H70">
            <v>0.85259765705568569</v>
          </cell>
          <cell r="I70">
            <v>139733.52820970348</v>
          </cell>
          <cell r="J70">
            <v>139733.52820970348</v>
          </cell>
        </row>
        <row r="71">
          <cell r="B71" t="str">
            <v>cents value add per component</v>
          </cell>
          <cell r="D71">
            <v>1.9989738954406755</v>
          </cell>
          <cell r="E71">
            <v>2.9049330171639061</v>
          </cell>
          <cell r="F71">
            <v>2.8659111449333223</v>
          </cell>
          <cell r="G71">
            <v>1.6871888611947747</v>
          </cell>
          <cell r="H71">
            <v>1.6815122400930467</v>
          </cell>
          <cell r="I71">
            <v>155327.38689967053</v>
          </cell>
          <cell r="J71">
            <v>155327.38689967053</v>
          </cell>
        </row>
        <row r="72">
          <cell r="B72" t="str">
            <v>Investments</v>
          </cell>
          <cell r="D72">
            <v>5768.1666438347893</v>
          </cell>
          <cell r="E72">
            <v>437.93800707206526</v>
          </cell>
          <cell r="F72">
            <v>875.87601414413052</v>
          </cell>
          <cell r="G72">
            <v>1909.0075305414853</v>
          </cell>
          <cell r="H72">
            <v>2545.3433740553132</v>
          </cell>
          <cell r="I72">
            <v>8.5901089743589741E-4</v>
          </cell>
          <cell r="J72">
            <v>8.5901089743589741E-4</v>
          </cell>
        </row>
        <row r="73">
          <cell r="B73" t="str">
            <v>Direct Headcount</v>
          </cell>
          <cell r="D73">
            <v>318.02</v>
          </cell>
          <cell r="E73">
            <v>22</v>
          </cell>
          <cell r="F73">
            <v>44</v>
          </cell>
          <cell r="G73">
            <v>108</v>
          </cell>
          <cell r="H73">
            <v>144</v>
          </cell>
          <cell r="I73">
            <v>0.01</v>
          </cell>
          <cell r="J73">
            <v>0.01</v>
          </cell>
        </row>
        <row r="74">
          <cell r="B74" t="str">
            <v>Indirect + Exempt Headcount</v>
          </cell>
          <cell r="D74">
            <v>85.239999999999981</v>
          </cell>
          <cell r="E74">
            <v>6.6</v>
          </cell>
          <cell r="F74">
            <v>13.2</v>
          </cell>
          <cell r="G74">
            <v>28.5</v>
          </cell>
          <cell r="H74">
            <v>36.9</v>
          </cell>
          <cell r="I74">
            <v>0.02</v>
          </cell>
          <cell r="J74">
            <v>0.02</v>
          </cell>
        </row>
        <row r="75">
          <cell r="B75" t="str">
            <v>Number of lines</v>
          </cell>
          <cell r="D75">
            <v>1.0774703702362138</v>
          </cell>
          <cell r="E75">
            <v>0.11074065253631817</v>
          </cell>
          <cell r="F75">
            <v>0.22148130507263633</v>
          </cell>
          <cell r="G75">
            <v>0.31939214631522356</v>
          </cell>
          <cell r="H75">
            <v>0.42585619508696465</v>
          </cell>
          <cell r="I75">
            <v>3.5612535612535611E-8</v>
          </cell>
          <cell r="J75">
            <v>3.5612535612535611E-8</v>
          </cell>
        </row>
        <row r="76">
          <cell r="B76" t="str">
            <v>Number of components</v>
          </cell>
          <cell r="D76">
            <v>56.477247510342039</v>
          </cell>
          <cell r="E76">
            <v>35</v>
          </cell>
          <cell r="F76">
            <v>35</v>
          </cell>
          <cell r="G76">
            <v>62</v>
          </cell>
          <cell r="H76">
            <v>62</v>
          </cell>
          <cell r="I76">
            <v>1</v>
          </cell>
          <cell r="J76">
            <v>1</v>
          </cell>
        </row>
        <row r="77">
          <cell r="B77" t="str">
            <v>Cost for system integration</v>
          </cell>
          <cell r="D77">
            <v>4.786578453218115</v>
          </cell>
          <cell r="E77">
            <v>3.854129995639834</v>
          </cell>
          <cell r="F77">
            <v>3.8361084642730288</v>
          </cell>
          <cell r="G77">
            <v>5.0339047151411744</v>
          </cell>
          <cell r="H77">
            <v>5.0246979999259764</v>
          </cell>
          <cell r="I77">
            <v>1398.8087485645442</v>
          </cell>
          <cell r="J77">
            <v>1398.8087485645442</v>
          </cell>
        </row>
        <row r="78">
          <cell r="A78">
            <v>65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</row>
        <row r="79">
          <cell r="B79" t="str">
            <v>check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</sheetData>
      <sheetData sheetId="4">
        <row r="11">
          <cell r="B11" t="str">
            <v>Volume band</v>
          </cell>
          <cell r="D11" t="str">
            <v>VOL1</v>
          </cell>
          <cell r="E11" t="str">
            <v>VOL2</v>
          </cell>
          <cell r="F11" t="str">
            <v>VOL3</v>
          </cell>
          <cell r="G11" t="str">
            <v>VOL4</v>
          </cell>
          <cell r="H11" t="str">
            <v>VOL5</v>
          </cell>
          <cell r="I11" t="str">
            <v>VOL6</v>
          </cell>
        </row>
        <row r="12">
          <cell r="B12" t="str">
            <v>Production site</v>
          </cell>
          <cell r="D12" t="str">
            <v>Batam</v>
          </cell>
          <cell r="E12" t="str">
            <v>Batam</v>
          </cell>
          <cell r="F12" t="str">
            <v>Batam</v>
          </cell>
          <cell r="G12" t="str">
            <v>Batam</v>
          </cell>
          <cell r="H12" t="str">
            <v>Bordeaux</v>
          </cell>
          <cell r="I12" t="str">
            <v>Bordeaux</v>
          </cell>
        </row>
        <row r="13">
          <cell r="B13" t="str">
            <v>Annual volume</v>
          </cell>
          <cell r="D13">
            <v>300000</v>
          </cell>
          <cell r="E13">
            <v>600000</v>
          </cell>
          <cell r="F13">
            <v>1500000</v>
          </cell>
          <cell r="G13">
            <v>2000000</v>
          </cell>
          <cell r="H13">
            <v>1</v>
          </cell>
          <cell r="I13">
            <v>1</v>
          </cell>
        </row>
        <row r="14">
          <cell r="B14" t="str">
            <v>Annual placements (millions)</v>
          </cell>
          <cell r="D14">
            <v>10.199999999999999</v>
          </cell>
          <cell r="E14">
            <v>20.399999999999999</v>
          </cell>
          <cell r="F14">
            <v>91.5</v>
          </cell>
          <cell r="G14">
            <v>122</v>
          </cell>
          <cell r="H14">
            <v>9.9999999999999995E-7</v>
          </cell>
          <cell r="I14">
            <v>9.9999999999999995E-7</v>
          </cell>
        </row>
        <row r="15">
          <cell r="B15" t="str">
            <v>Delivery model</v>
          </cell>
          <cell r="C15" t="str">
            <v>Default value</v>
          </cell>
          <cell r="D15" t="str">
            <v>MV</v>
          </cell>
          <cell r="E15" t="str">
            <v>MV</v>
          </cell>
          <cell r="F15" t="str">
            <v>HV</v>
          </cell>
          <cell r="G15" t="str">
            <v>HV</v>
          </cell>
          <cell r="H15" t="str">
            <v>NPI</v>
          </cell>
          <cell r="I15" t="str">
            <v>NPI</v>
          </cell>
        </row>
        <row r="16">
          <cell r="C16" t="str">
            <v>Override here -&gt;</v>
          </cell>
          <cell r="D16" t="str">
            <v>MV</v>
          </cell>
          <cell r="E16" t="str">
            <v>MV</v>
          </cell>
          <cell r="F16" t="str">
            <v>HV</v>
          </cell>
          <cell r="G16" t="str">
            <v>HV</v>
          </cell>
          <cell r="H16" t="str">
            <v>NPI</v>
          </cell>
          <cell r="I16" t="str">
            <v>NPI</v>
          </cell>
        </row>
        <row r="17">
          <cell r="B17" t="str">
            <v>Customer PN</v>
          </cell>
          <cell r="D17" t="str">
            <v>48155-437-50 GFCI</v>
          </cell>
          <cell r="E17" t="str">
            <v>48155-437-50 GFCI</v>
          </cell>
          <cell r="F17" t="str">
            <v>48155-438-50 AFCI</v>
          </cell>
          <cell r="G17" t="str">
            <v>48155-438-50 AFCI</v>
          </cell>
          <cell r="H17" t="str">
            <v xml:space="preserve"> </v>
          </cell>
          <cell r="I17" t="str">
            <v xml:space="preserve"> </v>
          </cell>
        </row>
        <row r="18">
          <cell r="B18" t="str">
            <v>OVERRIDABLE PARAMETERS (COSTS)</v>
          </cell>
        </row>
        <row r="19">
          <cell r="B19" t="str">
            <v>Line config</v>
          </cell>
          <cell r="C19" t="str">
            <v>Default value</v>
          </cell>
          <cell r="D19" t="str">
            <v>STD-1xCP6</v>
          </cell>
          <cell r="E19" t="str">
            <v>STD-1xCP6</v>
          </cell>
          <cell r="F19" t="str">
            <v>STD-2xCP6</v>
          </cell>
          <cell r="G19" t="str">
            <v>STD-2xCP6</v>
          </cell>
          <cell r="H19" t="str">
            <v>STD-1xCP6</v>
          </cell>
          <cell r="I19" t="str">
            <v>STD-1xCP6</v>
          </cell>
        </row>
        <row r="20">
          <cell r="C20" t="str">
            <v>Override here -&gt;</v>
          </cell>
          <cell r="D20" t="str">
            <v>STD-1xCP6</v>
          </cell>
          <cell r="E20" t="str">
            <v>STD-1xCP6</v>
          </cell>
          <cell r="F20" t="str">
            <v>STD-2xCP6</v>
          </cell>
          <cell r="G20" t="str">
            <v>STD-2xCP6</v>
          </cell>
          <cell r="H20" t="str">
            <v>STD-1xCP6</v>
          </cell>
          <cell r="I20" t="str">
            <v>STD-1xCP6</v>
          </cell>
        </row>
        <row r="21">
          <cell r="B21" t="str">
            <v xml:space="preserve">Line speed        </v>
          </cell>
          <cell r="C21" t="str">
            <v>Default value</v>
          </cell>
          <cell r="D21">
            <v>11215.277777777777</v>
          </cell>
          <cell r="E21">
            <v>11215.277777777777</v>
          </cell>
          <cell r="F21">
            <v>35749.999999999971</v>
          </cell>
          <cell r="G21">
            <v>35749.999999999971</v>
          </cell>
          <cell r="H21">
            <v>4500</v>
          </cell>
          <cell r="I21">
            <v>4500</v>
          </cell>
        </row>
        <row r="22">
          <cell r="C22" t="str">
            <v>Override here -&gt;</v>
          </cell>
          <cell r="D22">
            <v>11215.277777777777</v>
          </cell>
          <cell r="E22">
            <v>11215.277777777777</v>
          </cell>
          <cell r="F22">
            <v>35749.999999999971</v>
          </cell>
          <cell r="G22">
            <v>35749.999999999971</v>
          </cell>
          <cell r="H22">
            <v>4500</v>
          </cell>
          <cell r="I22">
            <v>4500</v>
          </cell>
        </row>
        <row r="23">
          <cell r="B23" t="str">
            <v>Chip Machine type</v>
          </cell>
          <cell r="C23" t="str">
            <v>Default value</v>
          </cell>
          <cell r="D23" t="str">
            <v>CP6</v>
          </cell>
          <cell r="E23" t="str">
            <v>CP6</v>
          </cell>
          <cell r="F23" t="str">
            <v>CP6</v>
          </cell>
          <cell r="G23" t="str">
            <v>CP6</v>
          </cell>
          <cell r="H23" t="str">
            <v>CP6</v>
          </cell>
          <cell r="I23" t="str">
            <v>CP6</v>
          </cell>
        </row>
        <row r="24">
          <cell r="C24" t="str">
            <v>Override here -&gt;</v>
          </cell>
          <cell r="D24" t="str">
            <v>CP6</v>
          </cell>
          <cell r="E24" t="str">
            <v>CP6</v>
          </cell>
          <cell r="F24" t="str">
            <v>CP6</v>
          </cell>
          <cell r="G24" t="str">
            <v>CP6</v>
          </cell>
          <cell r="H24" t="str">
            <v>CP6</v>
          </cell>
          <cell r="I24" t="str">
            <v>CP6</v>
          </cell>
        </row>
        <row r="25">
          <cell r="B25" t="str">
            <v>Chip Machine qty</v>
          </cell>
          <cell r="C25" t="str">
            <v>Default value</v>
          </cell>
          <cell r="D25">
            <v>1</v>
          </cell>
          <cell r="E25">
            <v>1</v>
          </cell>
          <cell r="F25">
            <v>2</v>
          </cell>
          <cell r="G25">
            <v>2</v>
          </cell>
          <cell r="H25">
            <v>1</v>
          </cell>
          <cell r="I25">
            <v>1</v>
          </cell>
        </row>
        <row r="26">
          <cell r="C26" t="str">
            <v>Override here -&gt;</v>
          </cell>
          <cell r="D26">
            <v>1</v>
          </cell>
          <cell r="E26">
            <v>1</v>
          </cell>
          <cell r="F26">
            <v>2</v>
          </cell>
          <cell r="G26">
            <v>2</v>
          </cell>
          <cell r="H26">
            <v>1</v>
          </cell>
          <cell r="I26">
            <v>1</v>
          </cell>
        </row>
        <row r="27">
          <cell r="B27" t="str">
            <v>IC Machine type</v>
          </cell>
          <cell r="C27" t="str">
            <v>Default value</v>
          </cell>
          <cell r="D27" t="str">
            <v>IP3/QP</v>
          </cell>
          <cell r="E27" t="str">
            <v>IP3/QP</v>
          </cell>
          <cell r="F27" t="str">
            <v>IP3/QP</v>
          </cell>
          <cell r="G27" t="str">
            <v>IP3/QP</v>
          </cell>
          <cell r="H27" t="str">
            <v>IP3/QP</v>
          </cell>
          <cell r="I27" t="str">
            <v>IP3/QP</v>
          </cell>
        </row>
        <row r="28">
          <cell r="C28" t="str">
            <v>Override here -&gt;</v>
          </cell>
          <cell r="D28" t="str">
            <v>IP3/QP</v>
          </cell>
          <cell r="E28" t="str">
            <v>IP3/QP</v>
          </cell>
          <cell r="F28" t="str">
            <v>IP3/QP</v>
          </cell>
          <cell r="G28" t="str">
            <v>IP3/QP</v>
          </cell>
          <cell r="H28" t="str">
            <v>IP3/QP</v>
          </cell>
          <cell r="I28" t="str">
            <v>IP3/QP</v>
          </cell>
        </row>
        <row r="29">
          <cell r="B29" t="str">
            <v>IC Machine qty</v>
          </cell>
          <cell r="C29" t="str">
            <v>Default value</v>
          </cell>
          <cell r="D29">
            <v>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</row>
        <row r="30">
          <cell r="C30" t="str">
            <v>Override here -&gt;</v>
          </cell>
          <cell r="D30">
            <v>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</row>
        <row r="31">
          <cell r="B31" t="str">
            <v>Part split CP/QP</v>
          </cell>
          <cell r="C31" t="str">
            <v>Default value</v>
          </cell>
          <cell r="D31">
            <v>0.85</v>
          </cell>
          <cell r="E31">
            <v>0.85</v>
          </cell>
          <cell r="F31">
            <v>0.95</v>
          </cell>
          <cell r="G31">
            <v>0.95</v>
          </cell>
          <cell r="H31">
            <v>0.75</v>
          </cell>
          <cell r="I31">
            <v>0.75</v>
          </cell>
        </row>
        <row r="32">
          <cell r="C32" t="str">
            <v>Override here -&gt;</v>
          </cell>
          <cell r="D32">
            <v>0.85</v>
          </cell>
          <cell r="E32">
            <v>0.85</v>
          </cell>
          <cell r="F32">
            <v>0.95</v>
          </cell>
          <cell r="G32">
            <v>0.95</v>
          </cell>
          <cell r="H32">
            <v>0.75</v>
          </cell>
          <cell r="I32">
            <v>0.75</v>
          </cell>
        </row>
        <row r="33">
          <cell r="B33" t="str">
            <v>Line balancing</v>
          </cell>
          <cell r="C33" t="str">
            <v>Info</v>
          </cell>
          <cell r="D33">
            <v>0.3928571428571429</v>
          </cell>
          <cell r="E33">
            <v>0.3928571428571429</v>
          </cell>
          <cell r="F33">
            <v>0.14027149321267018</v>
          </cell>
          <cell r="G33">
            <v>0.14027149321267018</v>
          </cell>
          <cell r="H33">
            <v>0.625</v>
          </cell>
          <cell r="I33">
            <v>0.625</v>
          </cell>
        </row>
        <row r="34">
          <cell r="B34" t="str">
            <v xml:space="preserve">Nbr of SMT lines </v>
          </cell>
          <cell r="C34" t="str">
            <v>Info</v>
          </cell>
          <cell r="D34">
            <v>0.11074065253631817</v>
          </cell>
          <cell r="E34">
            <v>0.22148130507263633</v>
          </cell>
          <cell r="F34">
            <v>0.31939214631522356</v>
          </cell>
          <cell r="G34">
            <v>0.42585619508696465</v>
          </cell>
          <cell r="H34">
            <v>3.5612535612535611E-8</v>
          </cell>
          <cell r="I34">
            <v>3.5612535612535611E-8</v>
          </cell>
        </row>
        <row r="35">
          <cell r="B35" t="str">
            <v>Wave Machine</v>
          </cell>
          <cell r="C35" t="str">
            <v>Default value</v>
          </cell>
          <cell r="D35" t="str">
            <v>N</v>
          </cell>
          <cell r="E35" t="str">
            <v>N</v>
          </cell>
          <cell r="F35" t="str">
            <v>N</v>
          </cell>
          <cell r="G35" t="str">
            <v>N</v>
          </cell>
          <cell r="H35" t="str">
            <v>N</v>
          </cell>
          <cell r="I35" t="str">
            <v>N</v>
          </cell>
        </row>
        <row r="36">
          <cell r="C36" t="str">
            <v>Changed for reported VOL !!!</v>
          </cell>
          <cell r="D36" t="str">
            <v>Y</v>
          </cell>
          <cell r="E36" t="str">
            <v>Y</v>
          </cell>
          <cell r="F36" t="str">
            <v>Y</v>
          </cell>
          <cell r="G36" t="str">
            <v>Y</v>
          </cell>
          <cell r="H36" t="str">
            <v>N</v>
          </cell>
          <cell r="I36" t="str">
            <v>N</v>
          </cell>
        </row>
        <row r="37">
          <cell r="B37" t="str">
            <v>ICT Yield</v>
          </cell>
          <cell r="C37" t="str">
            <v>Default value</v>
          </cell>
          <cell r="D37">
            <v>0.94</v>
          </cell>
          <cell r="E37">
            <v>0.94</v>
          </cell>
          <cell r="F37">
            <v>0.96</v>
          </cell>
          <cell r="G37">
            <v>0.96</v>
          </cell>
          <cell r="H37">
            <v>0.88</v>
          </cell>
          <cell r="I37">
            <v>0.88</v>
          </cell>
        </row>
        <row r="38">
          <cell r="C38" t="str">
            <v>Override here -&gt;</v>
          </cell>
          <cell r="D38">
            <v>0.94</v>
          </cell>
          <cell r="E38">
            <v>0.94</v>
          </cell>
          <cell r="F38">
            <v>0.96</v>
          </cell>
          <cell r="G38">
            <v>0.96</v>
          </cell>
          <cell r="H38">
            <v>0.88</v>
          </cell>
          <cell r="I38">
            <v>0.88</v>
          </cell>
        </row>
        <row r="39">
          <cell r="B39" t="str">
            <v>FCT Yield</v>
          </cell>
          <cell r="C39" t="str">
            <v>Default value</v>
          </cell>
          <cell r="D39">
            <v>0.92500000000000004</v>
          </cell>
          <cell r="E39">
            <v>0.92500000000000004</v>
          </cell>
          <cell r="F39">
            <v>0.95</v>
          </cell>
          <cell r="G39">
            <v>0.95</v>
          </cell>
          <cell r="H39">
            <v>0.9</v>
          </cell>
          <cell r="I39">
            <v>0.9</v>
          </cell>
        </row>
        <row r="40">
          <cell r="C40" t="str">
            <v>Changed for reported VOL !!!</v>
          </cell>
          <cell r="D40">
            <v>0.9</v>
          </cell>
          <cell r="E40">
            <v>0.9</v>
          </cell>
          <cell r="F40">
            <v>0.9</v>
          </cell>
          <cell r="G40">
            <v>0.9</v>
          </cell>
          <cell r="H40">
            <v>0.9</v>
          </cell>
          <cell r="I40">
            <v>0.9</v>
          </cell>
        </row>
        <row r="41">
          <cell r="B41" t="str">
            <v xml:space="preserve"> FCT tester per operator</v>
          </cell>
          <cell r="C41" t="str">
            <v>Default value</v>
          </cell>
          <cell r="D41">
            <v>2</v>
          </cell>
          <cell r="E41">
            <v>2</v>
          </cell>
          <cell r="F41">
            <v>3</v>
          </cell>
          <cell r="G41">
            <v>3</v>
          </cell>
          <cell r="H41">
            <v>1</v>
          </cell>
          <cell r="I41">
            <v>1</v>
          </cell>
        </row>
        <row r="42">
          <cell r="C42" t="str">
            <v>Changed for reported VOL !!!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</row>
        <row r="43">
          <cell r="B43" t="str">
            <v>BI Yield</v>
          </cell>
          <cell r="C43" t="str">
            <v>Default value</v>
          </cell>
          <cell r="D43">
            <v>0.99</v>
          </cell>
          <cell r="E43">
            <v>0.99</v>
          </cell>
          <cell r="F43">
            <v>1</v>
          </cell>
          <cell r="G43">
            <v>1</v>
          </cell>
          <cell r="H43">
            <v>0.98</v>
          </cell>
          <cell r="I43">
            <v>0.98</v>
          </cell>
        </row>
        <row r="44">
          <cell r="C44" t="str">
            <v>Override here -&gt;</v>
          </cell>
          <cell r="D44">
            <v>0.99</v>
          </cell>
          <cell r="E44">
            <v>0.99</v>
          </cell>
          <cell r="F44">
            <v>1</v>
          </cell>
          <cell r="G44">
            <v>1</v>
          </cell>
          <cell r="H44">
            <v>0.98</v>
          </cell>
          <cell r="I44">
            <v>0.98</v>
          </cell>
        </row>
        <row r="45">
          <cell r="B45" t="str">
            <v>MSCC on RM (w/o F&amp;D, w/o WC)</v>
          </cell>
          <cell r="C45" t="str">
            <v>Default value</v>
          </cell>
          <cell r="D45">
            <v>2.0743491671209823E-2</v>
          </cell>
          <cell r="E45">
            <v>1.8604951966170395E-2</v>
          </cell>
          <cell r="F45">
            <v>1.5242103050925051E-2</v>
          </cell>
          <cell r="G45">
            <v>1.503164483231253E-2</v>
          </cell>
          <cell r="H45">
            <v>0.5</v>
          </cell>
          <cell r="I45">
            <v>0.5</v>
          </cell>
        </row>
        <row r="46">
          <cell r="A46">
            <v>36</v>
          </cell>
          <cell r="C46" t="str">
            <v>Override here -&gt;</v>
          </cell>
          <cell r="D46">
            <v>2.0743491671209823E-2</v>
          </cell>
          <cell r="E46">
            <v>1.8604951966170395E-2</v>
          </cell>
          <cell r="F46">
            <v>1.5242103050925051E-2</v>
          </cell>
          <cell r="G46">
            <v>1.503164483231253E-2</v>
          </cell>
          <cell r="H46">
            <v>0.5</v>
          </cell>
          <cell r="I46">
            <v>0.5</v>
          </cell>
        </row>
        <row r="47">
          <cell r="B47" t="str">
            <v>Inbound F&amp;D</v>
          </cell>
          <cell r="C47" t="str">
            <v>Default value</v>
          </cell>
          <cell r="D47">
            <v>6.6E-3</v>
          </cell>
          <cell r="E47">
            <v>6.6E-3</v>
          </cell>
          <cell r="F47">
            <v>6.6E-3</v>
          </cell>
          <cell r="G47">
            <v>6.6E-3</v>
          </cell>
          <cell r="H47">
            <v>1.12E-2</v>
          </cell>
          <cell r="I47">
            <v>1.12E-2</v>
          </cell>
        </row>
        <row r="48">
          <cell r="C48" t="str">
            <v>Override here -&gt;</v>
          </cell>
          <cell r="D48">
            <v>6.6E-3</v>
          </cell>
          <cell r="E48">
            <v>6.6E-3</v>
          </cell>
          <cell r="F48">
            <v>6.6E-3</v>
          </cell>
          <cell r="G48">
            <v>6.6E-3</v>
          </cell>
          <cell r="H48">
            <v>1.12E-2</v>
          </cell>
          <cell r="I48">
            <v>1.12E-2</v>
          </cell>
        </row>
        <row r="49">
          <cell r="B49" t="str">
            <v>Attrition</v>
          </cell>
          <cell r="C49" t="str">
            <v>Default value</v>
          </cell>
          <cell r="D49">
            <v>6.0000000000000001E-3</v>
          </cell>
          <cell r="E49">
            <v>6.0000000000000001E-3</v>
          </cell>
          <cell r="F49">
            <v>4.0000000000000001E-3</v>
          </cell>
          <cell r="G49">
            <v>4.0000000000000001E-3</v>
          </cell>
          <cell r="H49">
            <v>8.0000000000000002E-3</v>
          </cell>
          <cell r="I49">
            <v>8.0000000000000002E-3</v>
          </cell>
        </row>
        <row r="50">
          <cell r="C50" t="str">
            <v>Override here -&gt;</v>
          </cell>
          <cell r="D50">
            <v>6.0000000000000001E-3</v>
          </cell>
          <cell r="E50">
            <v>6.0000000000000001E-3</v>
          </cell>
          <cell r="F50">
            <v>4.0000000000000001E-3</v>
          </cell>
          <cell r="G50">
            <v>4.0000000000000001E-3</v>
          </cell>
          <cell r="H50">
            <v>8.0000000000000002E-3</v>
          </cell>
          <cell r="I50">
            <v>8.0000000000000002E-3</v>
          </cell>
        </row>
        <row r="51">
          <cell r="B51" t="str">
            <v>Scrap</v>
          </cell>
          <cell r="C51" t="str">
            <v>Default value</v>
          </cell>
          <cell r="D51">
            <v>3.4999999999999996E-3</v>
          </cell>
          <cell r="E51">
            <v>3.4999999999999996E-3</v>
          </cell>
          <cell r="F51">
            <v>3.0000000000000001E-3</v>
          </cell>
          <cell r="G51">
            <v>3.0000000000000001E-3</v>
          </cell>
          <cell r="H51">
            <v>5.0000000000000001E-3</v>
          </cell>
          <cell r="I51">
            <v>5.0000000000000001E-3</v>
          </cell>
        </row>
        <row r="52">
          <cell r="A52">
            <v>42</v>
          </cell>
          <cell r="C52" t="str">
            <v>Override here -&gt;</v>
          </cell>
          <cell r="D52">
            <v>3.4999999999999996E-3</v>
          </cell>
          <cell r="E52">
            <v>3.4999999999999996E-3</v>
          </cell>
          <cell r="F52">
            <v>3.0000000000000001E-3</v>
          </cell>
          <cell r="G52">
            <v>3.0000000000000001E-3</v>
          </cell>
          <cell r="H52">
            <v>5.0000000000000001E-3</v>
          </cell>
          <cell r="I52">
            <v>5.0000000000000001E-3</v>
          </cell>
        </row>
        <row r="53">
          <cell r="B53" t="str">
            <v>SG&amp;A on Revenue</v>
          </cell>
          <cell r="C53" t="str">
            <v>Default value</v>
          </cell>
          <cell r="D53">
            <v>0.03</v>
          </cell>
          <cell r="E53">
            <v>0.03</v>
          </cell>
          <cell r="F53">
            <v>0.03</v>
          </cell>
          <cell r="G53">
            <v>0.03</v>
          </cell>
          <cell r="H53">
            <v>0.05</v>
          </cell>
          <cell r="I53">
            <v>0.05</v>
          </cell>
        </row>
        <row r="54">
          <cell r="A54">
            <v>44</v>
          </cell>
          <cell r="C54" t="str">
            <v>Override here -&gt;</v>
          </cell>
          <cell r="D54">
            <v>0.03</v>
          </cell>
          <cell r="E54">
            <v>0.03</v>
          </cell>
          <cell r="F54">
            <v>0.03</v>
          </cell>
          <cell r="G54">
            <v>0.03</v>
          </cell>
          <cell r="H54">
            <v>0.05</v>
          </cell>
          <cell r="I54">
            <v>0.05</v>
          </cell>
        </row>
        <row r="55">
          <cell r="B55" t="str">
            <v>Turn</v>
          </cell>
          <cell r="C55" t="str">
            <v>Default value</v>
          </cell>
          <cell r="D55">
            <v>7.7669902912621342</v>
          </cell>
          <cell r="E55">
            <v>8.9775561097256862</v>
          </cell>
          <cell r="F55">
            <v>13.479539983952927</v>
          </cell>
          <cell r="G55">
            <v>13.926499032882012</v>
          </cell>
          <cell r="H55">
            <v>1.8715882505848711</v>
          </cell>
          <cell r="I55">
            <v>1.8715882505848711</v>
          </cell>
        </row>
        <row r="56">
          <cell r="A56">
            <v>46</v>
          </cell>
          <cell r="C56" t="str">
            <v>Override here -&gt;</v>
          </cell>
          <cell r="D56">
            <v>7.7669902912621342</v>
          </cell>
          <cell r="E56">
            <v>8.9775561097256862</v>
          </cell>
          <cell r="F56">
            <v>13.479539983952927</v>
          </cell>
          <cell r="G56">
            <v>13.926499032882012</v>
          </cell>
          <cell r="H56">
            <v>1.8715882505848711</v>
          </cell>
          <cell r="I56">
            <v>1.8715882505848711</v>
          </cell>
        </row>
        <row r="57">
          <cell r="B57" t="str">
            <v>Month of Warranty</v>
          </cell>
          <cell r="C57" t="str">
            <v>Default value</v>
          </cell>
          <cell r="D57">
            <v>24</v>
          </cell>
          <cell r="E57">
            <v>24</v>
          </cell>
          <cell r="F57">
            <v>24</v>
          </cell>
          <cell r="G57">
            <v>24</v>
          </cell>
          <cell r="H57">
            <v>24</v>
          </cell>
          <cell r="I57">
            <v>24</v>
          </cell>
        </row>
        <row r="58">
          <cell r="C58" t="str">
            <v>Changed for reported VOL !!!</v>
          </cell>
          <cell r="D58">
            <v>12</v>
          </cell>
          <cell r="E58">
            <v>12</v>
          </cell>
          <cell r="F58">
            <v>12</v>
          </cell>
          <cell r="G58">
            <v>12</v>
          </cell>
          <cell r="H58">
            <v>24</v>
          </cell>
          <cell r="I58">
            <v>24</v>
          </cell>
        </row>
        <row r="60">
          <cell r="B60" t="str">
            <v>OVERRIDABLE PARAMETERS (PRICE)</v>
          </cell>
        </row>
        <row r="62">
          <cell r="B62" t="str">
            <v>Material Margin</v>
          </cell>
          <cell r="C62" t="str">
            <v>Default value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A63">
            <v>53</v>
          </cell>
          <cell r="C63" t="str">
            <v>Override here -&gt;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B64" t="str">
            <v>Labor Margin</v>
          </cell>
          <cell r="C64" t="str">
            <v>Info</v>
          </cell>
          <cell r="D64">
            <v>7.9513225309503513E-5</v>
          </cell>
          <cell r="E64">
            <v>2.6671278163677658E-5</v>
          </cell>
          <cell r="F64">
            <v>6.4364727481735412E-2</v>
          </cell>
          <cell r="G64">
            <v>6.5918777527363373E-2</v>
          </cell>
          <cell r="H64">
            <v>4.2028769774448638E-2</v>
          </cell>
          <cell r="I64">
            <v>4.2028769774448638E-2</v>
          </cell>
        </row>
        <row r="65">
          <cell r="B65" t="str">
            <v>PBIT Target</v>
          </cell>
          <cell r="C65" t="str">
            <v>Default value</v>
          </cell>
          <cell r="D65">
            <v>0.04</v>
          </cell>
          <cell r="E65">
            <v>0.04</v>
          </cell>
          <cell r="F65">
            <v>0.04</v>
          </cell>
          <cell r="G65">
            <v>0.04</v>
          </cell>
          <cell r="H65">
            <v>0.04</v>
          </cell>
          <cell r="I65">
            <v>0.04</v>
          </cell>
        </row>
        <row r="66">
          <cell r="A66">
            <v>56</v>
          </cell>
          <cell r="C66" t="str">
            <v>Changed for reported VOL !!!</v>
          </cell>
          <cell r="D66">
            <v>5.1499999999999997E-2</v>
          </cell>
          <cell r="E66">
            <v>5.0160000000000003E-2</v>
          </cell>
          <cell r="F66">
            <v>0.04</v>
          </cell>
          <cell r="G66">
            <v>0.04</v>
          </cell>
          <cell r="H66">
            <v>0.04</v>
          </cell>
          <cell r="I66">
            <v>0.04</v>
          </cell>
        </row>
        <row r="69">
          <cell r="B69" t="str">
            <v>CP Nominal Speed</v>
          </cell>
          <cell r="D69">
            <v>40000</v>
          </cell>
          <cell r="E69">
            <v>40000</v>
          </cell>
          <cell r="F69">
            <v>72000</v>
          </cell>
          <cell r="G69">
            <v>72000</v>
          </cell>
          <cell r="H69">
            <v>40000</v>
          </cell>
          <cell r="I69">
            <v>40000</v>
          </cell>
        </row>
        <row r="70">
          <cell r="B70" t="str">
            <v>Product Factor</v>
          </cell>
          <cell r="D70">
            <v>0.65</v>
          </cell>
          <cell r="E70">
            <v>0.65</v>
          </cell>
          <cell r="F70">
            <v>0.7</v>
          </cell>
          <cell r="G70">
            <v>0.7</v>
          </cell>
          <cell r="H70">
            <v>0.65</v>
          </cell>
          <cell r="I70">
            <v>0.65</v>
          </cell>
        </row>
        <row r="71">
          <cell r="B71" t="str">
            <v>CP Max Speed</v>
          </cell>
          <cell r="D71">
            <v>26000</v>
          </cell>
          <cell r="E71">
            <v>26000</v>
          </cell>
          <cell r="F71">
            <v>50400</v>
          </cell>
          <cell r="G71">
            <v>50400</v>
          </cell>
          <cell r="H71">
            <v>26000</v>
          </cell>
          <cell r="I71">
            <v>26000</v>
          </cell>
        </row>
        <row r="72">
          <cell r="B72" t="str">
            <v>QP Max Speed</v>
          </cell>
          <cell r="D72">
            <v>2000</v>
          </cell>
          <cell r="E72">
            <v>2000</v>
          </cell>
          <cell r="F72">
            <v>2000</v>
          </cell>
          <cell r="G72">
            <v>2000</v>
          </cell>
          <cell r="H72">
            <v>2000</v>
          </cell>
          <cell r="I72">
            <v>2000</v>
          </cell>
        </row>
        <row r="73">
          <cell r="B73" t="str">
            <v>Set Up Time</v>
          </cell>
          <cell r="D73">
            <v>0.5</v>
          </cell>
          <cell r="E73">
            <v>0.5</v>
          </cell>
          <cell r="F73">
            <v>1</v>
          </cell>
          <cell r="G73">
            <v>1</v>
          </cell>
          <cell r="H73">
            <v>0.5</v>
          </cell>
          <cell r="I73">
            <v>0.5</v>
          </cell>
        </row>
        <row r="74">
          <cell r="B74" t="str">
            <v>SMT operator</v>
          </cell>
          <cell r="D74">
            <v>3</v>
          </cell>
          <cell r="E74">
            <v>3</v>
          </cell>
          <cell r="F74">
            <v>4</v>
          </cell>
          <cell r="G74">
            <v>4</v>
          </cell>
          <cell r="H74">
            <v>3</v>
          </cell>
          <cell r="I74">
            <v>3</v>
          </cell>
        </row>
        <row r="75">
          <cell r="B75" t="str">
            <v>Conveyors</v>
          </cell>
          <cell r="D75">
            <v>3</v>
          </cell>
          <cell r="E75">
            <v>3</v>
          </cell>
          <cell r="F75">
            <v>4</v>
          </cell>
          <cell r="G75">
            <v>4</v>
          </cell>
          <cell r="H75">
            <v>3</v>
          </cell>
          <cell r="I75">
            <v>3</v>
          </cell>
        </row>
      </sheetData>
      <sheetData sheetId="5"/>
      <sheetData sheetId="6">
        <row r="9">
          <cell r="B9" t="str">
            <v>Volume band</v>
          </cell>
          <cell r="E9" t="str">
            <v>VOL1</v>
          </cell>
          <cell r="F9" t="str">
            <v>VOL2</v>
          </cell>
          <cell r="G9" t="str">
            <v>VOL3</v>
          </cell>
          <cell r="H9" t="str">
            <v>VOL4</v>
          </cell>
          <cell r="I9" t="str">
            <v>VOL5</v>
          </cell>
          <cell r="J9" t="str">
            <v>VOL6</v>
          </cell>
        </row>
        <row r="10">
          <cell r="B10" t="str">
            <v>Production site</v>
          </cell>
          <cell r="E10" t="str">
            <v>Batam</v>
          </cell>
          <cell r="F10" t="str">
            <v>Batam</v>
          </cell>
          <cell r="G10" t="str">
            <v>Batam</v>
          </cell>
          <cell r="H10" t="str">
            <v>Batam</v>
          </cell>
          <cell r="I10" t="str">
            <v>Bordeaux</v>
          </cell>
          <cell r="J10" t="str">
            <v>Bordeaux</v>
          </cell>
        </row>
        <row r="11">
          <cell r="B11" t="str">
            <v>Material</v>
          </cell>
          <cell r="E11" t="str">
            <v xml:space="preserve"> </v>
          </cell>
          <cell r="F11" t="str">
            <v xml:space="preserve"> </v>
          </cell>
          <cell r="G11" t="str">
            <v xml:space="preserve"> </v>
          </cell>
          <cell r="H11" t="str">
            <v xml:space="preserve"> </v>
          </cell>
          <cell r="I11" t="str">
            <v xml:space="preserve"> </v>
          </cell>
          <cell r="J11" t="str">
            <v xml:space="preserve"> </v>
          </cell>
          <cell r="K11" t="str">
            <v xml:space="preserve">  </v>
          </cell>
        </row>
        <row r="12">
          <cell r="A12">
            <v>4</v>
          </cell>
          <cell r="B12" t="str">
            <v>Raw Material</v>
          </cell>
          <cell r="E12">
            <v>2.9980450199999997</v>
          </cell>
          <cell r="F12">
            <v>2.9928950199999997</v>
          </cell>
          <cell r="G12">
            <v>4.2412718800000029</v>
          </cell>
          <cell r="H12">
            <v>4.2361218800000033</v>
          </cell>
          <cell r="I12">
            <v>1</v>
          </cell>
          <cell r="J12">
            <v>1</v>
          </cell>
        </row>
        <row r="13">
          <cell r="B13" t="str">
            <v>F&amp;D</v>
          </cell>
          <cell r="E13">
            <v>1.9787097131999998E-2</v>
          </cell>
          <cell r="F13">
            <v>1.9753107131999997E-2</v>
          </cell>
          <cell r="G13">
            <v>2.7992394408000019E-2</v>
          </cell>
          <cell r="H13">
            <v>2.7958404408000022E-2</v>
          </cell>
          <cell r="I13">
            <v>1.12E-2</v>
          </cell>
          <cell r="J13">
            <v>1.12E-2</v>
          </cell>
        </row>
        <row r="14">
          <cell r="B14" t="str">
            <v>E&amp;O</v>
          </cell>
          <cell r="E14">
            <v>1.5089160585659999E-2</v>
          </cell>
          <cell r="F14">
            <v>1.5063240635659999E-2</v>
          </cell>
          <cell r="G14">
            <v>2.1346321372040015E-2</v>
          </cell>
          <cell r="H14">
            <v>2.132040142204002E-2</v>
          </cell>
          <cell r="I14">
            <v>2.9118699344006893E-7</v>
          </cell>
          <cell r="J14">
            <v>2.9118699344006893E-7</v>
          </cell>
        </row>
        <row r="15">
          <cell r="B15" t="str">
            <v>Attrition</v>
          </cell>
          <cell r="E15">
            <v>1.8106992702791997E-2</v>
          </cell>
          <cell r="F15">
            <v>1.8075888762791998E-2</v>
          </cell>
          <cell r="G15">
            <v>1.707705709763201E-2</v>
          </cell>
          <cell r="H15">
            <v>1.7056321137632016E-2</v>
          </cell>
          <cell r="I15">
            <v>4.6589918950411026E-7</v>
          </cell>
          <cell r="J15">
            <v>4.6589918950411026E-7</v>
          </cell>
        </row>
        <row r="16">
          <cell r="B16" t="str">
            <v>Material fix costs</v>
          </cell>
          <cell r="E16">
            <v>1.5089160585659999E-2</v>
          </cell>
          <cell r="F16">
            <v>1.5063240635659999E-2</v>
          </cell>
          <cell r="G16">
            <v>2.1346321372040015E-2</v>
          </cell>
          <cell r="H16">
            <v>2.132040142204002E-2</v>
          </cell>
          <cell r="I16">
            <v>2.9118699344006893E-7</v>
          </cell>
          <cell r="J16">
            <v>2.9118699344006893E-7</v>
          </cell>
        </row>
        <row r="17">
          <cell r="B17" t="str">
            <v>Material Labor</v>
          </cell>
          <cell r="E17">
            <v>1.2458668666666665E-2</v>
          </cell>
          <cell r="F17">
            <v>6.2293343333333327E-3</v>
          </cell>
          <cell r="G17">
            <v>3.4003219666666668E-3</v>
          </cell>
          <cell r="H17">
            <v>2.5502414750000002E-3</v>
          </cell>
          <cell r="I17">
            <v>0.4999987928021648</v>
          </cell>
          <cell r="J17">
            <v>0.4999987928021648</v>
          </cell>
        </row>
        <row r="18">
          <cell r="B18" t="str">
            <v>Warehousing</v>
          </cell>
          <cell r="E18">
            <v>1.4459393615034156E-3</v>
          </cell>
          <cell r="F18">
            <v>1.2509637194452416E-3</v>
          </cell>
          <cell r="G18">
            <v>1.4758812535719738E-3</v>
          </cell>
          <cell r="H18">
            <v>1.4285141098360451E-3</v>
          </cell>
          <cell r="I18">
            <v>1.5892465882931366E-7</v>
          </cell>
          <cell r="J18">
            <v>1.5892465882931366E-7</v>
          </cell>
        </row>
        <row r="19">
          <cell r="A19">
            <v>11</v>
          </cell>
          <cell r="B19" t="str">
            <v>Total Material Cost</v>
          </cell>
          <cell r="E19">
            <v>3.0800220390342816</v>
          </cell>
          <cell r="F19">
            <v>3.0683307952188899</v>
          </cell>
          <cell r="G19">
            <v>4.3339101774699538</v>
          </cell>
          <cell r="H19">
            <v>4.3277561639745521</v>
          </cell>
          <cell r="I19">
            <v>1.5111999999999999</v>
          </cell>
          <cell r="J19">
            <v>1.5111999999999999</v>
          </cell>
        </row>
        <row r="21">
          <cell r="B21" t="str">
            <v xml:space="preserve">Labor </v>
          </cell>
          <cell r="E21" t="str">
            <v xml:space="preserve"> </v>
          </cell>
          <cell r="F21" t="str">
            <v xml:space="preserve"> </v>
          </cell>
          <cell r="G21" t="str">
            <v xml:space="preserve"> </v>
          </cell>
          <cell r="H21" t="str">
            <v xml:space="preserve"> </v>
          </cell>
          <cell r="I21" t="str">
            <v xml:space="preserve"> </v>
          </cell>
          <cell r="J21" t="str">
            <v xml:space="preserve"> </v>
          </cell>
        </row>
        <row r="22">
          <cell r="B22" t="str">
            <v>Direct Labor</v>
          </cell>
          <cell r="E22">
            <v>0.10945728512701113</v>
          </cell>
          <cell r="F22">
            <v>0.10945728512701113</v>
          </cell>
          <cell r="G22">
            <v>0.10724123268886122</v>
          </cell>
          <cell r="H22">
            <v>0.10724123268886122</v>
          </cell>
          <cell r="I22">
            <v>305.57864481842336</v>
          </cell>
          <cell r="J22">
            <v>305.57864481842336</v>
          </cell>
        </row>
        <row r="23">
          <cell r="B23" t="str">
            <v>Indirect labor</v>
          </cell>
          <cell r="E23">
            <v>5.137766400000001E-2</v>
          </cell>
          <cell r="F23">
            <v>5.137766400000001E-2</v>
          </cell>
          <cell r="G23">
            <v>4.6239897600000003E-2</v>
          </cell>
          <cell r="H23">
            <v>4.4955456000000005E-2</v>
          </cell>
          <cell r="I23">
            <v>424.00799999999998</v>
          </cell>
          <cell r="J23">
            <v>424.00799999999998</v>
          </cell>
        </row>
        <row r="24">
          <cell r="B24" t="str">
            <v>Exempt Labor</v>
          </cell>
          <cell r="E24">
            <v>1.6714029839228293E-2</v>
          </cell>
          <cell r="F24">
            <v>1.6714029839228293E-2</v>
          </cell>
          <cell r="G24">
            <v>1.0272666315789471E-2</v>
          </cell>
          <cell r="H24">
            <v>9.7590329999999968E-3</v>
          </cell>
          <cell r="I24">
            <v>659.84156558317409</v>
          </cell>
          <cell r="J24">
            <v>659.84156558317409</v>
          </cell>
        </row>
        <row r="25">
          <cell r="B25" t="str">
            <v>Depreciation</v>
          </cell>
          <cell r="E25">
            <v>0.30004972329078206</v>
          </cell>
          <cell r="F25">
            <v>0.30004972329078206</v>
          </cell>
          <cell r="G25">
            <v>0.26110788320624068</v>
          </cell>
          <cell r="H25">
            <v>0.26110788320624062</v>
          </cell>
          <cell r="I25">
            <v>0.17332205603038936</v>
          </cell>
          <cell r="J25">
            <v>0.17332205603038936</v>
          </cell>
        </row>
        <row r="26">
          <cell r="B26" t="str">
            <v>Production Facilities</v>
          </cell>
          <cell r="E26">
            <v>2.6438417709697383E-2</v>
          </cell>
          <cell r="F26">
            <v>2.6438417709697383E-2</v>
          </cell>
          <cell r="G26">
            <v>1.5250448293519533E-2</v>
          </cell>
          <cell r="H26">
            <v>1.525044829351953E-2</v>
          </cell>
          <cell r="I26">
            <v>1.0449243720619185E-2</v>
          </cell>
          <cell r="J26">
            <v>1.0449243720619185E-2</v>
          </cell>
        </row>
        <row r="27">
          <cell r="B27" t="str">
            <v>Operating Supplies</v>
          </cell>
          <cell r="E27">
            <v>3.4000000000000002E-2</v>
          </cell>
          <cell r="F27">
            <v>3.4000000000000002E-2</v>
          </cell>
          <cell r="G27">
            <v>6.0999999999999999E-2</v>
          </cell>
          <cell r="H27">
            <v>6.0999999999999999E-2</v>
          </cell>
          <cell r="I27">
            <v>1E-3</v>
          </cell>
          <cell r="J27">
            <v>1E-3</v>
          </cell>
        </row>
        <row r="28">
          <cell r="B28" t="str">
            <v>Other Production Costs</v>
          </cell>
          <cell r="E28">
            <v>4.4296261014527263E-3</v>
          </cell>
          <cell r="F28">
            <v>4.4296261014527263E-3</v>
          </cell>
          <cell r="G28">
            <v>2.5551371705217884E-3</v>
          </cell>
          <cell r="H28">
            <v>2.555137170521788E-3</v>
          </cell>
          <cell r="I28">
            <v>4.2735042735042735E-4</v>
          </cell>
          <cell r="J28">
            <v>4.2735042735042735E-4</v>
          </cell>
        </row>
        <row r="29">
          <cell r="B29" t="str">
            <v>Scrap on Line</v>
          </cell>
          <cell r="E29">
            <v>1.2678710747858583E-2</v>
          </cell>
          <cell r="F29">
            <v>1.2637791394504713E-2</v>
          </cell>
          <cell r="G29">
            <v>1.451273232823466E-2</v>
          </cell>
          <cell r="H29">
            <v>1.4488876063001085E-2</v>
          </cell>
          <cell r="I29">
            <v>6.9556230452588785</v>
          </cell>
          <cell r="J29">
            <v>6.9556230452588785</v>
          </cell>
        </row>
        <row r="30">
          <cell r="B30" t="str">
            <v xml:space="preserve"> Std Packaging Mtl</v>
          </cell>
          <cell r="E30">
            <v>9.9999999999999995E-8</v>
          </cell>
          <cell r="F30">
            <v>9.9999999999999995E-8</v>
          </cell>
          <cell r="G30">
            <v>9.9999999999999995E-8</v>
          </cell>
          <cell r="H30">
            <v>9.9999999999999995E-8</v>
          </cell>
          <cell r="I30">
            <v>0.2</v>
          </cell>
          <cell r="J30">
            <v>0.2</v>
          </cell>
        </row>
        <row r="31">
          <cell r="B31" t="str">
            <v xml:space="preserve"> Warranty</v>
          </cell>
          <cell r="E31">
            <v>1.2252380952380952E-2</v>
          </cell>
          <cell r="F31">
            <v>1.2252380952380952E-2</v>
          </cell>
          <cell r="G31">
            <v>1.2252380952380954E-2</v>
          </cell>
          <cell r="H31">
            <v>1.2252380952380954E-2</v>
          </cell>
          <cell r="I31">
            <v>0.56624999999999992</v>
          </cell>
          <cell r="J31">
            <v>0.56624999999999992</v>
          </cell>
        </row>
        <row r="32">
          <cell r="A32">
            <v>24</v>
          </cell>
          <cell r="B32" t="str">
            <v xml:space="preserve"> Total Transformation Cost</v>
          </cell>
          <cell r="E32">
            <v>0.56739793776841096</v>
          </cell>
          <cell r="F32">
            <v>0.56735701841505715</v>
          </cell>
          <cell r="G32">
            <v>0.5304324785555482</v>
          </cell>
          <cell r="H32">
            <v>0.52861054737452506</v>
          </cell>
          <cell r="I32">
            <v>1397.3352820970347</v>
          </cell>
          <cell r="J32">
            <v>1397.3352820970347</v>
          </cell>
        </row>
        <row r="34">
          <cell r="B34" t="str">
            <v xml:space="preserve">Allocations </v>
          </cell>
        </row>
        <row r="35">
          <cell r="B35" t="str">
            <v>Facility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</row>
        <row r="36">
          <cell r="B36" t="str">
            <v>IT</v>
          </cell>
          <cell r="D36">
            <v>8.0000000000000002E-3</v>
          </cell>
          <cell r="E36">
            <v>3.2118172608058937E-2</v>
          </cell>
          <cell r="F36">
            <v>3.1967711365813299E-2</v>
          </cell>
          <cell r="G36">
            <v>4.2298631791526105E-2</v>
          </cell>
          <cell r="H36">
            <v>4.2229275750861543E-2</v>
          </cell>
          <cell r="I36">
            <v>12.434190951973642</v>
          </cell>
          <cell r="J36">
            <v>12.434190951973642</v>
          </cell>
        </row>
        <row r="37">
          <cell r="B37" t="str">
            <v>Other (security, insurance)</v>
          </cell>
          <cell r="D37">
            <v>2E-3</v>
          </cell>
          <cell r="E37">
            <v>8.0295431520147342E-3</v>
          </cell>
          <cell r="F37">
            <v>7.9919278414533248E-3</v>
          </cell>
          <cell r="G37">
            <v>1.0574657947881526E-2</v>
          </cell>
          <cell r="H37">
            <v>1.0557318937715386E-2</v>
          </cell>
          <cell r="I37">
            <v>3.1085477379934106</v>
          </cell>
          <cell r="J37">
            <v>3.1085477379934106</v>
          </cell>
        </row>
        <row r="38">
          <cell r="A38">
            <v>30</v>
          </cell>
          <cell r="B38" t="str">
            <v>Total Allocation Cost</v>
          </cell>
          <cell r="E38">
            <v>4.0147715760073671E-2</v>
          </cell>
          <cell r="F38">
            <v>3.9959639207266626E-2</v>
          </cell>
          <cell r="G38">
            <v>5.2873289739407629E-2</v>
          </cell>
          <cell r="H38">
            <v>5.2786594688576931E-2</v>
          </cell>
          <cell r="I38">
            <v>15.542738689967052</v>
          </cell>
          <cell r="J38">
            <v>15.542738689967052</v>
          </cell>
        </row>
        <row r="40">
          <cell r="B40" t="str">
            <v>Specials (Brazil)</v>
          </cell>
        </row>
        <row r="41">
          <cell r="B41" t="str">
            <v>Rebates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B42" t="str">
            <v>CMPF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B43" t="str">
            <v>R&amp;D (Brazil)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36</v>
          </cell>
          <cell r="B44" t="str">
            <v>Total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6">
          <cell r="A46">
            <v>38</v>
          </cell>
          <cell r="B46" t="str">
            <v>SG&amp;A</v>
          </cell>
          <cell r="D46">
            <v>0.03</v>
          </cell>
          <cell r="E46">
            <v>0.120443147280221</v>
          </cell>
          <cell r="F46">
            <v>0.11987891762179988</v>
          </cell>
          <cell r="G46">
            <v>0.15861986921822288</v>
          </cell>
          <cell r="H46">
            <v>0.15835978406573076</v>
          </cell>
          <cell r="I46">
            <v>77.713693449835262</v>
          </cell>
          <cell r="J46">
            <v>77.713693449835262</v>
          </cell>
          <cell r="K46" t="str">
            <v xml:space="preserve"> </v>
          </cell>
        </row>
        <row r="48">
          <cell r="B48" t="str">
            <v>PBIT</v>
          </cell>
          <cell r="E48">
            <v>0.20676073616437929</v>
          </cell>
          <cell r="F48">
            <v>0.20043755026364929</v>
          </cell>
          <cell r="G48">
            <v>0.21149315895763099</v>
          </cell>
          <cell r="H48">
            <v>0.21114637875430819</v>
          </cell>
          <cell r="I48">
            <v>62.170954759868124</v>
          </cell>
          <cell r="J48">
            <v>62.170954759868124</v>
          </cell>
        </row>
        <row r="50">
          <cell r="A50">
            <v>42</v>
          </cell>
          <cell r="B50" t="str">
            <v>Interests</v>
          </cell>
          <cell r="E50">
            <v>0.20671011883714116</v>
          </cell>
          <cell r="F50">
            <v>0.2004207506390818</v>
          </cell>
          <cell r="G50">
            <v>0.16956215911567238</v>
          </cell>
          <cell r="H50">
            <v>0.16833138857689869</v>
          </cell>
          <cell r="I50">
            <v>0.16226646750965928</v>
          </cell>
          <cell r="J50">
            <v>0.16226646750965928</v>
          </cell>
        </row>
        <row r="52">
          <cell r="B52" t="str">
            <v>PBT</v>
          </cell>
          <cell r="E52">
            <v>5.0617327238128285E-5</v>
          </cell>
          <cell r="F52">
            <v>1.6799624567492843E-5</v>
          </cell>
          <cell r="G52">
            <v>4.1930999841958611E-2</v>
          </cell>
          <cell r="H52">
            <v>4.2814990177409501E-2</v>
          </cell>
          <cell r="I52">
            <v>62.008688292358464</v>
          </cell>
          <cell r="J52">
            <v>62.008688292358464</v>
          </cell>
        </row>
        <row r="54">
          <cell r="A54">
            <v>46</v>
          </cell>
          <cell r="B54" t="str">
            <v>Total Price</v>
          </cell>
          <cell r="E54">
            <v>4.0147715760073668</v>
          </cell>
          <cell r="F54">
            <v>3.9959639207266626</v>
          </cell>
          <cell r="G54">
            <v>5.2873289739407632</v>
          </cell>
          <cell r="H54">
            <v>5.2786594688576924</v>
          </cell>
          <cell r="I54">
            <v>1554.2738689967052</v>
          </cell>
          <cell r="J54">
            <v>1554.2738689967052</v>
          </cell>
        </row>
        <row r="56">
          <cell r="B56" t="str">
            <v>Intermediate calculations</v>
          </cell>
        </row>
        <row r="57">
          <cell r="B57" t="str">
            <v>MSCC on RM w/o F&amp;D w/o WC</v>
          </cell>
          <cell r="E57">
            <v>2.0743491671209823E-2</v>
          </cell>
          <cell r="F57">
            <v>1.8604951966170395E-2</v>
          </cell>
          <cell r="G57">
            <v>1.5242103050925051E-2</v>
          </cell>
          <cell r="H57">
            <v>1.503164483231253E-2</v>
          </cell>
          <cell r="I57">
            <v>0.5</v>
          </cell>
          <cell r="J57">
            <v>0.5</v>
          </cell>
        </row>
        <row r="58">
          <cell r="B58" t="str">
            <v>MSCC Budget k$</v>
          </cell>
          <cell r="E58">
            <v>18.656976570684623</v>
          </cell>
          <cell r="F58">
            <v>33.409600852134346</v>
          </cell>
          <cell r="G58">
            <v>96.968854592925993</v>
          </cell>
          <cell r="H58">
            <v>127.35175913309617</v>
          </cell>
          <cell r="I58">
            <v>5.0000000000000001E-4</v>
          </cell>
          <cell r="J58">
            <v>5.0000000000000001E-4</v>
          </cell>
        </row>
        <row r="59">
          <cell r="B59" t="str">
            <v>SG&amp;A Budget k$</v>
          </cell>
          <cell r="E59">
            <v>36.132944184066297</v>
          </cell>
          <cell r="F59">
            <v>71.92735057307992</v>
          </cell>
          <cell r="G59">
            <v>237.92980382733433</v>
          </cell>
          <cell r="H59">
            <v>316.71956813146153</v>
          </cell>
          <cell r="I59">
            <v>7.7713693449835267E-2</v>
          </cell>
          <cell r="J59">
            <v>7.7713693449835267E-2</v>
          </cell>
        </row>
        <row r="60">
          <cell r="B60" t="str">
            <v>Labor Margin</v>
          </cell>
          <cell r="E60">
            <v>7.9513225309503513E-5</v>
          </cell>
          <cell r="F60">
            <v>2.6671278163677658E-5</v>
          </cell>
          <cell r="G60">
            <v>6.4364727481735412E-2</v>
          </cell>
          <cell r="H60">
            <v>6.5918777527363373E-2</v>
          </cell>
          <cell r="I60">
            <v>4.2028769774448638E-2</v>
          </cell>
          <cell r="J60">
            <v>4.2028769774448638E-2</v>
          </cell>
        </row>
        <row r="61">
          <cell r="B61" t="str">
            <v>PBT On Revenue</v>
          </cell>
          <cell r="E61">
            <v>1.2607772641567443E-5</v>
          </cell>
          <cell r="F61">
            <v>4.2041482107370596E-6</v>
          </cell>
          <cell r="G61">
            <v>7.93046924990304E-3</v>
          </cell>
          <cell r="H61">
            <v>8.1109589337981514E-3</v>
          </cell>
          <cell r="I61">
            <v>3.9895599822691162E-2</v>
          </cell>
          <cell r="J61">
            <v>3.9895599822691162E-2</v>
          </cell>
        </row>
        <row r="62">
          <cell r="B62" t="str">
            <v>R&amp;Dbrazil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</row>
        <row r="63">
          <cell r="B63" t="str">
            <v>ITOtherFac% on revenue</v>
          </cell>
          <cell r="E63">
            <v>0.01</v>
          </cell>
          <cell r="F63">
            <v>0.01</v>
          </cell>
          <cell r="G63">
            <v>0.01</v>
          </cell>
          <cell r="H63">
            <v>0.01</v>
          </cell>
          <cell r="I63">
            <v>0.01</v>
          </cell>
          <cell r="J63">
            <v>0.01</v>
          </cell>
        </row>
        <row r="64">
          <cell r="B64" t="str">
            <v>Value Added</v>
          </cell>
          <cell r="E64">
            <v>1.0167265560073671</v>
          </cell>
          <cell r="F64">
            <v>1.0030689007266629</v>
          </cell>
          <cell r="G64">
            <v>1.0460570939407603</v>
          </cell>
          <cell r="H64">
            <v>1.0425375888576891</v>
          </cell>
          <cell r="I64">
            <v>1553.2738689967052</v>
          </cell>
          <cell r="J64">
            <v>1553.2738689967052</v>
          </cell>
        </row>
        <row r="65">
          <cell r="B65" t="str">
            <v>Assy Cost</v>
          </cell>
          <cell r="E65">
            <v>0.39675778042127585</v>
          </cell>
          <cell r="F65">
            <v>0.39672853570421374</v>
          </cell>
          <cell r="G65">
            <v>0.39088649837299222</v>
          </cell>
          <cell r="H65">
            <v>0.38951213366783016</v>
          </cell>
          <cell r="I65">
            <v>1390.843627385279</v>
          </cell>
          <cell r="J65">
            <v>1390.843627385279</v>
          </cell>
        </row>
        <row r="66">
          <cell r="B66" t="str">
            <v>Test Cost</v>
          </cell>
          <cell r="E66">
            <v>0.15838767639475421</v>
          </cell>
          <cell r="F66">
            <v>0.15837600175846259</v>
          </cell>
          <cell r="G66">
            <v>0.12729349923017519</v>
          </cell>
          <cell r="H66">
            <v>0.12684593275431402</v>
          </cell>
          <cell r="I66">
            <v>5.725404711755723</v>
          </cell>
          <cell r="J66">
            <v>5.725404711755723</v>
          </cell>
        </row>
        <row r="67">
          <cell r="B67" t="str">
            <v>Global SR</v>
          </cell>
          <cell r="E67">
            <v>6.4525596895173534</v>
          </cell>
          <cell r="F67">
            <v>6.4520840762042475</v>
          </cell>
          <cell r="G67">
            <v>6.1168273826007011</v>
          </cell>
          <cell r="H67">
            <v>6.0953204958261349</v>
          </cell>
          <cell r="I67">
            <v>23747.584055458945</v>
          </cell>
          <cell r="J67">
            <v>23747.584055458945</v>
          </cell>
        </row>
        <row r="68">
          <cell r="E68">
            <v>0.37705997183638951</v>
          </cell>
          <cell r="F68">
            <v>0.37705997183638951</v>
          </cell>
          <cell r="G68">
            <v>0.37145741554339207</v>
          </cell>
          <cell r="H68">
            <v>0.37145741554339196</v>
          </cell>
          <cell r="I68">
            <v>305.06791835458455</v>
          </cell>
          <cell r="J68">
            <v>305.06791835458455</v>
          </cell>
        </row>
        <row r="69">
          <cell r="B69" t="str">
            <v>Assy SR</v>
          </cell>
          <cell r="E69">
            <v>17.429110417265818</v>
          </cell>
          <cell r="F69">
            <v>17.427825730668729</v>
          </cell>
          <cell r="G69">
            <v>20.177720335554344</v>
          </cell>
          <cell r="H69">
            <v>20.106775069408684</v>
          </cell>
          <cell r="I69">
            <v>129047.34687079908</v>
          </cell>
          <cell r="J69">
            <v>129047.34687079908</v>
          </cell>
        </row>
        <row r="70">
          <cell r="E70">
            <v>0.15052421338083144</v>
          </cell>
          <cell r="F70">
            <v>0.15052421338083144</v>
          </cell>
          <cell r="G70">
            <v>0.12096635324148786</v>
          </cell>
          <cell r="H70">
            <v>0.12096635324148786</v>
          </cell>
          <cell r="I70">
            <v>1.2558114102564104</v>
          </cell>
          <cell r="J70">
            <v>1.2558114102564104</v>
          </cell>
        </row>
        <row r="71">
          <cell r="B71" t="str">
            <v>Test SR</v>
          </cell>
          <cell r="E71">
            <v>2.5033284382443863</v>
          </cell>
          <cell r="F71">
            <v>2.5031439197913086</v>
          </cell>
          <cell r="G71">
            <v>1.9481214013035357</v>
          </cell>
          <cell r="H71">
            <v>1.9412717676977025</v>
          </cell>
          <cell r="I71">
            <v>119.20200426992113</v>
          </cell>
          <cell r="J71">
            <v>119.20200426992113</v>
          </cell>
        </row>
      </sheetData>
      <sheetData sheetId="7">
        <row r="7">
          <cell r="B7" t="str">
            <v>Volume band</v>
          </cell>
          <cell r="D7" t="str">
            <v>VOL1</v>
          </cell>
          <cell r="E7" t="str">
            <v>VOL2</v>
          </cell>
          <cell r="F7" t="str">
            <v>VOL3</v>
          </cell>
          <cell r="G7" t="str">
            <v>VOL4</v>
          </cell>
          <cell r="H7" t="str">
            <v>VOL5</v>
          </cell>
          <cell r="I7" t="str">
            <v>VOL6</v>
          </cell>
        </row>
        <row r="8">
          <cell r="B8" t="str">
            <v>Production site</v>
          </cell>
          <cell r="D8" t="str">
            <v>Batam</v>
          </cell>
          <cell r="E8" t="str">
            <v>Batam</v>
          </cell>
          <cell r="F8" t="str">
            <v>Batam</v>
          </cell>
          <cell r="G8" t="str">
            <v>Batam</v>
          </cell>
          <cell r="H8" t="str">
            <v>Bordeaux</v>
          </cell>
          <cell r="I8" t="str">
            <v>Bordeaux</v>
          </cell>
        </row>
        <row r="9">
          <cell r="B9" t="str">
            <v>Production Country</v>
          </cell>
          <cell r="D9" t="str">
            <v>Indonesia</v>
          </cell>
          <cell r="E9" t="str">
            <v>Indonesia</v>
          </cell>
          <cell r="F9" t="str">
            <v>Indonesia</v>
          </cell>
          <cell r="G9" t="str">
            <v>Indonesia</v>
          </cell>
          <cell r="H9" t="str">
            <v>France</v>
          </cell>
          <cell r="I9" t="str">
            <v>France</v>
          </cell>
        </row>
        <row r="10">
          <cell r="B10" t="str">
            <v>Customer PN</v>
          </cell>
          <cell r="D10" t="str">
            <v>48155-437-50 GFCI</v>
          </cell>
          <cell r="E10" t="str">
            <v>48155-437-50 GFCI</v>
          </cell>
          <cell r="F10" t="str">
            <v>48155-438-50 AFCI</v>
          </cell>
          <cell r="G10" t="str">
            <v>48155-438-50 AFCI</v>
          </cell>
          <cell r="H10" t="str">
            <v xml:space="preserve"> </v>
          </cell>
          <cell r="I10" t="str">
            <v xml:space="preserve"> </v>
          </cell>
        </row>
        <row r="11">
          <cell r="B11" t="str">
            <v>Delivery model</v>
          </cell>
          <cell r="D11" t="str">
            <v>MV</v>
          </cell>
          <cell r="E11" t="str">
            <v>MV</v>
          </cell>
          <cell r="F11" t="str">
            <v>HV</v>
          </cell>
          <cell r="G11" t="str">
            <v>HV</v>
          </cell>
          <cell r="H11" t="str">
            <v>NPI</v>
          </cell>
          <cell r="I11" t="str">
            <v>NPI</v>
          </cell>
        </row>
        <row r="13">
          <cell r="B13" t="str">
            <v>Number of components</v>
          </cell>
          <cell r="D13">
            <v>35</v>
          </cell>
          <cell r="E13">
            <v>35</v>
          </cell>
          <cell r="F13">
            <v>62</v>
          </cell>
          <cell r="G13">
            <v>62</v>
          </cell>
          <cell r="H13">
            <v>1</v>
          </cell>
          <cell r="I13">
            <v>1</v>
          </cell>
        </row>
        <row r="14">
          <cell r="B14" t="str">
            <v>Number of tested components</v>
          </cell>
          <cell r="D14">
            <v>34</v>
          </cell>
          <cell r="E14">
            <v>34</v>
          </cell>
          <cell r="F14">
            <v>61</v>
          </cell>
          <cell r="G14">
            <v>61</v>
          </cell>
          <cell r="H14">
            <v>1</v>
          </cell>
          <cell r="I14">
            <v>1</v>
          </cell>
        </row>
        <row r="15">
          <cell r="B15" t="str">
            <v>Line Equivalent</v>
          </cell>
          <cell r="D15">
            <v>0.11074065253631817</v>
          </cell>
          <cell r="E15">
            <v>0.22148130507263633</v>
          </cell>
          <cell r="F15">
            <v>0.31939214631522356</v>
          </cell>
          <cell r="G15">
            <v>0.42585619508696465</v>
          </cell>
          <cell r="H15">
            <v>3.5612535612535611E-8</v>
          </cell>
          <cell r="I15">
            <v>3.5612535612535611E-8</v>
          </cell>
        </row>
        <row r="16">
          <cell r="B16" t="str">
            <v>Eqt montly Wrk hrs</v>
          </cell>
          <cell r="D16">
            <v>624</v>
          </cell>
          <cell r="E16">
            <v>624</v>
          </cell>
          <cell r="F16">
            <v>624</v>
          </cell>
          <cell r="G16">
            <v>624</v>
          </cell>
          <cell r="H16">
            <v>520</v>
          </cell>
          <cell r="I16">
            <v>520</v>
          </cell>
        </row>
        <row r="17">
          <cell r="B17" t="str">
            <v>Man montly Wrk hrs</v>
          </cell>
          <cell r="D17">
            <v>208</v>
          </cell>
          <cell r="E17">
            <v>208</v>
          </cell>
          <cell r="F17">
            <v>208</v>
          </cell>
          <cell r="G17">
            <v>208</v>
          </cell>
          <cell r="H17">
            <v>130</v>
          </cell>
          <cell r="I17">
            <v>130</v>
          </cell>
        </row>
        <row r="18">
          <cell r="A18">
            <v>12</v>
          </cell>
          <cell r="B18" t="str">
            <v>Boards per Month</v>
          </cell>
          <cell r="D18">
            <v>25000</v>
          </cell>
          <cell r="E18">
            <v>50000</v>
          </cell>
          <cell r="F18">
            <v>125000</v>
          </cell>
          <cell r="G18">
            <v>166666.66666666666</v>
          </cell>
          <cell r="H18">
            <v>8.3333333333333329E-2</v>
          </cell>
          <cell r="I18">
            <v>8.3333333333333329E-2</v>
          </cell>
        </row>
        <row r="19">
          <cell r="A19">
            <v>13</v>
          </cell>
          <cell r="B19" t="str">
            <v>Boards per Day</v>
          </cell>
          <cell r="D19">
            <v>961.53846153846155</v>
          </cell>
          <cell r="E19">
            <v>1923.0769230769231</v>
          </cell>
          <cell r="F19">
            <v>4807.6923076923076</v>
          </cell>
          <cell r="G19">
            <v>6410.2564102564102</v>
          </cell>
          <cell r="H19">
            <v>3.8461538461538464E-3</v>
          </cell>
          <cell r="I19">
            <v>3.8461538461538464E-3</v>
          </cell>
        </row>
        <row r="22">
          <cell r="B22" t="str">
            <v>SMT - Standard</v>
          </cell>
        </row>
        <row r="23">
          <cell r="B23" t="str">
            <v>Line Config</v>
          </cell>
          <cell r="D23" t="str">
            <v>STD-1xCP6</v>
          </cell>
          <cell r="E23" t="str">
            <v>STD-1xCP6</v>
          </cell>
          <cell r="F23" t="str">
            <v>STD-2xCP6</v>
          </cell>
          <cell r="G23" t="str">
            <v>STD-2xCP6</v>
          </cell>
          <cell r="H23" t="str">
            <v>STD-1xCP6</v>
          </cell>
          <cell r="I23" t="str">
            <v>STD-1xCP6</v>
          </cell>
        </row>
        <row r="24">
          <cell r="B24" t="str">
            <v>Chip Machine type</v>
          </cell>
          <cell r="C24" t="str">
            <v>Spe</v>
          </cell>
          <cell r="D24" t="str">
            <v>CP6</v>
          </cell>
          <cell r="E24" t="str">
            <v>CP6</v>
          </cell>
          <cell r="F24" t="str">
            <v>CP6</v>
          </cell>
          <cell r="G24" t="str">
            <v>CP6</v>
          </cell>
          <cell r="H24" t="str">
            <v>CP6</v>
          </cell>
          <cell r="I24" t="str">
            <v>CP6</v>
          </cell>
        </row>
        <row r="25">
          <cell r="B25" t="str">
            <v>Chip Machine qty</v>
          </cell>
          <cell r="C25" t="str">
            <v>Spe</v>
          </cell>
          <cell r="D25">
            <v>1</v>
          </cell>
          <cell r="E25">
            <v>1</v>
          </cell>
          <cell r="F25">
            <v>2</v>
          </cell>
          <cell r="G25">
            <v>2</v>
          </cell>
          <cell r="H25">
            <v>1</v>
          </cell>
          <cell r="I25">
            <v>1</v>
          </cell>
        </row>
        <row r="26">
          <cell r="B26" t="str">
            <v>IC Machine type</v>
          </cell>
          <cell r="C26" t="str">
            <v>Spe</v>
          </cell>
          <cell r="D26" t="str">
            <v>IP3/QP</v>
          </cell>
          <cell r="E26" t="str">
            <v>IP3/QP</v>
          </cell>
          <cell r="F26" t="str">
            <v>IP3/QP</v>
          </cell>
          <cell r="G26" t="str">
            <v>IP3/QP</v>
          </cell>
          <cell r="H26" t="str">
            <v>IP3/QP</v>
          </cell>
          <cell r="I26" t="str">
            <v>IP3/QP</v>
          </cell>
        </row>
        <row r="27">
          <cell r="B27" t="str">
            <v>IC Machine qty</v>
          </cell>
          <cell r="C27" t="str">
            <v>Spe</v>
          </cell>
          <cell r="D27">
            <v>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</row>
        <row r="28">
          <cell r="B28" t="str">
            <v>Chip Machine type</v>
          </cell>
          <cell r="C28" t="str">
            <v>Std</v>
          </cell>
          <cell r="D28" t="str">
            <v>CP6</v>
          </cell>
          <cell r="E28" t="str">
            <v>CP6</v>
          </cell>
          <cell r="F28" t="str">
            <v>CP6</v>
          </cell>
          <cell r="G28" t="str">
            <v>CP6</v>
          </cell>
          <cell r="H28" t="str">
            <v>CP6</v>
          </cell>
          <cell r="I28" t="str">
            <v>CP6</v>
          </cell>
        </row>
        <row r="29">
          <cell r="B29" t="str">
            <v>Chip Machine qty</v>
          </cell>
          <cell r="C29" t="str">
            <v>Std</v>
          </cell>
          <cell r="D29">
            <v>1</v>
          </cell>
          <cell r="E29">
            <v>1</v>
          </cell>
          <cell r="F29">
            <v>2</v>
          </cell>
          <cell r="G29">
            <v>2</v>
          </cell>
          <cell r="H29">
            <v>1</v>
          </cell>
          <cell r="I29">
            <v>1</v>
          </cell>
        </row>
        <row r="30">
          <cell r="B30" t="str">
            <v>IC Machine type</v>
          </cell>
          <cell r="C30" t="str">
            <v>Std</v>
          </cell>
          <cell r="D30" t="str">
            <v>IP3/QP</v>
          </cell>
          <cell r="E30" t="str">
            <v>IP3/QP</v>
          </cell>
          <cell r="F30" t="str">
            <v>IP3/QP</v>
          </cell>
          <cell r="G30" t="str">
            <v>IP3/QP</v>
          </cell>
          <cell r="H30" t="str">
            <v>IP3/QP</v>
          </cell>
          <cell r="I30" t="str">
            <v>IP3/QP</v>
          </cell>
        </row>
        <row r="31">
          <cell r="B31" t="str">
            <v>IC Machine qty</v>
          </cell>
          <cell r="C31" t="str">
            <v>Std</v>
          </cell>
          <cell r="D31">
            <v>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</row>
        <row r="32">
          <cell r="B32" t="str">
            <v>Line speed</v>
          </cell>
          <cell r="D32">
            <v>11215.277777777777</v>
          </cell>
          <cell r="E32">
            <v>11215.277777777777</v>
          </cell>
          <cell r="F32">
            <v>35749.999999999971</v>
          </cell>
          <cell r="G32">
            <v>35749.999999999971</v>
          </cell>
          <cell r="H32">
            <v>4500</v>
          </cell>
          <cell r="I32">
            <v>4500</v>
          </cell>
        </row>
        <row r="33">
          <cell r="B33" t="str">
            <v>Thruput rate</v>
          </cell>
          <cell r="C33" t="str">
            <v>bd/min</v>
          </cell>
          <cell r="D33">
            <v>6.0297192353643974</v>
          </cell>
          <cell r="E33">
            <v>6.0297192353643974</v>
          </cell>
          <cell r="F33">
            <v>10.453216374268997</v>
          </cell>
          <cell r="G33">
            <v>10.453216374268997</v>
          </cell>
          <cell r="H33">
            <v>75</v>
          </cell>
          <cell r="I33">
            <v>75</v>
          </cell>
        </row>
        <row r="34">
          <cell r="B34" t="str">
            <v xml:space="preserve">  SMT Time</v>
          </cell>
          <cell r="C34" t="str">
            <v xml:space="preserve">min/bd </v>
          </cell>
          <cell r="D34">
            <v>0.16584520123839008</v>
          </cell>
          <cell r="E34">
            <v>0.16584520123839008</v>
          </cell>
          <cell r="F34">
            <v>9.5664335664335742E-2</v>
          </cell>
          <cell r="G34">
            <v>9.5664335664335742E-2</v>
          </cell>
          <cell r="H34">
            <v>1.3333333333333334E-2</v>
          </cell>
          <cell r="I34">
            <v>1.3333333333333334E-2</v>
          </cell>
        </row>
        <row r="35">
          <cell r="B35" t="str">
            <v xml:space="preserve">  Total # Lines</v>
          </cell>
          <cell r="C35" t="str">
            <v xml:space="preserve"> </v>
          </cell>
          <cell r="D35">
            <v>0.11074065253631817</v>
          </cell>
          <cell r="E35">
            <v>0.22148130507263633</v>
          </cell>
          <cell r="F35">
            <v>0.31939214631522356</v>
          </cell>
          <cell r="G35">
            <v>0.42585619508696465</v>
          </cell>
          <cell r="H35">
            <v>3.5612535612535611E-8</v>
          </cell>
          <cell r="I35">
            <v>3.5612535612535611E-8</v>
          </cell>
        </row>
        <row r="37">
          <cell r="B37" t="str">
            <v>Back end - Standard</v>
          </cell>
        </row>
        <row r="38">
          <cell r="B38" t="str">
            <v>Hand Load Time</v>
          </cell>
          <cell r="D38">
            <v>0.5</v>
          </cell>
          <cell r="E38">
            <v>0.5</v>
          </cell>
          <cell r="F38">
            <v>0.5</v>
          </cell>
          <cell r="G38">
            <v>0.5</v>
          </cell>
          <cell r="H38">
            <v>0</v>
          </cell>
          <cell r="I38">
            <v>0</v>
          </cell>
        </row>
        <row r="39">
          <cell r="B39" t="str">
            <v>Mechanical  Assy Time</v>
          </cell>
          <cell r="D39">
            <v>0.2</v>
          </cell>
          <cell r="E39">
            <v>0.2</v>
          </cell>
          <cell r="F39">
            <v>0.16666666666666669</v>
          </cell>
          <cell r="G39">
            <v>0.16666666666666669</v>
          </cell>
          <cell r="H39">
            <v>0</v>
          </cell>
          <cell r="I39">
            <v>0</v>
          </cell>
        </row>
        <row r="40">
          <cell r="B40" t="str">
            <v>QA Time</v>
          </cell>
          <cell r="D40">
            <v>0.2</v>
          </cell>
          <cell r="E40">
            <v>0.2</v>
          </cell>
          <cell r="F40">
            <v>0.1</v>
          </cell>
          <cell r="G40">
            <v>0.1</v>
          </cell>
          <cell r="H40">
            <v>0.3</v>
          </cell>
          <cell r="I40">
            <v>0.3</v>
          </cell>
        </row>
        <row r="41">
          <cell r="B41" t="str">
            <v>Wave Time</v>
          </cell>
          <cell r="D41">
            <v>0.05</v>
          </cell>
          <cell r="E41">
            <v>0.05</v>
          </cell>
          <cell r="F41">
            <v>0.05</v>
          </cell>
          <cell r="G41">
            <v>0.05</v>
          </cell>
          <cell r="H41">
            <v>0</v>
          </cell>
          <cell r="I41">
            <v>0</v>
          </cell>
        </row>
        <row r="42">
          <cell r="B42" t="str">
            <v># Wave soldering machine</v>
          </cell>
          <cell r="D42">
            <v>3.3386752136752136E-2</v>
          </cell>
          <cell r="E42">
            <v>6.6773504273504272E-2</v>
          </cell>
          <cell r="F42">
            <v>0.16693376068376067</v>
          </cell>
          <cell r="G42">
            <v>0.2225783475783476</v>
          </cell>
          <cell r="H42">
            <v>0</v>
          </cell>
          <cell r="I42">
            <v>0</v>
          </cell>
        </row>
        <row r="45">
          <cell r="B45" t="str">
            <v>Test - Standard</v>
          </cell>
        </row>
        <row r="46">
          <cell r="B46" t="str">
            <v>ICT GoNo</v>
          </cell>
          <cell r="D46">
            <v>0.43333333333333335</v>
          </cell>
          <cell r="E46">
            <v>0.43333333333333335</v>
          </cell>
          <cell r="F46">
            <v>0.2</v>
          </cell>
          <cell r="G46">
            <v>0.2</v>
          </cell>
          <cell r="H46">
            <v>1.6666666666666668E-3</v>
          </cell>
          <cell r="I46">
            <v>1.6666666666666668E-3</v>
          </cell>
        </row>
        <row r="47">
          <cell r="B47" t="str">
            <v>ICT Yield %</v>
          </cell>
          <cell r="D47">
            <v>0.94</v>
          </cell>
          <cell r="E47">
            <v>0.94</v>
          </cell>
          <cell r="F47">
            <v>0.96</v>
          </cell>
          <cell r="G47">
            <v>0.96</v>
          </cell>
          <cell r="H47">
            <v>0.88</v>
          </cell>
          <cell r="I47">
            <v>0.88</v>
          </cell>
        </row>
        <row r="48">
          <cell r="B48" t="str">
            <v>ICT Time</v>
          </cell>
          <cell r="D48">
            <v>1.1660000000000001</v>
          </cell>
          <cell r="E48">
            <v>1.1660000000000001</v>
          </cell>
          <cell r="F48">
            <v>0.81466666666666665</v>
          </cell>
          <cell r="G48">
            <v>0.81466666666666665</v>
          </cell>
          <cell r="H48">
            <v>1.6818666666666668</v>
          </cell>
          <cell r="I48">
            <v>1.6818666666666668</v>
          </cell>
        </row>
        <row r="49">
          <cell r="B49" t="str">
            <v>ICT Debug &amp; Repair Time (min)</v>
          </cell>
          <cell r="D49">
            <v>10</v>
          </cell>
          <cell r="E49">
            <v>10</v>
          </cell>
          <cell r="F49">
            <v>10</v>
          </cell>
          <cell r="G49">
            <v>10</v>
          </cell>
          <cell r="H49">
            <v>10</v>
          </cell>
          <cell r="I49">
            <v>10</v>
          </cell>
        </row>
        <row r="50">
          <cell r="B50" t="str">
            <v>FT</v>
          </cell>
          <cell r="D50">
            <v>2.75E-2</v>
          </cell>
          <cell r="E50">
            <v>2.75E-2</v>
          </cell>
          <cell r="F50">
            <v>0.64166666666666672</v>
          </cell>
          <cell r="G50">
            <v>0.64166666666666672</v>
          </cell>
          <cell r="H50">
            <v>0</v>
          </cell>
          <cell r="I50">
            <v>0</v>
          </cell>
        </row>
        <row r="51">
          <cell r="B51" t="str">
            <v>FT Yield %</v>
          </cell>
          <cell r="D51">
            <v>0.9</v>
          </cell>
          <cell r="E51">
            <v>0.9</v>
          </cell>
          <cell r="F51">
            <v>0.9</v>
          </cell>
          <cell r="G51">
            <v>0.9</v>
          </cell>
          <cell r="H51">
            <v>0.9</v>
          </cell>
          <cell r="I51">
            <v>0.9</v>
          </cell>
        </row>
        <row r="52">
          <cell r="B52" t="str">
            <v>FCT Debug &amp; Repair Time (min)</v>
          </cell>
          <cell r="D52">
            <v>20</v>
          </cell>
          <cell r="E52">
            <v>20</v>
          </cell>
          <cell r="F52">
            <v>20</v>
          </cell>
          <cell r="G52">
            <v>20</v>
          </cell>
          <cell r="H52">
            <v>0</v>
          </cell>
          <cell r="I52">
            <v>0</v>
          </cell>
        </row>
        <row r="53">
          <cell r="B53" t="str">
            <v xml:space="preserve">Total test time </v>
          </cell>
          <cell r="C53" t="str">
            <v xml:space="preserve">min/bd </v>
          </cell>
          <cell r="D53">
            <v>3.7962500000000001</v>
          </cell>
          <cell r="E53">
            <v>3.7962500000000001</v>
          </cell>
          <cell r="F53">
            <v>3.9204999999999997</v>
          </cell>
          <cell r="G53">
            <v>3.9204999999999997</v>
          </cell>
          <cell r="H53">
            <v>2.8818666666666668</v>
          </cell>
          <cell r="I53">
            <v>2.8818666666666668</v>
          </cell>
        </row>
        <row r="54">
          <cell r="B54" t="str">
            <v># ICT Tester</v>
          </cell>
          <cell r="C54" t="str">
            <v xml:space="preserve"> </v>
          </cell>
          <cell r="D54">
            <v>0.77857905982906006</v>
          </cell>
          <cell r="E54">
            <v>1.5571581196581201</v>
          </cell>
          <cell r="F54">
            <v>2.719907407407407</v>
          </cell>
          <cell r="G54">
            <v>3.6265432098765427</v>
          </cell>
          <cell r="H54">
            <v>4.4921652421652424E-6</v>
          </cell>
          <cell r="I54">
            <v>4.4921652421652424E-6</v>
          </cell>
        </row>
        <row r="55">
          <cell r="B55" t="str">
            <v># FCT Tester</v>
          </cell>
          <cell r="C55" t="str">
            <v xml:space="preserve"> </v>
          </cell>
          <cell r="D55">
            <v>1.8362713675213676E-2</v>
          </cell>
          <cell r="E55">
            <v>3.6725427350427352E-2</v>
          </cell>
          <cell r="F55">
            <v>2.1423165954415953</v>
          </cell>
          <cell r="G55">
            <v>2.8564221272554602</v>
          </cell>
          <cell r="H55">
            <v>0</v>
          </cell>
          <cell r="I55">
            <v>0</v>
          </cell>
        </row>
        <row r="57">
          <cell r="B57" t="str">
            <v>UNIQUE PROCESSES Section (with common equipments)</v>
          </cell>
        </row>
        <row r="58">
          <cell r="B58" t="str">
            <v>2D X-RAY</v>
          </cell>
          <cell r="C58" t="str">
            <v>SAMPLING RATIO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C59" t="str">
            <v>CYCLE TIME : if 0 default used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C60" t="str">
            <v>Cycle Time Labor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C61" t="str">
            <v># Eqt needed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B62" t="str">
            <v>3D X-RAY</v>
          </cell>
          <cell r="C62" t="str">
            <v>SAMPLING RATIO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C63" t="str">
            <v>CYCLE TIME : if 0 default used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C64" t="str">
            <v>Cycle Time Labor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C65" t="str">
            <v># Eqt needed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B66" t="str">
            <v>Auto-Inserter</v>
          </cell>
          <cell r="C66" t="str">
            <v>NUMBER of PARTS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C67" t="str">
            <v>Cycle time Eqt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C68" t="str">
            <v>Cycle Time Labor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C69" t="str">
            <v># Eqt needed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B70" t="str">
            <v>Auto-visualInspection</v>
          </cell>
          <cell r="C70" t="str">
            <v>SAMPLING RATIO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C71" t="str">
            <v>CYCLE TIME : if 0 default used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C72" t="str">
            <v>Cycle Time Labor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C73" t="str">
            <v># Eqt needed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B74" t="str">
            <v>BGA Rework</v>
          </cell>
          <cell r="C74" t="str">
            <v>YIELD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C75" t="str">
            <v>REPAIR TIME : if 0 default used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C76" t="str">
            <v># of BGA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C77" t="str">
            <v>Cycle Time Labor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C78" t="str">
            <v># Eqt needed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B79" t="str">
            <v xml:space="preserve">Burn In </v>
          </cell>
          <cell r="C79" t="str">
            <v>NUMBER of BOARD per batch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C80" t="str">
            <v>CYCLE TIME : if 0 default used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C81" t="str">
            <v>Cycle Time Labor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C82" t="str">
            <v># Eqt needed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C83" t="str">
            <v>Yield</v>
          </cell>
          <cell r="D83">
            <v>0.99</v>
          </cell>
          <cell r="E83">
            <v>0.99</v>
          </cell>
          <cell r="F83">
            <v>1</v>
          </cell>
          <cell r="G83">
            <v>1</v>
          </cell>
          <cell r="H83">
            <v>0.98</v>
          </cell>
          <cell r="I83">
            <v>0.98</v>
          </cell>
        </row>
        <row r="84">
          <cell r="C84" t="str">
            <v>Repair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B85" t="str">
            <v>Conformal Coater</v>
          </cell>
          <cell r="C85" t="str">
            <v>CYCLE TIME : if 0 default used</v>
          </cell>
          <cell r="D85">
            <v>0.96083333333333332</v>
          </cell>
          <cell r="E85">
            <v>0.96083333333333332</v>
          </cell>
          <cell r="F85">
            <v>1.1333333333333333</v>
          </cell>
          <cell r="G85">
            <v>1.1333333333333333</v>
          </cell>
          <cell r="H85">
            <v>0</v>
          </cell>
          <cell r="I85">
            <v>0</v>
          </cell>
        </row>
        <row r="86">
          <cell r="C86" t="str">
            <v>SUPPLIES : $ per board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C87" t="str">
            <v>Cycle Time Labor</v>
          </cell>
          <cell r="D87">
            <v>0.96083333333333332</v>
          </cell>
          <cell r="E87">
            <v>0.96083333333333332</v>
          </cell>
          <cell r="F87">
            <v>1.1333333333333333</v>
          </cell>
          <cell r="G87">
            <v>1.1333333333333333</v>
          </cell>
          <cell r="H87">
            <v>0</v>
          </cell>
          <cell r="I87">
            <v>0</v>
          </cell>
        </row>
        <row r="88">
          <cell r="C88" t="str">
            <v># Eqt needed</v>
          </cell>
          <cell r="D88">
            <v>0.64158208689458684</v>
          </cell>
          <cell r="E88">
            <v>1.2831641737891737</v>
          </cell>
          <cell r="F88">
            <v>3.7838319088319086</v>
          </cell>
          <cell r="G88">
            <v>5.0451092117758778</v>
          </cell>
          <cell r="H88">
            <v>0</v>
          </cell>
          <cell r="I88">
            <v>0</v>
          </cell>
        </row>
        <row r="89">
          <cell r="B89" t="str">
            <v>Depanalizer(router)</v>
          </cell>
          <cell r="C89" t="str">
            <v>NUMBER of BOARD per panel</v>
          </cell>
          <cell r="D89">
            <v>20</v>
          </cell>
          <cell r="E89">
            <v>20</v>
          </cell>
          <cell r="F89">
            <v>20</v>
          </cell>
          <cell r="G89">
            <v>20</v>
          </cell>
          <cell r="H89">
            <v>0</v>
          </cell>
          <cell r="I89">
            <v>0</v>
          </cell>
        </row>
        <row r="90">
          <cell r="C90" t="str">
            <v>CYCLE TIME : if 0 default used</v>
          </cell>
          <cell r="D90">
            <v>0.16666666666666666</v>
          </cell>
          <cell r="E90">
            <v>0.16666666666666666</v>
          </cell>
          <cell r="F90">
            <v>0.16666666666666666</v>
          </cell>
          <cell r="G90">
            <v>0.16666666666666666</v>
          </cell>
          <cell r="H90">
            <v>0</v>
          </cell>
          <cell r="I90">
            <v>0</v>
          </cell>
        </row>
        <row r="91">
          <cell r="C91" t="str">
            <v>Cycle Time Labor</v>
          </cell>
          <cell r="D91">
            <v>0.16666666666666666</v>
          </cell>
          <cell r="E91">
            <v>0.16666666666666666</v>
          </cell>
          <cell r="F91">
            <v>0.16666666666666666</v>
          </cell>
          <cell r="G91">
            <v>0.16666666666666666</v>
          </cell>
          <cell r="H91">
            <v>0</v>
          </cell>
          <cell r="I91">
            <v>0</v>
          </cell>
        </row>
        <row r="92">
          <cell r="C92" t="str">
            <v># Eqt needed</v>
          </cell>
          <cell r="D92">
            <v>0.11128917378917379</v>
          </cell>
          <cell r="E92">
            <v>0.22257834757834757</v>
          </cell>
          <cell r="F92">
            <v>0.556445868945869</v>
          </cell>
          <cell r="G92">
            <v>0.74192782526115852</v>
          </cell>
          <cell r="H92">
            <v>0</v>
          </cell>
          <cell r="I92">
            <v>0</v>
          </cell>
        </row>
        <row r="93">
          <cell r="B93" t="str">
            <v>Flying Probe</v>
          </cell>
          <cell r="C93" t="str">
            <v>YIELD, if omitted 100% repaired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C94" t="str">
            <v>CYCLE TIME : if 0 default used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C95" t="str">
            <v>Cycle Time Labor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C96" t="str">
            <v># Eqt needed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B97" t="str">
            <v>Glue Dispenser</v>
          </cell>
          <cell r="C97" t="str">
            <v># Eqt needed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B98" t="str">
            <v>LeaseholdImprove</v>
          </cell>
          <cell r="C98" t="str">
            <v># Eqt needed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B99" t="str">
            <v>Misc process I</v>
          </cell>
          <cell r="C99" t="str">
            <v xml:space="preserve">CYCLE TIME </v>
          </cell>
          <cell r="D99">
            <v>4</v>
          </cell>
          <cell r="E99">
            <v>4</v>
          </cell>
          <cell r="F99">
            <v>4</v>
          </cell>
          <cell r="G99">
            <v>4</v>
          </cell>
          <cell r="H99">
            <v>0</v>
          </cell>
          <cell r="I99">
            <v>0</v>
          </cell>
        </row>
        <row r="100">
          <cell r="C100" t="str">
            <v>SUPPLIES : $ per board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C101" t="str">
            <v>EQT COST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C102" t="str">
            <v>Cycle Time Labor</v>
          </cell>
          <cell r="D102">
            <v>4</v>
          </cell>
          <cell r="E102">
            <v>4</v>
          </cell>
          <cell r="F102">
            <v>4</v>
          </cell>
          <cell r="G102">
            <v>4</v>
          </cell>
          <cell r="H102">
            <v>0</v>
          </cell>
          <cell r="I102">
            <v>0</v>
          </cell>
        </row>
        <row r="103">
          <cell r="C103" t="str">
            <v># Eqt needed</v>
          </cell>
          <cell r="D103">
            <v>2.6709401709401708</v>
          </cell>
          <cell r="E103">
            <v>5.3418803418803416</v>
          </cell>
          <cell r="F103">
            <v>13.354700854700853</v>
          </cell>
          <cell r="G103">
            <v>17.806267806267808</v>
          </cell>
          <cell r="H103">
            <v>0</v>
          </cell>
          <cell r="I103">
            <v>0</v>
          </cell>
        </row>
        <row r="104">
          <cell r="B104" t="str">
            <v>Misc process II</v>
          </cell>
          <cell r="C104" t="str">
            <v xml:space="preserve">CYCLE TIME 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C105" t="str">
            <v>SUPPLIES : $ per board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C106" t="str">
            <v>EQT COST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C107" t="str">
            <v>Cycle Time Labor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C108" t="str">
            <v># Eqt needed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B109" t="str">
            <v>Misc process III</v>
          </cell>
          <cell r="C109" t="str">
            <v xml:space="preserve">CYCLE TIME 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C110" t="str">
            <v>SUPPLIES : $ per board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C111" t="str">
            <v>EQT COST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C112" t="str">
            <v>Cycle Time Labor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C113" t="str">
            <v># Eqt needed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B114" t="str">
            <v>Press Fit</v>
          </cell>
          <cell r="C114" t="str">
            <v>NUMBER of CONNECTOR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C115" t="str">
            <v>CYCLE TIME : if 0 default used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C116" t="str">
            <v>Cycle Time Labor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C117" t="str">
            <v># Eqt needed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B118" t="str">
            <v>Underfill</v>
          </cell>
          <cell r="C118" t="str">
            <v>CYCLE TIME : if 0 default used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C119" t="str">
            <v>SUPPLIES : $ per board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C120" t="str">
            <v>Cycle Time Labor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C121" t="str">
            <v># Eqt needed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B122" t="str">
            <v>Wire Soldering</v>
          </cell>
          <cell r="C122" t="str">
            <v>NUMBER of WIRE</v>
          </cell>
          <cell r="D122">
            <v>2</v>
          </cell>
          <cell r="E122">
            <v>2</v>
          </cell>
          <cell r="F122">
            <v>2</v>
          </cell>
          <cell r="G122">
            <v>2</v>
          </cell>
          <cell r="H122">
            <v>0</v>
          </cell>
          <cell r="I122">
            <v>0</v>
          </cell>
        </row>
        <row r="123">
          <cell r="C123" t="str">
            <v>CYCLE TIME : if 0 default used</v>
          </cell>
          <cell r="D123">
            <v>2</v>
          </cell>
          <cell r="E123">
            <v>2</v>
          </cell>
          <cell r="F123">
            <v>2</v>
          </cell>
          <cell r="G123">
            <v>2</v>
          </cell>
          <cell r="H123">
            <v>0</v>
          </cell>
          <cell r="I123">
            <v>0</v>
          </cell>
        </row>
        <row r="124">
          <cell r="C124" t="str">
            <v>Cycle Time Labor</v>
          </cell>
          <cell r="D124">
            <v>2</v>
          </cell>
          <cell r="E124">
            <v>2</v>
          </cell>
          <cell r="F124">
            <v>2</v>
          </cell>
          <cell r="G124">
            <v>2</v>
          </cell>
          <cell r="H124">
            <v>0</v>
          </cell>
          <cell r="I124">
            <v>0</v>
          </cell>
        </row>
        <row r="126">
          <cell r="B126" t="str">
            <v>Total Labor for unique processes</v>
          </cell>
          <cell r="D126">
            <v>7.1274999999999995</v>
          </cell>
          <cell r="E126">
            <v>7.1274999999999995</v>
          </cell>
          <cell r="F126">
            <v>7.3</v>
          </cell>
          <cell r="G126">
            <v>7.3</v>
          </cell>
          <cell r="H126">
            <v>0</v>
          </cell>
          <cell r="I126">
            <v>0</v>
          </cell>
        </row>
        <row r="127">
          <cell r="A127">
            <v>121</v>
          </cell>
          <cell r="B127" t="str">
            <v>Total Supplies for unique processes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B128" t="str">
            <v xml:space="preserve"> </v>
          </cell>
        </row>
        <row r="129">
          <cell r="B129" t="str">
            <v>SPECIFIC PROCESS Section (with non shareable equipments)</v>
          </cell>
          <cell r="D129" t="str">
            <v xml:space="preserve"> </v>
          </cell>
          <cell r="E129" t="str">
            <v xml:space="preserve"> </v>
          </cell>
          <cell r="F129" t="str">
            <v xml:space="preserve"> </v>
          </cell>
          <cell r="G129" t="str">
            <v xml:space="preserve"> </v>
          </cell>
          <cell r="H129" t="str">
            <v xml:space="preserve"> </v>
          </cell>
          <cell r="I129" t="str">
            <v xml:space="preserve"> </v>
          </cell>
        </row>
        <row r="130">
          <cell r="C130" t="str">
            <v>Other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</row>
        <row r="131">
          <cell r="C131" t="str">
            <v>Cycle Time Labor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</row>
        <row r="132">
          <cell r="C132" t="str">
            <v># Eqt needed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</row>
        <row r="133">
          <cell r="D133" t="str">
            <v>Total Req.</v>
          </cell>
          <cell r="E133" t="str">
            <v>Total Req.</v>
          </cell>
          <cell r="F133" t="str">
            <v>Total Req.</v>
          </cell>
          <cell r="G133" t="str">
            <v>Total Req.</v>
          </cell>
          <cell r="H133" t="str">
            <v>Total Req.</v>
          </cell>
          <cell r="I133" t="str">
            <v>Total Req.</v>
          </cell>
        </row>
        <row r="134">
          <cell r="B134" t="str">
            <v>DIRECT LABOR</v>
          </cell>
        </row>
        <row r="135">
          <cell r="B135" t="str">
            <v>SMT operator</v>
          </cell>
          <cell r="C135" t="str">
            <v>H/C</v>
          </cell>
          <cell r="D135">
            <v>0.99666587282686347</v>
          </cell>
          <cell r="E135">
            <v>1.9933317456537269</v>
          </cell>
          <cell r="F135">
            <v>3.8327057557826829</v>
          </cell>
          <cell r="G135">
            <v>5.110274341043576</v>
          </cell>
          <cell r="H135">
            <v>4.2735042735042736E-7</v>
          </cell>
          <cell r="I135">
            <v>4.2735042735042736E-7</v>
          </cell>
        </row>
        <row r="136">
          <cell r="C136" t="str">
            <v>Cost</v>
          </cell>
          <cell r="D136">
            <v>123.34736842105261</v>
          </cell>
          <cell r="E136">
            <v>246.69473684210521</v>
          </cell>
          <cell r="F136">
            <v>474.33566433566477</v>
          </cell>
          <cell r="G136">
            <v>632.44755244755288</v>
          </cell>
          <cell r="H136">
            <v>1.088888888888889E-3</v>
          </cell>
          <cell r="I136">
            <v>1.088888888888889E-3</v>
          </cell>
        </row>
        <row r="137">
          <cell r="B137" t="str">
            <v>SMT Inspection</v>
          </cell>
          <cell r="C137" t="str">
            <v>H/C</v>
          </cell>
          <cell r="D137">
            <v>0.16611097880447726</v>
          </cell>
          <cell r="E137">
            <v>0.33222195760895451</v>
          </cell>
          <cell r="F137">
            <v>0.95817643894567073</v>
          </cell>
          <cell r="G137">
            <v>1.277568585260894</v>
          </cell>
          <cell r="H137">
            <v>7.1225071225071223E-8</v>
          </cell>
          <cell r="I137">
            <v>7.1225071225071223E-8</v>
          </cell>
        </row>
        <row r="138">
          <cell r="C138" t="str">
            <v>Cost</v>
          </cell>
          <cell r="D138">
            <v>20.557894736842105</v>
          </cell>
          <cell r="E138">
            <v>41.11578947368421</v>
          </cell>
          <cell r="F138">
            <v>118.58391608391619</v>
          </cell>
          <cell r="G138">
            <v>158.11188811188822</v>
          </cell>
          <cell r="H138">
            <v>1.8148148148148149E-4</v>
          </cell>
          <cell r="I138">
            <v>1.8148148148148149E-4</v>
          </cell>
        </row>
        <row r="139">
          <cell r="B139" t="str">
            <v>SMT Rework</v>
          </cell>
          <cell r="C139" t="str">
            <v>H/C</v>
          </cell>
          <cell r="D139">
            <v>0.16611097880447726</v>
          </cell>
          <cell r="E139">
            <v>0.33222195760895451</v>
          </cell>
          <cell r="F139">
            <v>0.95817643894567073</v>
          </cell>
          <cell r="G139">
            <v>1.277568585260894</v>
          </cell>
          <cell r="H139">
            <v>7.1225071225071223E-8</v>
          </cell>
          <cell r="I139">
            <v>7.1225071225071223E-8</v>
          </cell>
        </row>
        <row r="140">
          <cell r="C140" t="str">
            <v>Cost</v>
          </cell>
          <cell r="D140">
            <v>20.557894736842105</v>
          </cell>
          <cell r="E140">
            <v>41.11578947368421</v>
          </cell>
          <cell r="F140">
            <v>118.58391608391619</v>
          </cell>
          <cell r="G140">
            <v>158.11188811188822</v>
          </cell>
          <cell r="H140">
            <v>1.8148148148148149E-4</v>
          </cell>
          <cell r="I140">
            <v>1.8148148148148149E-4</v>
          </cell>
        </row>
        <row r="141">
          <cell r="B141" t="str">
            <v>H/L+Mech+Unique+Special</v>
          </cell>
          <cell r="C141" t="str">
            <v>H/C</v>
          </cell>
          <cell r="D141">
            <v>15.680088141025642</v>
          </cell>
          <cell r="E141">
            <v>31.360176282051285</v>
          </cell>
          <cell r="F141">
            <v>79.794337606837615</v>
          </cell>
          <cell r="G141">
            <v>106.39245014245013</v>
          </cell>
          <cell r="H141">
            <v>0</v>
          </cell>
          <cell r="I141">
            <v>0</v>
          </cell>
        </row>
        <row r="142">
          <cell r="C142" t="str">
            <v>Cost</v>
          </cell>
          <cell r="D142">
            <v>1940.5677083333335</v>
          </cell>
          <cell r="E142">
            <v>3881.135416666667</v>
          </cell>
          <cell r="F142">
            <v>9875.3472222222226</v>
          </cell>
          <cell r="G142">
            <v>13167.129629629628</v>
          </cell>
          <cell r="H142">
            <v>0</v>
          </cell>
          <cell r="I142">
            <v>0</v>
          </cell>
        </row>
        <row r="143">
          <cell r="B143" t="str">
            <v>Wave Solder</v>
          </cell>
          <cell r="C143" t="str">
            <v>H/C</v>
          </cell>
          <cell r="D143">
            <v>0.1001602564102564</v>
          </cell>
          <cell r="E143">
            <v>0.2003205128205128</v>
          </cell>
          <cell r="F143">
            <v>0.50080128205128205</v>
          </cell>
          <cell r="G143">
            <v>0.66773504273504281</v>
          </cell>
          <cell r="H143">
            <v>0</v>
          </cell>
          <cell r="I143">
            <v>0</v>
          </cell>
        </row>
        <row r="144">
          <cell r="C144" t="str">
            <v>Cost</v>
          </cell>
          <cell r="D144">
            <v>12.39583333333333</v>
          </cell>
          <cell r="E144">
            <v>24.791666666666661</v>
          </cell>
          <cell r="F144">
            <v>61.979166666666671</v>
          </cell>
          <cell r="G144">
            <v>82.6388888888889</v>
          </cell>
          <cell r="H144">
            <v>0</v>
          </cell>
          <cell r="I144">
            <v>0</v>
          </cell>
        </row>
        <row r="145">
          <cell r="B145" t="str">
            <v xml:space="preserve">ICT Tester Staffing </v>
          </cell>
          <cell r="C145" t="str">
            <v>H/C</v>
          </cell>
          <cell r="D145">
            <v>2.3357371794871802</v>
          </cell>
          <cell r="E145">
            <v>4.6714743589743604</v>
          </cell>
          <cell r="F145">
            <v>8.1597222222222214</v>
          </cell>
          <cell r="G145">
            <v>10.879629629629628</v>
          </cell>
          <cell r="H145">
            <v>1.796866096866097E-5</v>
          </cell>
          <cell r="I145">
            <v>1.796866096866097E-5</v>
          </cell>
        </row>
        <row r="146">
          <cell r="C146" t="str">
            <v>Cost</v>
          </cell>
          <cell r="D146">
            <v>289.07083333333338</v>
          </cell>
          <cell r="E146">
            <v>578.14166666666677</v>
          </cell>
          <cell r="F146">
            <v>1009.8472222222221</v>
          </cell>
          <cell r="G146">
            <v>1346.4629629629626</v>
          </cell>
          <cell r="H146">
            <v>4.5784148148148157E-2</v>
          </cell>
          <cell r="I146">
            <v>4.5784148148148157E-2</v>
          </cell>
        </row>
        <row r="147">
          <cell r="B147" t="str">
            <v>FCT tester staffing</v>
          </cell>
          <cell r="C147" t="str">
            <v>H/C</v>
          </cell>
          <cell r="D147">
            <v>5.5088141025641031E-2</v>
          </cell>
          <cell r="E147">
            <v>0.11017628205128206</v>
          </cell>
          <cell r="F147">
            <v>6.4269497863247853</v>
          </cell>
          <cell r="G147">
            <v>8.569266381766381</v>
          </cell>
          <cell r="H147">
            <v>0</v>
          </cell>
          <cell r="I147">
            <v>0</v>
          </cell>
        </row>
        <row r="148">
          <cell r="C148" t="str">
            <v>Cost</v>
          </cell>
          <cell r="D148">
            <v>6.8177083333333339</v>
          </cell>
          <cell r="E148">
            <v>13.635416666666668</v>
          </cell>
          <cell r="F148">
            <v>795.39930555555543</v>
          </cell>
          <cell r="G148">
            <v>1060.5324074074074</v>
          </cell>
          <cell r="H148">
            <v>0</v>
          </cell>
          <cell r="I148">
            <v>0</v>
          </cell>
        </row>
        <row r="149">
          <cell r="B149" t="str">
            <v>QC</v>
          </cell>
          <cell r="C149" t="str">
            <v>H/C</v>
          </cell>
          <cell r="D149">
            <v>0.40064102564102561</v>
          </cell>
          <cell r="E149">
            <v>0.80128205128205121</v>
          </cell>
          <cell r="F149">
            <v>1.0016025641025641</v>
          </cell>
          <cell r="G149">
            <v>1.3354700854700854</v>
          </cell>
          <cell r="H149">
            <v>3.205128205128205E-6</v>
          </cell>
          <cell r="I149">
            <v>3.205128205128205E-6</v>
          </cell>
        </row>
        <row r="150">
          <cell r="C150" t="str">
            <v>Cost</v>
          </cell>
          <cell r="D150">
            <v>49.583333333333321</v>
          </cell>
          <cell r="E150">
            <v>99.166666666666643</v>
          </cell>
          <cell r="F150">
            <v>123.95833333333334</v>
          </cell>
          <cell r="G150">
            <v>165.27777777777777</v>
          </cell>
          <cell r="H150">
            <v>8.1666666666666658E-3</v>
          </cell>
          <cell r="I150">
            <v>8.1666666666666658E-3</v>
          </cell>
        </row>
        <row r="151">
          <cell r="B151" t="str">
            <v>Line Leader</v>
          </cell>
          <cell r="C151" t="str">
            <v>H/C</v>
          </cell>
          <cell r="D151">
            <v>0.66444391521790902</v>
          </cell>
          <cell r="E151">
            <v>1.328887830435818</v>
          </cell>
          <cell r="F151">
            <v>1.9163528778913415</v>
          </cell>
          <cell r="G151">
            <v>2.555137170521788</v>
          </cell>
          <cell r="H151">
            <v>2.1367521367521368E-7</v>
          </cell>
          <cell r="I151">
            <v>2.1367521367521368E-7</v>
          </cell>
        </row>
        <row r="152">
          <cell r="C152" t="str">
            <v>Cost</v>
          </cell>
          <cell r="D152">
            <v>82.231578947368419</v>
          </cell>
          <cell r="E152">
            <v>164.46315789473684</v>
          </cell>
          <cell r="F152">
            <v>237.16783216783239</v>
          </cell>
          <cell r="G152">
            <v>316.22377622377644</v>
          </cell>
          <cell r="H152">
            <v>5.4444444444444451E-4</v>
          </cell>
          <cell r="I152">
            <v>5.4444444444444451E-4</v>
          </cell>
        </row>
        <row r="153">
          <cell r="B153" t="str">
            <v>Pack out</v>
          </cell>
          <cell r="C153" t="str">
            <v>H/C</v>
          </cell>
          <cell r="D153">
            <v>0.50080128205128205</v>
          </cell>
          <cell r="E153">
            <v>1.0016025641025641</v>
          </cell>
          <cell r="F153">
            <v>2.5040064102564101</v>
          </cell>
          <cell r="G153">
            <v>3.3386752136752138</v>
          </cell>
          <cell r="H153">
            <v>3.5612535612535611E-6</v>
          </cell>
          <cell r="I153">
            <v>3.5612535612535611E-6</v>
          </cell>
        </row>
        <row r="154">
          <cell r="C154" t="str">
            <v>Cost</v>
          </cell>
          <cell r="D154">
            <v>61.979166666666671</v>
          </cell>
          <cell r="E154">
            <v>123.95833333333334</v>
          </cell>
          <cell r="F154">
            <v>309.89583333333326</v>
          </cell>
          <cell r="G154">
            <v>413.19444444444446</v>
          </cell>
          <cell r="H154">
            <v>9.0740740740740747E-3</v>
          </cell>
          <cell r="I154">
            <v>9.0740740740740747E-3</v>
          </cell>
        </row>
        <row r="155">
          <cell r="B155" t="str">
            <v>Mat. Handler</v>
          </cell>
          <cell r="C155" t="str">
            <v>H/C</v>
          </cell>
          <cell r="D155">
            <v>0.66444391521790902</v>
          </cell>
          <cell r="E155">
            <v>1.328887830435818</v>
          </cell>
          <cell r="F155">
            <v>1.9163528778913415</v>
          </cell>
          <cell r="G155">
            <v>2.555137170521788</v>
          </cell>
          <cell r="H155">
            <v>2.1367521367521368E-7</v>
          </cell>
          <cell r="I155">
            <v>2.1367521367521368E-7</v>
          </cell>
        </row>
        <row r="156">
          <cell r="C156" t="str">
            <v>Cost</v>
          </cell>
          <cell r="D156">
            <v>95.775603715170263</v>
          </cell>
          <cell r="E156">
            <v>191.55120743034053</v>
          </cell>
          <cell r="F156">
            <v>276.23076923076951</v>
          </cell>
          <cell r="G156">
            <v>368.30769230769261</v>
          </cell>
          <cell r="H156">
            <v>5.0555555555555553E-4</v>
          </cell>
          <cell r="I156">
            <v>5.0555555555555553E-4</v>
          </cell>
        </row>
        <row r="157">
          <cell r="D157">
            <v>19.900602574025562</v>
          </cell>
          <cell r="E157">
            <v>39.801205148051125</v>
          </cell>
          <cell r="F157">
            <v>101.63247209521249</v>
          </cell>
          <cell r="G157">
            <v>135.50996279361664</v>
          </cell>
          <cell r="H157">
            <v>2.1743589743589746E-5</v>
          </cell>
          <cell r="I157">
            <v>2.1743589743589746E-5</v>
          </cell>
        </row>
        <row r="158">
          <cell r="B158" t="str">
            <v>TOTAL DIRECT LABOR</v>
          </cell>
          <cell r="C158" t="str">
            <v>H/C</v>
          </cell>
          <cell r="D158">
            <v>21.730291686512661</v>
          </cell>
          <cell r="E158">
            <v>43.460583373025322</v>
          </cell>
          <cell r="F158">
            <v>107.96918426125158</v>
          </cell>
          <cell r="G158">
            <v>143.95891234833542</v>
          </cell>
          <cell r="H158">
            <v>2.5732193732193736E-5</v>
          </cell>
          <cell r="I158">
            <v>2.5732193732193736E-5</v>
          </cell>
        </row>
        <row r="159">
          <cell r="C159" t="str">
            <v>H/C rounded</v>
          </cell>
          <cell r="D159">
            <v>22</v>
          </cell>
          <cell r="E159">
            <v>44</v>
          </cell>
          <cell r="F159">
            <v>108</v>
          </cell>
          <cell r="G159">
            <v>144</v>
          </cell>
          <cell r="H159">
            <v>0.01</v>
          </cell>
          <cell r="I159">
            <v>0.01</v>
          </cell>
        </row>
        <row r="160">
          <cell r="C160" t="str">
            <v>Cost p H/C</v>
          </cell>
          <cell r="D160">
            <v>124.38327855342175</v>
          </cell>
          <cell r="E160">
            <v>124.38327855342175</v>
          </cell>
          <cell r="F160">
            <v>124.12179709358938</v>
          </cell>
          <cell r="G160">
            <v>124.12179709358938</v>
          </cell>
          <cell r="H160">
            <v>2546.4887068201942</v>
          </cell>
          <cell r="I160">
            <v>2546.4887068201942</v>
          </cell>
        </row>
        <row r="161">
          <cell r="A161">
            <v>155</v>
          </cell>
          <cell r="C161" t="str">
            <v>Cost</v>
          </cell>
          <cell r="D161">
            <v>2736.4321281752782</v>
          </cell>
          <cell r="E161">
            <v>5472.8642563505564</v>
          </cell>
          <cell r="F161">
            <v>13405.154086107654</v>
          </cell>
          <cell r="G161">
            <v>17873.538781476869</v>
          </cell>
          <cell r="H161">
            <v>25.464887068201943</v>
          </cell>
          <cell r="I161">
            <v>25.464887068201943</v>
          </cell>
        </row>
        <row r="163">
          <cell r="B163" t="str">
            <v>INDIRECT LABOR</v>
          </cell>
        </row>
        <row r="164">
          <cell r="B164" t="str">
            <v>SMT Tech.</v>
          </cell>
          <cell r="C164" t="str">
            <v>H/C</v>
          </cell>
          <cell r="D164">
            <v>0.22148130507263633</v>
          </cell>
          <cell r="E164">
            <v>0.44296261014527266</v>
          </cell>
          <cell r="F164">
            <v>0.63878429263044711</v>
          </cell>
          <cell r="G164">
            <v>0.8517123901739293</v>
          </cell>
          <cell r="H164">
            <v>5.341880341880342E-8</v>
          </cell>
          <cell r="I164">
            <v>5.341880341880342E-8</v>
          </cell>
        </row>
        <row r="165">
          <cell r="C165" t="str">
            <v>Cost</v>
          </cell>
          <cell r="D165">
            <v>47.413300309597531</v>
          </cell>
          <cell r="E165">
            <v>94.826600619195062</v>
          </cell>
          <cell r="F165">
            <v>136.74685314685328</v>
          </cell>
          <cell r="G165">
            <v>182.32913752913771</v>
          </cell>
          <cell r="H165">
            <v>1.8875000000000001E-4</v>
          </cell>
          <cell r="I165">
            <v>1.8875000000000001E-4</v>
          </cell>
        </row>
        <row r="166">
          <cell r="B166" t="str">
            <v>QA Tech.</v>
          </cell>
          <cell r="C166" t="str">
            <v>H/C</v>
          </cell>
          <cell r="D166">
            <v>0.22148130507263633</v>
          </cell>
          <cell r="E166">
            <v>0.44296261014527266</v>
          </cell>
          <cell r="F166">
            <v>0.63878429263044711</v>
          </cell>
          <cell r="G166">
            <v>0.8517123901739293</v>
          </cell>
          <cell r="H166">
            <v>5.341880341880342E-8</v>
          </cell>
          <cell r="I166">
            <v>5.341880341880342E-8</v>
          </cell>
        </row>
        <row r="167">
          <cell r="C167" t="str">
            <v>Cost</v>
          </cell>
          <cell r="D167">
            <v>47.413300309597531</v>
          </cell>
          <cell r="E167">
            <v>94.826600619195062</v>
          </cell>
          <cell r="F167">
            <v>136.74685314685328</v>
          </cell>
          <cell r="G167">
            <v>182.32913752913771</v>
          </cell>
          <cell r="H167">
            <v>1.8875000000000001E-4</v>
          </cell>
          <cell r="I167">
            <v>1.8875000000000001E-4</v>
          </cell>
        </row>
        <row r="168">
          <cell r="B168" t="str">
            <v>Wave Tech</v>
          </cell>
          <cell r="C168" t="str">
            <v>H/C</v>
          </cell>
          <cell r="D168">
            <v>3.3386752136752136E-2</v>
          </cell>
          <cell r="E168">
            <v>6.6773504273504272E-2</v>
          </cell>
          <cell r="F168">
            <v>0.16693376068376067</v>
          </cell>
          <cell r="G168">
            <v>0.2225783475783476</v>
          </cell>
          <cell r="H168">
            <v>0</v>
          </cell>
          <cell r="I168">
            <v>0</v>
          </cell>
        </row>
        <row r="169">
          <cell r="C169" t="str">
            <v>Cost</v>
          </cell>
          <cell r="D169">
            <v>7.147222222222223</v>
          </cell>
          <cell r="E169">
            <v>14.294444444444446</v>
          </cell>
          <cell r="F169">
            <v>35.736111111111114</v>
          </cell>
          <cell r="G169">
            <v>47.648148148148152</v>
          </cell>
          <cell r="H169">
            <v>0</v>
          </cell>
          <cell r="I169">
            <v>0</v>
          </cell>
        </row>
        <row r="170">
          <cell r="B170" t="str">
            <v>ICT Tech</v>
          </cell>
          <cell r="C170" t="str">
            <v>H/C</v>
          </cell>
          <cell r="D170">
            <v>1.201923076923078</v>
          </cell>
          <cell r="E170">
            <v>2.403846153846156</v>
          </cell>
          <cell r="F170">
            <v>4.0064102564102599</v>
          </cell>
          <cell r="G170">
            <v>5.341880341880346</v>
          </cell>
          <cell r="H170">
            <v>1.282051282051282E-5</v>
          </cell>
          <cell r="I170">
            <v>1.282051282051282E-5</v>
          </cell>
        </row>
        <row r="171">
          <cell r="C171" t="str">
            <v>Cost</v>
          </cell>
          <cell r="D171">
            <v>257.30000000000024</v>
          </cell>
          <cell r="E171">
            <v>514.60000000000048</v>
          </cell>
          <cell r="F171">
            <v>857.66666666666742</v>
          </cell>
          <cell r="G171">
            <v>1143.5555555555566</v>
          </cell>
          <cell r="H171">
            <v>4.5299999999999993E-2</v>
          </cell>
          <cell r="I171">
            <v>4.5299999999999993E-2</v>
          </cell>
        </row>
        <row r="172">
          <cell r="B172" t="str">
            <v>FCT Tech</v>
          </cell>
          <cell r="C172" t="str">
            <v>H/C</v>
          </cell>
          <cell r="D172">
            <v>4.0064102564102555</v>
          </cell>
          <cell r="E172">
            <v>8.012820512820511</v>
          </cell>
          <cell r="F172">
            <v>20.032051282051277</v>
          </cell>
          <cell r="G172">
            <v>26.7094017094017</v>
          </cell>
          <cell r="H172">
            <v>0</v>
          </cell>
          <cell r="I172">
            <v>0</v>
          </cell>
        </row>
        <row r="173">
          <cell r="C173" t="str">
            <v>Cost</v>
          </cell>
          <cell r="D173">
            <v>857.66666666666652</v>
          </cell>
          <cell r="E173">
            <v>1715.333333333333</v>
          </cell>
          <cell r="F173">
            <v>4288.333333333333</v>
          </cell>
          <cell r="G173">
            <v>5717.7777777777765</v>
          </cell>
          <cell r="H173">
            <v>0</v>
          </cell>
          <cell r="I173">
            <v>0</v>
          </cell>
        </row>
        <row r="174">
          <cell r="B174" t="str">
            <v>Admistratives</v>
          </cell>
          <cell r="C174" t="str">
            <v>H/C</v>
          </cell>
          <cell r="D174">
            <v>0.13707487191064011</v>
          </cell>
          <cell r="E174">
            <v>0.27414974382128021</v>
          </cell>
          <cell r="F174">
            <v>0.66726074072828889</v>
          </cell>
          <cell r="G174">
            <v>0.8896809876377183</v>
          </cell>
          <cell r="H174">
            <v>3.8659544159544162E-7</v>
          </cell>
          <cell r="I174">
            <v>3.8659544159544162E-7</v>
          </cell>
        </row>
        <row r="175">
          <cell r="C175" t="str">
            <v>Cost</v>
          </cell>
          <cell r="D175">
            <v>29.344111299449612</v>
          </cell>
          <cell r="E175">
            <v>58.688222598899223</v>
          </cell>
          <cell r="F175">
            <v>142.84290890637143</v>
          </cell>
          <cell r="G175">
            <v>190.45721187516187</v>
          </cell>
          <cell r="H175">
            <v>1.3659963333333333E-3</v>
          </cell>
          <cell r="I175">
            <v>1.3659963333333333E-3</v>
          </cell>
        </row>
        <row r="176">
          <cell r="B176" t="str">
            <v xml:space="preserve">TOTAL INDIRECT LABOR </v>
          </cell>
          <cell r="C176" t="str">
            <v>H/C</v>
          </cell>
          <cell r="D176">
            <v>5.8217575675259976</v>
          </cell>
          <cell r="E176">
            <v>11.643515135051995</v>
          </cell>
          <cell r="F176">
            <v>26.150224625134481</v>
          </cell>
          <cell r="G176">
            <v>34.86696616684597</v>
          </cell>
          <cell r="H176">
            <v>1.3313945868945869E-5</v>
          </cell>
          <cell r="I176">
            <v>1.3313945868945869E-5</v>
          </cell>
        </row>
        <row r="177">
          <cell r="C177" t="str">
            <v>H/C rounded</v>
          </cell>
          <cell r="D177">
            <v>6</v>
          </cell>
          <cell r="E177">
            <v>12</v>
          </cell>
          <cell r="F177">
            <v>27</v>
          </cell>
          <cell r="G177">
            <v>35</v>
          </cell>
          <cell r="H177">
            <v>0.01</v>
          </cell>
          <cell r="I177">
            <v>0.01</v>
          </cell>
        </row>
        <row r="178">
          <cell r="C178" t="str">
            <v>Cost p H/C</v>
          </cell>
          <cell r="D178">
            <v>214.07360000000006</v>
          </cell>
          <cell r="E178">
            <v>214.07360000000006</v>
          </cell>
          <cell r="F178">
            <v>214.07360000000003</v>
          </cell>
          <cell r="G178">
            <v>214.07360000000003</v>
          </cell>
          <cell r="H178">
            <v>3533.3999999999996</v>
          </cell>
          <cell r="I178">
            <v>3533.3999999999996</v>
          </cell>
        </row>
        <row r="179">
          <cell r="A179">
            <v>173</v>
          </cell>
          <cell r="C179" t="str">
            <v>Cost</v>
          </cell>
          <cell r="D179">
            <v>1284.4416000000003</v>
          </cell>
          <cell r="E179">
            <v>2568.8832000000007</v>
          </cell>
          <cell r="F179">
            <v>5779.9872000000005</v>
          </cell>
          <cell r="G179">
            <v>7492.5760000000009</v>
          </cell>
          <cell r="H179">
            <v>35.333999999999996</v>
          </cell>
          <cell r="I179">
            <v>35.333999999999996</v>
          </cell>
        </row>
        <row r="181">
          <cell r="B181" t="str">
            <v>EXEMPT LABOR</v>
          </cell>
        </row>
        <row r="182">
          <cell r="B182" t="str">
            <v>Division Manager</v>
          </cell>
          <cell r="C182" t="str">
            <v>H/C</v>
          </cell>
          <cell r="D182">
            <v>3.6913550845439386E-3</v>
          </cell>
          <cell r="E182">
            <v>7.3827101690878772E-3</v>
          </cell>
          <cell r="F182">
            <v>1.5969607315761178E-2</v>
          </cell>
          <cell r="G182">
            <v>2.1292809754348233E-2</v>
          </cell>
          <cell r="H182">
            <v>3.5612535612535614E-10</v>
          </cell>
          <cell r="I182">
            <v>3.5612535612535614E-10</v>
          </cell>
        </row>
        <row r="183">
          <cell r="C183" t="str">
            <v>Cost</v>
          </cell>
          <cell r="D183">
            <v>28.336576565849008</v>
          </cell>
          <cell r="E183">
            <v>56.673153131698015</v>
          </cell>
          <cell r="F183">
            <v>122.59021147122121</v>
          </cell>
          <cell r="G183">
            <v>163.45361529496159</v>
          </cell>
          <cell r="H183">
            <v>6.266381766381767E-6</v>
          </cell>
          <cell r="I183">
            <v>6.266381766381767E-6</v>
          </cell>
        </row>
        <row r="184">
          <cell r="B184" t="str">
            <v>Eng./PC/Op.Mgr.</v>
          </cell>
          <cell r="C184" t="str">
            <v>H/C</v>
          </cell>
          <cell r="D184">
            <v>7.3827101690878772E-3</v>
          </cell>
          <cell r="E184">
            <v>1.4765420338175754E-2</v>
          </cell>
          <cell r="F184">
            <v>1.5969607315761178E-2</v>
          </cell>
          <cell r="G184">
            <v>2.1292809754348233E-2</v>
          </cell>
          <cell r="H184">
            <v>3.5612535612535614E-10</v>
          </cell>
          <cell r="I184">
            <v>3.5612535612535614E-10</v>
          </cell>
        </row>
        <row r="185">
          <cell r="C185" t="str">
            <v>Cost</v>
          </cell>
          <cell r="D185">
            <v>3.5977423195999041</v>
          </cell>
          <cell r="E185">
            <v>7.1954846391998082</v>
          </cell>
          <cell r="F185">
            <v>7.7823090371167369</v>
          </cell>
          <cell r="G185">
            <v>10.37641204948898</v>
          </cell>
          <cell r="H185">
            <v>2.026111111111111E-6</v>
          </cell>
          <cell r="I185">
            <v>2.026111111111111E-6</v>
          </cell>
        </row>
        <row r="186">
          <cell r="B186" t="str">
            <v>Production Manager</v>
          </cell>
          <cell r="C186" t="str">
            <v>H/C</v>
          </cell>
          <cell r="D186">
            <v>2.7685163134079541E-2</v>
          </cell>
          <cell r="E186">
            <v>5.5370326268159083E-2</v>
          </cell>
          <cell r="F186">
            <v>0.10646404877174118</v>
          </cell>
          <cell r="G186">
            <v>0.14195206502898822</v>
          </cell>
          <cell r="H186">
            <v>3.5612535612535614E-10</v>
          </cell>
          <cell r="I186">
            <v>3.5612535612535614E-10</v>
          </cell>
        </row>
        <row r="187">
          <cell r="C187" t="str">
            <v>Cost</v>
          </cell>
          <cell r="D187">
            <v>147.38279649916646</v>
          </cell>
          <cell r="E187">
            <v>294.76559299833292</v>
          </cell>
          <cell r="F187">
            <v>566.76455755782729</v>
          </cell>
          <cell r="G187">
            <v>755.6860767437696</v>
          </cell>
          <cell r="H187">
            <v>2.5784081196581197E-6</v>
          </cell>
          <cell r="I187">
            <v>2.5784081196581197E-6</v>
          </cell>
        </row>
        <row r="188">
          <cell r="B188" t="str">
            <v>Production Supervisor</v>
          </cell>
          <cell r="C188" t="str">
            <v>H/C</v>
          </cell>
          <cell r="D188">
            <v>0.16611097880447726</v>
          </cell>
          <cell r="E188">
            <v>0.33222195760895451</v>
          </cell>
          <cell r="F188">
            <v>0.47908821947283531</v>
          </cell>
          <cell r="G188">
            <v>0.638784292630447</v>
          </cell>
          <cell r="H188">
            <v>7.1225071225071224E-9</v>
          </cell>
          <cell r="I188">
            <v>7.1225071225071224E-9</v>
          </cell>
        </row>
        <row r="189">
          <cell r="C189" t="str">
            <v>Cost</v>
          </cell>
          <cell r="D189">
            <v>52.976113360323886</v>
          </cell>
          <cell r="E189">
            <v>105.95222672064777</v>
          </cell>
          <cell r="F189">
            <v>152.79081495427664</v>
          </cell>
          <cell r="G189">
            <v>203.72108660570217</v>
          </cell>
          <cell r="H189">
            <v>3.3499999999999994E-5</v>
          </cell>
          <cell r="I189">
            <v>3.3499999999999994E-5</v>
          </cell>
        </row>
        <row r="190">
          <cell r="B190" t="str">
            <v>Manufacturing Engineer</v>
          </cell>
          <cell r="C190" t="str">
            <v>H/C</v>
          </cell>
          <cell r="D190">
            <v>7.3827101690878777E-2</v>
          </cell>
          <cell r="E190">
            <v>0.14765420338175755</v>
          </cell>
          <cell r="F190">
            <v>0.15969607315761178</v>
          </cell>
          <cell r="G190">
            <v>0.21292809754348233</v>
          </cell>
          <cell r="H190">
            <v>3.5612535612535611E-8</v>
          </cell>
          <cell r="I190">
            <v>3.5612535612535611E-8</v>
          </cell>
        </row>
        <row r="191">
          <cell r="C191" t="str">
            <v>Cost</v>
          </cell>
          <cell r="D191">
            <v>35.977423195999044</v>
          </cell>
          <cell r="E191">
            <v>71.954846391998089</v>
          </cell>
          <cell r="F191">
            <v>77.823090371167368</v>
          </cell>
          <cell r="G191">
            <v>103.76412049488981</v>
          </cell>
          <cell r="H191">
            <v>2.0261111111111109E-4</v>
          </cell>
          <cell r="I191">
            <v>2.0261111111111109E-4</v>
          </cell>
        </row>
        <row r="192">
          <cell r="B192" t="str">
            <v>SMT Engineer</v>
          </cell>
          <cell r="C192" t="str">
            <v>H/C</v>
          </cell>
          <cell r="D192">
            <v>7.3827101690878777E-2</v>
          </cell>
          <cell r="E192">
            <v>0.14765420338175755</v>
          </cell>
          <cell r="F192">
            <v>0.15969607315761178</v>
          </cell>
          <cell r="G192">
            <v>0.21292809754348233</v>
          </cell>
          <cell r="H192">
            <v>3.5612535612535611E-8</v>
          </cell>
          <cell r="I192">
            <v>3.5612535612535611E-8</v>
          </cell>
        </row>
        <row r="193">
          <cell r="C193" t="str">
            <v>Cost</v>
          </cell>
          <cell r="D193">
            <v>35.977423195999044</v>
          </cell>
          <cell r="E193">
            <v>71.954846391998089</v>
          </cell>
          <cell r="F193">
            <v>77.823090371167368</v>
          </cell>
          <cell r="G193">
            <v>103.76412049488981</v>
          </cell>
          <cell r="H193">
            <v>2.0261111111111109E-4</v>
          </cell>
          <cell r="I193">
            <v>2.0261111111111109E-4</v>
          </cell>
        </row>
        <row r="194">
          <cell r="B194" t="str">
            <v>Test Engineer</v>
          </cell>
          <cell r="C194" t="str">
            <v>H/C</v>
          </cell>
          <cell r="D194">
            <v>7.3827101690878777E-2</v>
          </cell>
          <cell r="E194">
            <v>0.14765420338175755</v>
          </cell>
          <cell r="F194">
            <v>0.15969607315761178</v>
          </cell>
          <cell r="G194">
            <v>0.21292809754348233</v>
          </cell>
          <cell r="H194">
            <v>3.5612535612535611E-8</v>
          </cell>
          <cell r="I194">
            <v>3.5612535612535611E-8</v>
          </cell>
        </row>
        <row r="195">
          <cell r="C195" t="str">
            <v>Cost</v>
          </cell>
          <cell r="D195">
            <v>35.977423195999044</v>
          </cell>
          <cell r="E195">
            <v>71.954846391998089</v>
          </cell>
          <cell r="F195">
            <v>77.823090371167368</v>
          </cell>
          <cell r="G195">
            <v>103.76412049488981</v>
          </cell>
          <cell r="H195">
            <v>2.0261111111111109E-4</v>
          </cell>
          <cell r="I195">
            <v>2.0261111111111109E-4</v>
          </cell>
        </row>
        <row r="196">
          <cell r="B196" t="str">
            <v>Quality Engineer</v>
          </cell>
          <cell r="C196" t="str">
            <v>H/C</v>
          </cell>
          <cell r="D196">
            <v>7.3827101690878777E-2</v>
          </cell>
          <cell r="E196">
            <v>0.14765420338175755</v>
          </cell>
          <cell r="F196">
            <v>0.15969607315761178</v>
          </cell>
          <cell r="G196">
            <v>0.21292809754348233</v>
          </cell>
          <cell r="H196">
            <v>3.5612535612535611E-8</v>
          </cell>
          <cell r="I196">
            <v>3.5612535612535611E-8</v>
          </cell>
        </row>
        <row r="197">
          <cell r="C197" t="str">
            <v>Cost</v>
          </cell>
          <cell r="D197">
            <v>35.977423195999044</v>
          </cell>
          <cell r="E197">
            <v>71.954846391998089</v>
          </cell>
          <cell r="F197">
            <v>77.823090371167368</v>
          </cell>
          <cell r="G197">
            <v>103.76412049488981</v>
          </cell>
          <cell r="H197">
            <v>2.0261111111111109E-4</v>
          </cell>
          <cell r="I197">
            <v>2.0261111111111109E-4</v>
          </cell>
        </row>
        <row r="198">
          <cell r="B198" t="str">
            <v>Production Control</v>
          </cell>
          <cell r="C198" t="str">
            <v>H/C</v>
          </cell>
          <cell r="D198">
            <v>7.3827101690878777E-2</v>
          </cell>
          <cell r="E198">
            <v>0.14765420338175755</v>
          </cell>
          <cell r="F198">
            <v>0.15969607315761178</v>
          </cell>
          <cell r="G198">
            <v>0.21292809754348233</v>
          </cell>
          <cell r="H198">
            <v>3.5612535612535611E-8</v>
          </cell>
          <cell r="I198">
            <v>3.5612535612535611E-8</v>
          </cell>
        </row>
        <row r="199">
          <cell r="C199" t="str">
            <v>Cost</v>
          </cell>
          <cell r="D199">
            <v>23.54493927125506</v>
          </cell>
          <cell r="E199">
            <v>47.089878542510121</v>
          </cell>
          <cell r="F199">
            <v>50.930271651425549</v>
          </cell>
          <cell r="G199">
            <v>67.90702886856738</v>
          </cell>
          <cell r="H199">
            <v>1.6933333333333332E-4</v>
          </cell>
          <cell r="I199">
            <v>1.6933333333333332E-4</v>
          </cell>
        </row>
        <row r="200">
          <cell r="B200" t="str">
            <v xml:space="preserve">TOTAL EXEMPT LABOR </v>
          </cell>
          <cell r="C200" t="str">
            <v>H/C</v>
          </cell>
          <cell r="D200">
            <v>0.57400571564658265</v>
          </cell>
          <cell r="E200">
            <v>1.1480114312931653</v>
          </cell>
          <cell r="F200">
            <v>1.4159718486641579</v>
          </cell>
          <cell r="G200">
            <v>1.8879624648855438</v>
          </cell>
          <cell r="H200">
            <v>1.8625356125356124E-7</v>
          </cell>
          <cell r="I200">
            <v>1.8625356125356124E-7</v>
          </cell>
        </row>
        <row r="201">
          <cell r="C201" t="str">
            <v>H/C rounded</v>
          </cell>
          <cell r="D201">
            <v>0.6</v>
          </cell>
          <cell r="E201">
            <v>1.2000000000000002</v>
          </cell>
          <cell r="F201">
            <v>1.5</v>
          </cell>
          <cell r="G201">
            <v>1.9000000000000001</v>
          </cell>
          <cell r="H201">
            <v>0.01</v>
          </cell>
          <cell r="I201">
            <v>0.01</v>
          </cell>
        </row>
        <row r="202">
          <cell r="C202" t="str">
            <v>Cost p H/C</v>
          </cell>
          <cell r="D202">
            <v>696.4179099678455</v>
          </cell>
          <cell r="E202">
            <v>696.4179099678455</v>
          </cell>
          <cell r="F202">
            <v>856.05552631578928</v>
          </cell>
          <cell r="G202">
            <v>856.05552631578905</v>
          </cell>
          <cell r="H202">
            <v>5498.6797131931171</v>
          </cell>
          <cell r="I202">
            <v>5498.6797131931171</v>
          </cell>
        </row>
        <row r="203">
          <cell r="A203">
            <v>197</v>
          </cell>
          <cell r="C203" t="str">
            <v>Cost</v>
          </cell>
          <cell r="D203">
            <v>417.8507459807073</v>
          </cell>
          <cell r="E203">
            <v>835.70149196141472</v>
          </cell>
          <cell r="F203">
            <v>1284.0832894736839</v>
          </cell>
          <cell r="G203">
            <v>1626.5054999999993</v>
          </cell>
          <cell r="H203">
            <v>54.986797131931169</v>
          </cell>
          <cell r="I203">
            <v>54.986797131931169</v>
          </cell>
        </row>
        <row r="205">
          <cell r="B205" t="str">
            <v>Annual costs</v>
          </cell>
        </row>
        <row r="206">
          <cell r="A206">
            <v>200</v>
          </cell>
          <cell r="B206" t="str">
            <v>FACILITY</v>
          </cell>
          <cell r="D206">
            <v>7931.5253129092152</v>
          </cell>
          <cell r="E206">
            <v>15863.05062581843</v>
          </cell>
          <cell r="F206">
            <v>22875.672440279301</v>
          </cell>
          <cell r="G206">
            <v>30500.89658703906</v>
          </cell>
          <cell r="H206">
            <v>1.0449243720619185E-2</v>
          </cell>
          <cell r="I206">
            <v>1.0449243720619185E-2</v>
          </cell>
        </row>
        <row r="207">
          <cell r="A207">
            <v>201</v>
          </cell>
          <cell r="B207" t="str">
            <v>OPR. SUPPLY</v>
          </cell>
          <cell r="D207">
            <v>10200</v>
          </cell>
          <cell r="E207">
            <v>20400</v>
          </cell>
          <cell r="F207">
            <v>91500</v>
          </cell>
          <cell r="G207">
            <v>122000</v>
          </cell>
          <cell r="H207">
            <v>1E-3</v>
          </cell>
          <cell r="I207">
            <v>1E-3</v>
          </cell>
        </row>
        <row r="208">
          <cell r="A208">
            <v>202</v>
          </cell>
          <cell r="B208" t="str">
            <v>OTHER</v>
          </cell>
          <cell r="D208">
            <v>1328.8878304358179</v>
          </cell>
          <cell r="E208">
            <v>2657.7756608716359</v>
          </cell>
          <cell r="F208">
            <v>3832.7057557826829</v>
          </cell>
          <cell r="G208">
            <v>5110.274341043576</v>
          </cell>
          <cell r="H208">
            <v>4.2735042735042735E-4</v>
          </cell>
          <cell r="I208">
            <v>4.2735042735042735E-4</v>
          </cell>
        </row>
        <row r="210">
          <cell r="B210" t="str">
            <v>Std Equipments</v>
          </cell>
          <cell r="D210" t="str">
            <v>Qty</v>
          </cell>
          <cell r="E210" t="str">
            <v>Qty</v>
          </cell>
          <cell r="F210" t="str">
            <v>Qty</v>
          </cell>
          <cell r="G210" t="str">
            <v>Qty</v>
          </cell>
          <cell r="H210" t="str">
            <v>Qty</v>
          </cell>
          <cell r="I210" t="str">
            <v>Qty</v>
          </cell>
        </row>
        <row r="211">
          <cell r="B211" t="str">
            <v>ScreenPrinter</v>
          </cell>
          <cell r="C211" t="str">
            <v>Qty used</v>
          </cell>
          <cell r="D211">
            <v>0.11074065253631817</v>
          </cell>
          <cell r="E211">
            <v>0.22148130507263633</v>
          </cell>
          <cell r="F211">
            <v>0.31939214631522356</v>
          </cell>
          <cell r="G211">
            <v>0.42585619508696465</v>
          </cell>
          <cell r="H211">
            <v>3.5612535612535611E-8</v>
          </cell>
          <cell r="I211">
            <v>3.5612535612535611E-8</v>
          </cell>
        </row>
        <row r="212">
          <cell r="C212" t="str">
            <v>Investment</v>
          </cell>
          <cell r="D212">
            <v>21317.575613241246</v>
          </cell>
          <cell r="E212">
            <v>42635.151226482492</v>
          </cell>
          <cell r="F212">
            <v>61482.988165680537</v>
          </cell>
          <cell r="G212">
            <v>81977.317554240697</v>
          </cell>
          <cell r="H212">
            <v>6.8554131054131048E-3</v>
          </cell>
          <cell r="I212">
            <v>6.8554131054131048E-3</v>
          </cell>
        </row>
        <row r="213">
          <cell r="C213" t="str">
            <v>Dep. per item</v>
          </cell>
          <cell r="D213">
            <v>1.4211717075494163E-2</v>
          </cell>
          <cell r="E213">
            <v>1.4211717075494163E-2</v>
          </cell>
          <cell r="F213">
            <v>8.197731755424072E-3</v>
          </cell>
          <cell r="G213">
            <v>8.1977317554240703E-3</v>
          </cell>
          <cell r="H213">
            <v>1.3710826210826209E-3</v>
          </cell>
          <cell r="I213">
            <v>1.3710826210826209E-3</v>
          </cell>
        </row>
        <row r="214">
          <cell r="B214" t="str">
            <v>EUROPLACER</v>
          </cell>
          <cell r="C214" t="str">
            <v>Qty used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</row>
        <row r="215">
          <cell r="C215" t="str">
            <v>Investment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C216" t="str">
            <v>Dep. per item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B217" t="str">
            <v>CP6</v>
          </cell>
          <cell r="C217" t="str">
            <v>Qty used</v>
          </cell>
          <cell r="D217">
            <v>0.11074065253631817</v>
          </cell>
          <cell r="E217">
            <v>0.22148130507263633</v>
          </cell>
          <cell r="F217">
            <v>0.63878429263044711</v>
          </cell>
          <cell r="G217">
            <v>0.8517123901739293</v>
          </cell>
          <cell r="H217">
            <v>3.5612535612535611E-8</v>
          </cell>
          <cell r="I217">
            <v>3.5612535612535611E-8</v>
          </cell>
        </row>
        <row r="218">
          <cell r="C218" t="str">
            <v>Investment</v>
          </cell>
          <cell r="D218">
            <v>52048.106692069538</v>
          </cell>
          <cell r="E218">
            <v>104096.21338413908</v>
          </cell>
          <cell r="F218">
            <v>300228.61753631016</v>
          </cell>
          <cell r="G218">
            <v>400304.82338174677</v>
          </cell>
          <cell r="H218">
            <v>1.6737891737891739E-2</v>
          </cell>
          <cell r="I218">
            <v>1.6737891737891739E-2</v>
          </cell>
        </row>
        <row r="219">
          <cell r="C219" t="str">
            <v>Dep. per item</v>
          </cell>
          <cell r="D219">
            <v>3.4698737794713025E-2</v>
          </cell>
          <cell r="E219">
            <v>3.4698737794713025E-2</v>
          </cell>
          <cell r="F219">
            <v>4.0030482338174689E-2</v>
          </cell>
          <cell r="G219">
            <v>4.0030482338174675E-2</v>
          </cell>
          <cell r="H219">
            <v>3.3475783475783475E-3</v>
          </cell>
          <cell r="I219">
            <v>3.3475783475783475E-3</v>
          </cell>
        </row>
        <row r="220">
          <cell r="B220" t="str">
            <v>FCM16</v>
          </cell>
          <cell r="C220" t="str">
            <v>Qty used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</row>
        <row r="221">
          <cell r="C221" t="str">
            <v>Investment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C222" t="str">
            <v>Dep. per item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</row>
        <row r="223">
          <cell r="B223" t="str">
            <v>FCM8</v>
          </cell>
          <cell r="C223" t="str">
            <v>Qty used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C224" t="str">
            <v>Investment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C225" t="str">
            <v>Dep. per item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B226" t="str">
            <v>MV-2</v>
          </cell>
          <cell r="C226" t="str">
            <v>Qty used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C227" t="str">
            <v>Investment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C228" t="str">
            <v>Dep. per item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B229" t="str">
            <v>MY-19C</v>
          </cell>
          <cell r="C229" t="str">
            <v>Qty used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C230" t="str">
            <v>Investment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</row>
        <row r="231">
          <cell r="C231" t="str">
            <v>Dep. per item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</row>
        <row r="232">
          <cell r="B232" t="str">
            <v>MSF-C</v>
          </cell>
          <cell r="C232" t="str">
            <v>Qty used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</row>
        <row r="233">
          <cell r="C233" t="str">
            <v>Investment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</row>
        <row r="234">
          <cell r="C234" t="str">
            <v>Dep. per item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</row>
        <row r="235">
          <cell r="B235" t="str">
            <v>GSM-2Flexjet</v>
          </cell>
          <cell r="C235" t="str">
            <v>Qty used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</row>
        <row r="236">
          <cell r="C236" t="str">
            <v>Investment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</row>
        <row r="237">
          <cell r="C237" t="str">
            <v>Dep. per item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</row>
        <row r="238">
          <cell r="B238" t="str">
            <v>CP-65</v>
          </cell>
          <cell r="C238" t="str">
            <v>Qty used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</row>
        <row r="239">
          <cell r="C239" t="str">
            <v>Investment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</row>
        <row r="240">
          <cell r="C240" t="str">
            <v>Dep. per item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B241" t="str">
            <v>IP3/QP</v>
          </cell>
          <cell r="C241" t="str">
            <v>Qty used</v>
          </cell>
          <cell r="D241">
            <v>0.11074065253631817</v>
          </cell>
          <cell r="E241">
            <v>0.22148130507263633</v>
          </cell>
          <cell r="F241">
            <v>0.31939214631522356</v>
          </cell>
          <cell r="G241">
            <v>0.42585619508696465</v>
          </cell>
          <cell r="H241">
            <v>3.5612535612535611E-8</v>
          </cell>
          <cell r="I241">
            <v>3.5612535612535611E-8</v>
          </cell>
        </row>
        <row r="242">
          <cell r="C242" t="str">
            <v>Investment</v>
          </cell>
          <cell r="D242">
            <v>48061.443200762085</v>
          </cell>
          <cell r="E242">
            <v>96122.886401524171</v>
          </cell>
          <cell r="F242">
            <v>138616.19150080704</v>
          </cell>
          <cell r="G242">
            <v>184821.58866774265</v>
          </cell>
          <cell r="H242">
            <v>1.5455840455840456E-2</v>
          </cell>
          <cell r="I242">
            <v>1.5455840455840456E-2</v>
          </cell>
        </row>
        <row r="243">
          <cell r="C243" t="str">
            <v>Dep. per item</v>
          </cell>
          <cell r="D243">
            <v>3.2040962133841389E-2</v>
          </cell>
          <cell r="E243">
            <v>3.2040962133841389E-2</v>
          </cell>
          <cell r="F243">
            <v>1.8482158866774272E-2</v>
          </cell>
          <cell r="G243">
            <v>1.8482158866774265E-2</v>
          </cell>
          <cell r="H243">
            <v>3.0911680911680913E-3</v>
          </cell>
          <cell r="I243">
            <v>3.0911680911680913E-3</v>
          </cell>
        </row>
        <row r="244">
          <cell r="B244" t="str">
            <v>QP6ST</v>
          </cell>
          <cell r="C244" t="str">
            <v>Qty used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</row>
        <row r="245">
          <cell r="C245" t="str">
            <v>Investment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</row>
        <row r="246">
          <cell r="C246" t="str">
            <v>Dep. per item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</row>
        <row r="247">
          <cell r="B247" t="str">
            <v>GSM-2Flexhead</v>
          </cell>
          <cell r="C247" t="str">
            <v>Qty used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</row>
        <row r="248">
          <cell r="C248" t="str">
            <v>Investment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</row>
        <row r="249">
          <cell r="C249" t="str">
            <v>Dep. per item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</row>
        <row r="250">
          <cell r="B250" t="str">
            <v>MSF-I</v>
          </cell>
          <cell r="C250" t="str">
            <v>Qty used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</row>
        <row r="251">
          <cell r="C251" t="str">
            <v>Investment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</row>
        <row r="252">
          <cell r="C252" t="str">
            <v>Dep. per item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</row>
        <row r="253">
          <cell r="B253" t="str">
            <v>MY-19I</v>
          </cell>
          <cell r="C253" t="str">
            <v>Qty used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C254" t="str">
            <v>Investment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C255" t="str">
            <v>Dep. per item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</row>
        <row r="256">
          <cell r="B256" t="str">
            <v>MPAV2/GSM1</v>
          </cell>
          <cell r="C256" t="str">
            <v>Qty used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</row>
        <row r="257">
          <cell r="C257" t="str">
            <v>Investment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</row>
        <row r="258">
          <cell r="C258" t="str">
            <v>Dep. per item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</row>
        <row r="259">
          <cell r="B259" t="str">
            <v>Conveyors</v>
          </cell>
          <cell r="C259" t="str">
            <v>Qty used</v>
          </cell>
          <cell r="D259">
            <v>0.33222195760895451</v>
          </cell>
          <cell r="E259">
            <v>0.66444391521790902</v>
          </cell>
          <cell r="F259">
            <v>1.2775685852608942</v>
          </cell>
          <cell r="G259">
            <v>1.7034247803478586</v>
          </cell>
          <cell r="H259">
            <v>1.0683760683760684E-7</v>
          </cell>
          <cell r="I259">
            <v>1.0683760683760684E-7</v>
          </cell>
        </row>
        <row r="260">
          <cell r="C260" t="str">
            <v>Investment</v>
          </cell>
          <cell r="D260">
            <v>1328.8878304358179</v>
          </cell>
          <cell r="E260">
            <v>2657.7756608716359</v>
          </cell>
          <cell r="F260">
            <v>5110.2743410435769</v>
          </cell>
          <cell r="G260">
            <v>6813.6991213914343</v>
          </cell>
          <cell r="H260">
            <v>4.2735042735042735E-4</v>
          </cell>
          <cell r="I260">
            <v>4.2735042735042735E-4</v>
          </cell>
        </row>
        <row r="261">
          <cell r="C261" t="str">
            <v>Dep. per item</v>
          </cell>
          <cell r="D261">
            <v>8.8592522029054533E-4</v>
          </cell>
          <cell r="E261">
            <v>8.8592522029054533E-4</v>
          </cell>
          <cell r="F261">
            <v>6.8136991213914354E-4</v>
          </cell>
          <cell r="G261">
            <v>6.8136991213914343E-4</v>
          </cell>
          <cell r="H261">
            <v>8.547008547008547E-5</v>
          </cell>
          <cell r="I261">
            <v>8.547008547008547E-5</v>
          </cell>
        </row>
        <row r="262">
          <cell r="B262" t="str">
            <v>ReflowOven</v>
          </cell>
          <cell r="C262" t="str">
            <v>Qty used</v>
          </cell>
          <cell r="D262">
            <v>0.11074065253631817</v>
          </cell>
          <cell r="E262">
            <v>0.22148130507263633</v>
          </cell>
          <cell r="F262">
            <v>0.31939214631522356</v>
          </cell>
          <cell r="G262">
            <v>0.42585619508696465</v>
          </cell>
          <cell r="H262">
            <v>3.5612535612535611E-8</v>
          </cell>
          <cell r="I262">
            <v>3.5612535612535611E-8</v>
          </cell>
        </row>
        <row r="263">
          <cell r="C263" t="str">
            <v>Investment</v>
          </cell>
          <cell r="D263">
            <v>14507.025482257679</v>
          </cell>
          <cell r="E263">
            <v>29014.050964515358</v>
          </cell>
          <cell r="F263">
            <v>41840.371167294288</v>
          </cell>
          <cell r="G263">
            <v>55787.16155639237</v>
          </cell>
          <cell r="H263">
            <v>4.6652421652421654E-3</v>
          </cell>
          <cell r="I263">
            <v>4.6652421652421654E-3</v>
          </cell>
        </row>
        <row r="264">
          <cell r="C264" t="str">
            <v>Dep. per item</v>
          </cell>
          <cell r="D264">
            <v>9.6713503215051198E-3</v>
          </cell>
          <cell r="E264">
            <v>9.6713503215051198E-3</v>
          </cell>
          <cell r="F264">
            <v>5.5787161556392385E-3</v>
          </cell>
          <cell r="G264">
            <v>5.5787161556392368E-3</v>
          </cell>
          <cell r="H264">
            <v>9.3304843304843307E-4</v>
          </cell>
          <cell r="I264">
            <v>9.3304843304843307E-4</v>
          </cell>
        </row>
        <row r="265">
          <cell r="B265" t="str">
            <v>BarCodePrinter</v>
          </cell>
          <cell r="C265" t="str">
            <v>Qty used</v>
          </cell>
          <cell r="D265">
            <v>0.11074065253631817</v>
          </cell>
          <cell r="E265">
            <v>0.22148130507263633</v>
          </cell>
          <cell r="F265">
            <v>0.31939214631522356</v>
          </cell>
          <cell r="G265">
            <v>0.42585619508696465</v>
          </cell>
          <cell r="H265">
            <v>3.5612535612535611E-8</v>
          </cell>
          <cell r="I265">
            <v>3.5612535612535611E-8</v>
          </cell>
        </row>
        <row r="266">
          <cell r="C266" t="str">
            <v>Investment</v>
          </cell>
          <cell r="D266">
            <v>775.18456775422715</v>
          </cell>
          <cell r="E266">
            <v>1550.3691355084543</v>
          </cell>
          <cell r="F266">
            <v>2235.7450242065647</v>
          </cell>
          <cell r="G266">
            <v>2980.9933656087524</v>
          </cell>
          <cell r="H266">
            <v>2.4928774928774931E-4</v>
          </cell>
          <cell r="I266">
            <v>2.4928774928774931E-4</v>
          </cell>
        </row>
        <row r="267">
          <cell r="C267" t="str">
            <v>Dep. per item</v>
          </cell>
          <cell r="D267">
            <v>5.1678971183615147E-4</v>
          </cell>
          <cell r="E267">
            <v>5.1678971183615147E-4</v>
          </cell>
          <cell r="F267">
            <v>2.9809933656087527E-4</v>
          </cell>
          <cell r="G267">
            <v>2.9809933656087522E-4</v>
          </cell>
          <cell r="H267">
            <v>4.985754985754986E-5</v>
          </cell>
          <cell r="I267">
            <v>4.985754985754986E-5</v>
          </cell>
        </row>
        <row r="268">
          <cell r="B268" t="str">
            <v>ShuttleConveyor</v>
          </cell>
          <cell r="C268" t="str">
            <v>Qty used</v>
          </cell>
          <cell r="D268">
            <v>0.22148130507263633</v>
          </cell>
          <cell r="E268">
            <v>0.44296261014527266</v>
          </cell>
          <cell r="F268">
            <v>0.63878429263044711</v>
          </cell>
          <cell r="G268">
            <v>0.8517123901739293</v>
          </cell>
          <cell r="H268">
            <v>7.1225071225071223E-8</v>
          </cell>
          <cell r="I268">
            <v>7.1225071225071223E-8</v>
          </cell>
        </row>
        <row r="269">
          <cell r="C269" t="str">
            <v>Investment</v>
          </cell>
          <cell r="D269">
            <v>3322.2195760895452</v>
          </cell>
          <cell r="E269">
            <v>6644.4391521790903</v>
          </cell>
          <cell r="F269">
            <v>9581.7643894567063</v>
          </cell>
          <cell r="G269">
            <v>12775.68585260894</v>
          </cell>
          <cell r="H269">
            <v>1.0683760683760683E-3</v>
          </cell>
          <cell r="I269">
            <v>1.0683760683760683E-3</v>
          </cell>
        </row>
        <row r="270">
          <cell r="C270" t="str">
            <v>Dep. per item</v>
          </cell>
          <cell r="D270">
            <v>2.2148130507263636E-3</v>
          </cell>
          <cell r="E270">
            <v>2.2148130507263636E-3</v>
          </cell>
          <cell r="F270">
            <v>1.2775685852608942E-3</v>
          </cell>
          <cell r="G270">
            <v>1.277568585260894E-3</v>
          </cell>
          <cell r="H270">
            <v>2.1367521367521365E-4</v>
          </cell>
          <cell r="I270">
            <v>2.1367521367521365E-4</v>
          </cell>
        </row>
        <row r="271">
          <cell r="B271" t="str">
            <v>OffLifterConveyor</v>
          </cell>
          <cell r="C271" t="str">
            <v>Qty used</v>
          </cell>
          <cell r="D271">
            <v>0.11074065253631817</v>
          </cell>
          <cell r="E271">
            <v>0.22148130507263633</v>
          </cell>
          <cell r="F271">
            <v>0.31939214631522356</v>
          </cell>
          <cell r="G271">
            <v>0.42585619508696465</v>
          </cell>
          <cell r="H271">
            <v>3.5612535612535611E-8</v>
          </cell>
          <cell r="I271">
            <v>3.5612535612535611E-8</v>
          </cell>
        </row>
        <row r="272">
          <cell r="C272" t="str">
            <v>Investment</v>
          </cell>
          <cell r="D272">
            <v>2436.2943557989997</v>
          </cell>
          <cell r="E272">
            <v>4872.5887115979995</v>
          </cell>
          <cell r="F272">
            <v>7026.6272189349183</v>
          </cell>
          <cell r="G272">
            <v>9368.8362919132214</v>
          </cell>
          <cell r="H272">
            <v>7.8347578347578344E-4</v>
          </cell>
          <cell r="I272">
            <v>7.8347578347578344E-4</v>
          </cell>
        </row>
        <row r="273">
          <cell r="C273" t="str">
            <v>Dep. per item</v>
          </cell>
          <cell r="D273">
            <v>1.6241962371993332E-3</v>
          </cell>
          <cell r="E273">
            <v>1.6241962371993332E-3</v>
          </cell>
          <cell r="F273">
            <v>9.3688362919132242E-4</v>
          </cell>
          <cell r="G273">
            <v>9.368836291913221E-4</v>
          </cell>
          <cell r="H273">
            <v>1.5669515669515668E-4</v>
          </cell>
          <cell r="I273">
            <v>1.5669515669515668E-4</v>
          </cell>
        </row>
        <row r="274">
          <cell r="B274" t="str">
            <v>PC</v>
          </cell>
          <cell r="C274" t="str">
            <v>Qty used</v>
          </cell>
          <cell r="D274">
            <v>0.88592522029054532</v>
          </cell>
          <cell r="E274">
            <v>1.7718504405810906</v>
          </cell>
          <cell r="F274">
            <v>2.5551371705217885</v>
          </cell>
          <cell r="G274">
            <v>3.4068495606957172</v>
          </cell>
          <cell r="H274">
            <v>2.8490028490028489E-7</v>
          </cell>
          <cell r="I274">
            <v>2.8490028490028489E-7</v>
          </cell>
        </row>
        <row r="275">
          <cell r="C275" t="str">
            <v>Investment</v>
          </cell>
          <cell r="D275">
            <v>885.92522029054533</v>
          </cell>
          <cell r="E275">
            <v>1771.8504405810907</v>
          </cell>
          <cell r="F275">
            <v>2555.1371705217884</v>
          </cell>
          <cell r="G275">
            <v>3406.8495606957172</v>
          </cell>
          <cell r="H275">
            <v>2.8490028490028488E-4</v>
          </cell>
          <cell r="I275">
            <v>2.8490028490028488E-4</v>
          </cell>
        </row>
        <row r="276">
          <cell r="C276" t="str">
            <v>Dep. per item</v>
          </cell>
          <cell r="D276">
            <v>9.8436135587838362E-4</v>
          </cell>
          <cell r="E276">
            <v>9.8436135587838362E-4</v>
          </cell>
          <cell r="F276">
            <v>5.6780826011595302E-4</v>
          </cell>
          <cell r="G276">
            <v>5.6780826011595292E-4</v>
          </cell>
          <cell r="H276">
            <v>9.4966761633428294E-5</v>
          </cell>
          <cell r="I276">
            <v>9.4966761633428294E-5</v>
          </cell>
        </row>
        <row r="277">
          <cell r="B277" t="str">
            <v>BoardStacker</v>
          </cell>
          <cell r="C277" t="str">
            <v>Qty used</v>
          </cell>
          <cell r="D277">
            <v>0.11074065253631817</v>
          </cell>
          <cell r="E277">
            <v>0.22148130507263633</v>
          </cell>
          <cell r="F277">
            <v>0.31939214631522356</v>
          </cell>
          <cell r="G277">
            <v>0.42585619508696465</v>
          </cell>
          <cell r="H277">
            <v>3.5612535612535611E-8</v>
          </cell>
          <cell r="I277">
            <v>3.5612535612535611E-8</v>
          </cell>
        </row>
        <row r="278">
          <cell r="C278" t="str">
            <v>Investment</v>
          </cell>
          <cell r="D278">
            <v>2214.8130507263631</v>
          </cell>
          <cell r="E278">
            <v>4429.6261014527263</v>
          </cell>
          <cell r="F278">
            <v>6387.8429263044709</v>
          </cell>
          <cell r="G278">
            <v>8517.1239017392927</v>
          </cell>
          <cell r="H278">
            <v>7.1225071225071218E-4</v>
          </cell>
          <cell r="I278">
            <v>7.1225071225071218E-4</v>
          </cell>
        </row>
        <row r="279">
          <cell r="C279" t="str">
            <v>Dep. per item</v>
          </cell>
          <cell r="D279">
            <v>1.4765420338175754E-3</v>
          </cell>
          <cell r="E279">
            <v>1.4765420338175754E-3</v>
          </cell>
          <cell r="F279">
            <v>8.5171239017392943E-4</v>
          </cell>
          <cell r="G279">
            <v>8.5171239017392932E-4</v>
          </cell>
          <cell r="H279">
            <v>1.4245014245014244E-4</v>
          </cell>
          <cell r="I279">
            <v>1.4245014245014244E-4</v>
          </cell>
        </row>
        <row r="280">
          <cell r="B280" t="str">
            <v>Carts</v>
          </cell>
          <cell r="C280" t="str">
            <v>Qty used</v>
          </cell>
          <cell r="D280">
            <v>0.11074065253631817</v>
          </cell>
          <cell r="E280">
            <v>0.22148130507263633</v>
          </cell>
          <cell r="F280">
            <v>0.31939214631522356</v>
          </cell>
          <cell r="G280">
            <v>0.42585619508696465</v>
          </cell>
          <cell r="H280">
            <v>3.5612535612535611E-8</v>
          </cell>
          <cell r="I280">
            <v>3.5612535612535611E-8</v>
          </cell>
        </row>
        <row r="281">
          <cell r="C281" t="str">
            <v>Investment</v>
          </cell>
          <cell r="D281">
            <v>885.92522029054533</v>
          </cell>
          <cell r="E281">
            <v>1771.8504405810907</v>
          </cell>
          <cell r="F281">
            <v>2555.1371705217884</v>
          </cell>
          <cell r="G281">
            <v>3406.8495606957172</v>
          </cell>
          <cell r="H281">
            <v>2.8490028490028488E-4</v>
          </cell>
          <cell r="I281">
            <v>2.8490028490028488E-4</v>
          </cell>
        </row>
        <row r="282">
          <cell r="C282" t="str">
            <v>Dep. per item</v>
          </cell>
          <cell r="D282">
            <v>2.9530840676351513E-3</v>
          </cell>
          <cell r="E282">
            <v>2.9530840676351513E-3</v>
          </cell>
          <cell r="F282">
            <v>1.7034247803478591E-3</v>
          </cell>
          <cell r="G282">
            <v>1.7034247803478586E-3</v>
          </cell>
          <cell r="H282">
            <v>2.8490028490028488E-4</v>
          </cell>
          <cell r="I282">
            <v>2.8490028490028488E-4</v>
          </cell>
        </row>
        <row r="283">
          <cell r="B283" t="str">
            <v>Bench</v>
          </cell>
          <cell r="C283" t="str">
            <v>Qty used</v>
          </cell>
          <cell r="D283">
            <v>0.22148130507263633</v>
          </cell>
          <cell r="E283">
            <v>0.44296261014527266</v>
          </cell>
          <cell r="F283">
            <v>0.63878429263044711</v>
          </cell>
          <cell r="G283">
            <v>0.8517123901739293</v>
          </cell>
          <cell r="H283">
            <v>7.1225071225071223E-8</v>
          </cell>
          <cell r="I283">
            <v>7.1225071225071223E-8</v>
          </cell>
        </row>
        <row r="284">
          <cell r="C284" t="str">
            <v>Investment</v>
          </cell>
          <cell r="D284">
            <v>265.77756608716362</v>
          </cell>
          <cell r="E284">
            <v>531.55513217432724</v>
          </cell>
          <cell r="F284">
            <v>766.54115115653656</v>
          </cell>
          <cell r="G284">
            <v>1022.0548682087151</v>
          </cell>
          <cell r="H284">
            <v>8.547008547008547E-5</v>
          </cell>
          <cell r="I284">
            <v>8.547008547008547E-5</v>
          </cell>
        </row>
        <row r="285">
          <cell r="C285" t="str">
            <v>Dep. per item</v>
          </cell>
          <cell r="D285">
            <v>8.8592522029054543E-4</v>
          </cell>
          <cell r="E285">
            <v>8.8592522029054543E-4</v>
          </cell>
          <cell r="F285">
            <v>5.1102743410435766E-4</v>
          </cell>
          <cell r="G285">
            <v>5.1102743410435755E-4</v>
          </cell>
          <cell r="H285">
            <v>8.547008547008547E-5</v>
          </cell>
          <cell r="I285">
            <v>8.547008547008547E-5</v>
          </cell>
        </row>
        <row r="286">
          <cell r="B286" t="str">
            <v>Chairs</v>
          </cell>
          <cell r="C286" t="str">
            <v>Qty used</v>
          </cell>
          <cell r="D286">
            <v>20.733625813685798</v>
          </cell>
          <cell r="E286">
            <v>41.467251627371596</v>
          </cell>
          <cell r="F286">
            <v>104.1364785054689</v>
          </cell>
          <cell r="G286">
            <v>138.84863800729184</v>
          </cell>
          <cell r="H286">
            <v>2.5304843304843308E-5</v>
          </cell>
          <cell r="I286">
            <v>2.5304843304843308E-5</v>
          </cell>
        </row>
        <row r="287">
          <cell r="C287" t="str">
            <v>Investment</v>
          </cell>
          <cell r="D287">
            <v>7256.7690347900289</v>
          </cell>
          <cell r="E287">
            <v>14513.538069580058</v>
          </cell>
          <cell r="F287">
            <v>36447.767476914116</v>
          </cell>
          <cell r="G287">
            <v>48597.023302552145</v>
          </cell>
          <cell r="H287">
            <v>8.8566951566951581E-3</v>
          </cell>
          <cell r="I287">
            <v>8.8566951566951581E-3</v>
          </cell>
        </row>
        <row r="288">
          <cell r="C288" t="str">
            <v>Dep. per item</v>
          </cell>
          <cell r="D288">
            <v>8.0630767053222543E-3</v>
          </cell>
          <cell r="E288">
            <v>8.0630767053222543E-3</v>
          </cell>
          <cell r="F288">
            <v>8.0995038837586922E-3</v>
          </cell>
          <cell r="G288">
            <v>8.0995038837586904E-3</v>
          </cell>
          <cell r="H288">
            <v>2.9522317188983862E-3</v>
          </cell>
          <cell r="I288">
            <v>2.9522317188983862E-3</v>
          </cell>
        </row>
        <row r="289">
          <cell r="B289" t="str">
            <v>FUJI Flexer</v>
          </cell>
          <cell r="C289" t="str">
            <v>Qty used</v>
          </cell>
          <cell r="D289">
            <v>5.5370326268159083E-2</v>
          </cell>
          <cell r="E289">
            <v>0.11074065253631817</v>
          </cell>
          <cell r="F289">
            <v>0.15969607315761178</v>
          </cell>
          <cell r="G289">
            <v>0.21292809754348233</v>
          </cell>
          <cell r="H289">
            <v>1.7806267806267806E-8</v>
          </cell>
          <cell r="I289">
            <v>1.7806267806267806E-8</v>
          </cell>
        </row>
        <row r="290">
          <cell r="C290" t="str">
            <v>Investment</v>
          </cell>
          <cell r="D290">
            <v>2104.0723981900451</v>
          </cell>
          <cell r="E290">
            <v>4208.1447963800902</v>
          </cell>
          <cell r="F290">
            <v>6068.4507799892472</v>
          </cell>
          <cell r="G290">
            <v>8091.2677066523283</v>
          </cell>
          <cell r="H290">
            <v>6.7663817663817666E-4</v>
          </cell>
          <cell r="I290">
            <v>6.7663817663817666E-4</v>
          </cell>
        </row>
        <row r="291">
          <cell r="C291" t="str">
            <v>Dep. per item</v>
          </cell>
          <cell r="D291">
            <v>1.4027149321266968E-3</v>
          </cell>
          <cell r="E291">
            <v>1.4027149321266968E-3</v>
          </cell>
          <cell r="F291">
            <v>8.0912677066523298E-4</v>
          </cell>
          <cell r="G291">
            <v>8.0912677066523287E-4</v>
          </cell>
          <cell r="H291">
            <v>1.3532763532763534E-4</v>
          </cell>
          <cell r="I291">
            <v>1.3532763532763534E-4</v>
          </cell>
        </row>
        <row r="292">
          <cell r="B292" t="str">
            <v>Sub total standards</v>
          </cell>
          <cell r="C292" t="str">
            <v>Investment</v>
          </cell>
          <cell r="D292">
            <v>157410.01980878384</v>
          </cell>
          <cell r="E292">
            <v>314820.03961756767</v>
          </cell>
          <cell r="F292">
            <v>620903.45601914171</v>
          </cell>
          <cell r="G292">
            <v>827871.2746921886</v>
          </cell>
          <cell r="H292">
            <v>5.7143732193732193E-2</v>
          </cell>
          <cell r="I292">
            <v>5.7143732193732193E-2</v>
          </cell>
        </row>
        <row r="293">
          <cell r="C293" t="str">
            <v>Dep. per item</v>
          </cell>
          <cell r="D293">
            <v>0.1116301958606767</v>
          </cell>
          <cell r="E293">
            <v>0.1116301958606767</v>
          </cell>
          <cell r="F293">
            <v>8.8025614098330526E-2</v>
          </cell>
          <cell r="G293">
            <v>8.8025614098330499E-2</v>
          </cell>
          <cell r="H293">
            <v>1.2943922127255461E-2</v>
          </cell>
          <cell r="I293">
            <v>1.2943922127255461E-2</v>
          </cell>
        </row>
        <row r="294">
          <cell r="B294" t="str">
            <v>Opt Equipments</v>
          </cell>
          <cell r="D294" t="str">
            <v xml:space="preserve"> </v>
          </cell>
          <cell r="E294" t="str">
            <v xml:space="preserve"> </v>
          </cell>
          <cell r="F294" t="str">
            <v xml:space="preserve"> </v>
          </cell>
          <cell r="G294" t="str">
            <v xml:space="preserve"> </v>
          </cell>
          <cell r="H294" t="str">
            <v xml:space="preserve"> </v>
          </cell>
          <cell r="I294" t="str">
            <v xml:space="preserve"> </v>
          </cell>
        </row>
        <row r="295">
          <cell r="B295" t="str">
            <v>Feeders/line</v>
          </cell>
          <cell r="C295" t="str">
            <v>Qty used</v>
          </cell>
          <cell r="D295">
            <v>2.5470350083353179</v>
          </cell>
          <cell r="E295">
            <v>5.0940700166706359</v>
          </cell>
          <cell r="F295">
            <v>12.136901559978496</v>
          </cell>
          <cell r="G295">
            <v>16.182535413304656</v>
          </cell>
          <cell r="H295">
            <v>2.849002849002849E-8</v>
          </cell>
          <cell r="I295">
            <v>2.849002849002849E-8</v>
          </cell>
        </row>
        <row r="296">
          <cell r="C296" t="str">
            <v>Investment</v>
          </cell>
          <cell r="D296">
            <v>1400.8692545844249</v>
          </cell>
          <cell r="E296">
            <v>2801.7385091688498</v>
          </cell>
          <cell r="F296">
            <v>6675.2958579881724</v>
          </cell>
          <cell r="G296">
            <v>8900.3944773175608</v>
          </cell>
          <cell r="H296">
            <v>1.5669515669515669E-5</v>
          </cell>
          <cell r="I296">
            <v>1.5669515669515669E-5</v>
          </cell>
        </row>
        <row r="297">
          <cell r="C297" t="str">
            <v>Dep. per item</v>
          </cell>
          <cell r="D297">
            <v>2.3347820909740413E-3</v>
          </cell>
          <cell r="E297">
            <v>2.3347820909740413E-3</v>
          </cell>
          <cell r="F297">
            <v>2.2250986193293907E-3</v>
          </cell>
          <cell r="G297">
            <v>2.2250986193293903E-3</v>
          </cell>
          <cell r="H297">
            <v>7.8347578347578345E-6</v>
          </cell>
          <cell r="I297">
            <v>7.8347578347578345E-6</v>
          </cell>
        </row>
        <row r="298">
          <cell r="B298" t="str">
            <v>WaveSolder</v>
          </cell>
          <cell r="C298" t="str">
            <v>Qty used</v>
          </cell>
          <cell r="D298">
            <v>3.3386752136752136E-2</v>
          </cell>
          <cell r="E298">
            <v>6.6773504273504272E-2</v>
          </cell>
          <cell r="F298">
            <v>0.16693376068376067</v>
          </cell>
          <cell r="G298">
            <v>0.2225783475783476</v>
          </cell>
          <cell r="H298">
            <v>0</v>
          </cell>
          <cell r="I298">
            <v>0</v>
          </cell>
        </row>
        <row r="299">
          <cell r="C299" t="str">
            <v>Investment</v>
          </cell>
          <cell r="D299">
            <v>6543.8034188034189</v>
          </cell>
          <cell r="E299">
            <v>13087.606837606838</v>
          </cell>
          <cell r="F299">
            <v>32719.017094017094</v>
          </cell>
          <cell r="G299">
            <v>43625.356125356127</v>
          </cell>
          <cell r="H299">
            <v>0</v>
          </cell>
          <cell r="I299">
            <v>0</v>
          </cell>
        </row>
        <row r="300">
          <cell r="C300" t="str">
            <v>Dep. per item</v>
          </cell>
          <cell r="D300">
            <v>4.3625356125356124E-3</v>
          </cell>
          <cell r="E300">
            <v>4.3625356125356124E-3</v>
          </cell>
          <cell r="F300">
            <v>4.3625356125356124E-3</v>
          </cell>
          <cell r="G300">
            <v>4.3625356125356124E-3</v>
          </cell>
          <cell r="H300">
            <v>0</v>
          </cell>
          <cell r="I300">
            <v>0</v>
          </cell>
        </row>
        <row r="301">
          <cell r="B301" t="str">
            <v>PreppingEquip.</v>
          </cell>
          <cell r="C301" t="str">
            <v>Qty used</v>
          </cell>
          <cell r="D301">
            <v>0.11074065253631817</v>
          </cell>
          <cell r="E301">
            <v>0.22148130507263633</v>
          </cell>
          <cell r="F301">
            <v>0.31939214631522356</v>
          </cell>
          <cell r="G301">
            <v>0.42585619508696465</v>
          </cell>
          <cell r="H301">
            <v>0</v>
          </cell>
          <cell r="I301">
            <v>0</v>
          </cell>
        </row>
        <row r="302">
          <cell r="C302" t="str">
            <v>Investment</v>
          </cell>
          <cell r="D302">
            <v>885.92522029054533</v>
          </cell>
          <cell r="E302">
            <v>1771.8504405810907</v>
          </cell>
          <cell r="F302">
            <v>2555.1371705217884</v>
          </cell>
          <cell r="G302">
            <v>3406.8495606957172</v>
          </cell>
          <cell r="H302">
            <v>0</v>
          </cell>
          <cell r="I302">
            <v>0</v>
          </cell>
        </row>
        <row r="303">
          <cell r="C303" t="str">
            <v>Dep. per item</v>
          </cell>
          <cell r="D303">
            <v>5.9061681352703022E-4</v>
          </cell>
          <cell r="E303">
            <v>5.9061681352703022E-4</v>
          </cell>
          <cell r="F303">
            <v>3.4068495606957177E-4</v>
          </cell>
          <cell r="G303">
            <v>3.4068495606957172E-4</v>
          </cell>
          <cell r="H303">
            <v>0</v>
          </cell>
          <cell r="I303">
            <v>0</v>
          </cell>
        </row>
        <row r="304">
          <cell r="B304" t="str">
            <v>HLConveyor</v>
          </cell>
          <cell r="C304" t="str">
            <v>Qty used</v>
          </cell>
          <cell r="D304">
            <v>0.11074065253631817</v>
          </cell>
          <cell r="E304">
            <v>0.22148130507263633</v>
          </cell>
          <cell r="F304">
            <v>0.31939214631522356</v>
          </cell>
          <cell r="G304">
            <v>0.42585619508696465</v>
          </cell>
          <cell r="H304">
            <v>0</v>
          </cell>
          <cell r="I304">
            <v>0</v>
          </cell>
        </row>
        <row r="305">
          <cell r="C305" t="str">
            <v>Investment</v>
          </cell>
          <cell r="D305">
            <v>2214.8130507263631</v>
          </cell>
          <cell r="E305">
            <v>4429.6261014527263</v>
          </cell>
          <cell r="F305">
            <v>6387.8429263044709</v>
          </cell>
          <cell r="G305">
            <v>8517.1239017392927</v>
          </cell>
          <cell r="H305">
            <v>0</v>
          </cell>
          <cell r="I305">
            <v>0</v>
          </cell>
        </row>
        <row r="306">
          <cell r="C306" t="str">
            <v>Dep. per item</v>
          </cell>
          <cell r="D306">
            <v>1.4765420338175754E-3</v>
          </cell>
          <cell r="E306">
            <v>1.4765420338175754E-3</v>
          </cell>
          <cell r="F306">
            <v>8.5171239017392943E-4</v>
          </cell>
          <cell r="G306">
            <v>8.5171239017392932E-4</v>
          </cell>
          <cell r="H306">
            <v>0</v>
          </cell>
          <cell r="I306">
            <v>0</v>
          </cell>
        </row>
        <row r="307">
          <cell r="B307" t="str">
            <v>TUConveyor</v>
          </cell>
          <cell r="C307" t="str">
            <v>Qty used</v>
          </cell>
          <cell r="D307">
            <v>0.11074065253631817</v>
          </cell>
          <cell r="E307">
            <v>0.22148130507263633</v>
          </cell>
          <cell r="F307">
            <v>0.31939214631522356</v>
          </cell>
          <cell r="G307">
            <v>0.42585619508696465</v>
          </cell>
          <cell r="H307">
            <v>0</v>
          </cell>
          <cell r="I307">
            <v>0</v>
          </cell>
        </row>
        <row r="308">
          <cell r="C308" t="str">
            <v>Investment</v>
          </cell>
          <cell r="D308">
            <v>2214.8130507263631</v>
          </cell>
          <cell r="E308">
            <v>4429.6261014527263</v>
          </cell>
          <cell r="F308">
            <v>6387.8429263044709</v>
          </cell>
          <cell r="G308">
            <v>8517.1239017392927</v>
          </cell>
          <cell r="H308">
            <v>0</v>
          </cell>
          <cell r="I308">
            <v>0</v>
          </cell>
        </row>
        <row r="309">
          <cell r="C309" t="str">
            <v>Dep. per item</v>
          </cell>
          <cell r="D309">
            <v>1.4765420338175754E-3</v>
          </cell>
          <cell r="E309">
            <v>1.4765420338175754E-3</v>
          </cell>
          <cell r="F309">
            <v>8.5171239017392943E-4</v>
          </cell>
          <cell r="G309">
            <v>8.5171239017392932E-4</v>
          </cell>
          <cell r="H309">
            <v>0</v>
          </cell>
          <cell r="I309">
            <v>0</v>
          </cell>
        </row>
        <row r="310">
          <cell r="B310" t="str">
            <v>TUSolderIron</v>
          </cell>
          <cell r="C310" t="str">
            <v>Qty used</v>
          </cell>
          <cell r="D310">
            <v>0.11074065253631817</v>
          </cell>
          <cell r="E310">
            <v>0.22148130507263633</v>
          </cell>
          <cell r="F310">
            <v>0.31939214631522356</v>
          </cell>
          <cell r="G310">
            <v>0.42585619508696465</v>
          </cell>
          <cell r="H310">
            <v>0</v>
          </cell>
          <cell r="I310">
            <v>0</v>
          </cell>
        </row>
        <row r="311">
          <cell r="C311" t="str">
            <v>Investment</v>
          </cell>
          <cell r="D311">
            <v>332.22195760895448</v>
          </cell>
          <cell r="E311">
            <v>664.44391521790897</v>
          </cell>
          <cell r="F311">
            <v>958.17643894567072</v>
          </cell>
          <cell r="G311">
            <v>1277.568585260894</v>
          </cell>
          <cell r="H311">
            <v>0</v>
          </cell>
          <cell r="I311">
            <v>0</v>
          </cell>
        </row>
        <row r="312">
          <cell r="C312" t="str">
            <v>Dep. per item</v>
          </cell>
          <cell r="D312">
            <v>2.2148130507263633E-4</v>
          </cell>
          <cell r="E312">
            <v>2.2148130507263633E-4</v>
          </cell>
          <cell r="F312">
            <v>1.2775685852608944E-4</v>
          </cell>
          <cell r="G312">
            <v>1.2775685852608939E-4</v>
          </cell>
          <cell r="H312">
            <v>0</v>
          </cell>
          <cell r="I312">
            <v>0</v>
          </cell>
        </row>
        <row r="313">
          <cell r="B313" t="str">
            <v>Backend</v>
          </cell>
          <cell r="C313" t="str">
            <v>Qty used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</row>
        <row r="314">
          <cell r="C314" t="str">
            <v>Investment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</row>
        <row r="315">
          <cell r="C315" t="str">
            <v>Dep. per item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</row>
        <row r="316">
          <cell r="B316" t="str">
            <v>Standard ICT</v>
          </cell>
          <cell r="C316" t="str">
            <v>Qty used</v>
          </cell>
          <cell r="D316">
            <v>0.77857905982906006</v>
          </cell>
          <cell r="E316">
            <v>1.5571581196581201</v>
          </cell>
          <cell r="F316">
            <v>2.719907407407407</v>
          </cell>
          <cell r="G316">
            <v>3.6265432098765427</v>
          </cell>
          <cell r="H316">
            <v>4.4921652421652424E-6</v>
          </cell>
          <cell r="I316">
            <v>4.4921652421652424E-6</v>
          </cell>
        </row>
        <row r="317">
          <cell r="C317" t="str">
            <v>Investment</v>
          </cell>
          <cell r="D317">
            <v>138976.36217948722</v>
          </cell>
          <cell r="E317">
            <v>277952.72435897443</v>
          </cell>
          <cell r="F317">
            <v>485503.47222222213</v>
          </cell>
          <cell r="G317">
            <v>647337.96296296292</v>
          </cell>
          <cell r="H317">
            <v>0.80185149572649572</v>
          </cell>
          <cell r="I317">
            <v>0.80185149572649572</v>
          </cell>
        </row>
        <row r="318">
          <cell r="C318" t="str">
            <v>Dep. per item</v>
          </cell>
          <cell r="D318">
            <v>9.2650908119658149E-2</v>
          </cell>
          <cell r="E318">
            <v>9.2650908119658149E-2</v>
          </cell>
          <cell r="F318">
            <v>6.4733796296296289E-2</v>
          </cell>
          <cell r="G318">
            <v>6.4733796296296289E-2</v>
          </cell>
          <cell r="H318">
            <v>0.16037029914529916</v>
          </cell>
          <cell r="I318">
            <v>0.16037029914529916</v>
          </cell>
        </row>
        <row r="319">
          <cell r="B319" t="str">
            <v>Genrad 2278</v>
          </cell>
          <cell r="C319" t="str">
            <v>Qty used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</row>
        <row r="320">
          <cell r="C320" t="str">
            <v>Investment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</row>
        <row r="321">
          <cell r="C321" t="str">
            <v>Dep. per item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</row>
        <row r="322">
          <cell r="B322" t="str">
            <v>Agilent 3070</v>
          </cell>
          <cell r="C322" t="str">
            <v>Qty used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</row>
        <row r="323">
          <cell r="C323" t="str">
            <v>Investment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</row>
        <row r="324">
          <cell r="C324" t="str">
            <v>Dep. per item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</row>
        <row r="325">
          <cell r="B325" t="str">
            <v>MDA</v>
          </cell>
          <cell r="C325" t="str">
            <v>Qty used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</row>
        <row r="326">
          <cell r="C326" t="str">
            <v>Investment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</row>
        <row r="327">
          <cell r="C327" t="str">
            <v>Dep. per item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</row>
        <row r="328">
          <cell r="B328" t="str">
            <v>Sub total options</v>
          </cell>
          <cell r="C328" t="str">
            <v>Investment</v>
          </cell>
          <cell r="D328">
            <v>152568.80813222728</v>
          </cell>
          <cell r="E328">
            <v>305137.61626445455</v>
          </cell>
          <cell r="F328">
            <v>541186.78463630378</v>
          </cell>
          <cell r="G328">
            <v>721582.37951507175</v>
          </cell>
          <cell r="H328">
            <v>0.80186716524216528</v>
          </cell>
          <cell r="I328">
            <v>0.80186716524216528</v>
          </cell>
        </row>
        <row r="329">
          <cell r="C329" t="str">
            <v>Dep. per item</v>
          </cell>
          <cell r="D329">
            <v>0.10311340800940262</v>
          </cell>
          <cell r="E329">
            <v>0.10311340800940262</v>
          </cell>
          <cell r="F329">
            <v>7.3493297123104817E-2</v>
          </cell>
          <cell r="G329">
            <v>7.3493297123104817E-2</v>
          </cell>
          <cell r="H329">
            <v>0.16037813390313391</v>
          </cell>
          <cell r="I329">
            <v>0.16037813390313391</v>
          </cell>
        </row>
        <row r="330">
          <cell r="B330" t="str">
            <v>Unique Equipments</v>
          </cell>
          <cell r="D330" t="str">
            <v xml:space="preserve"> </v>
          </cell>
          <cell r="E330" t="str">
            <v xml:space="preserve"> </v>
          </cell>
          <cell r="F330" t="str">
            <v xml:space="preserve"> </v>
          </cell>
          <cell r="G330" t="str">
            <v xml:space="preserve"> </v>
          </cell>
          <cell r="H330" t="str">
            <v xml:space="preserve"> </v>
          </cell>
          <cell r="I330" t="str">
            <v xml:space="preserve"> </v>
          </cell>
        </row>
        <row r="331">
          <cell r="B331" t="str">
            <v>2D X-RAY</v>
          </cell>
          <cell r="C331" t="str">
            <v>Qty used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</row>
        <row r="332">
          <cell r="C332" t="str">
            <v>Investment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</row>
        <row r="333">
          <cell r="C333" t="str">
            <v>Dep. per item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</row>
        <row r="334">
          <cell r="B334" t="str">
            <v>3D X-RAY</v>
          </cell>
          <cell r="C334" t="str">
            <v>Qty used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</row>
        <row r="335">
          <cell r="C335" t="str">
            <v>Investment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</row>
        <row r="336">
          <cell r="C336" t="str">
            <v>Dep. per item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</row>
        <row r="337">
          <cell r="B337" t="str">
            <v>Auto-Inserter</v>
          </cell>
          <cell r="C337" t="str">
            <v>Qty used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</row>
        <row r="338">
          <cell r="C338" t="str">
            <v>Investment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</row>
        <row r="339">
          <cell r="C339" t="str">
            <v>Dep. per item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</row>
        <row r="340">
          <cell r="B340" t="str">
            <v>Conformal Coater</v>
          </cell>
          <cell r="C340" t="str">
            <v>Qty used</v>
          </cell>
          <cell r="D340">
            <v>0.64158208689458684</v>
          </cell>
          <cell r="E340">
            <v>1.2831641737891737</v>
          </cell>
          <cell r="F340">
            <v>3.7838319088319086</v>
          </cell>
          <cell r="G340">
            <v>5.0451092117758778</v>
          </cell>
          <cell r="H340">
            <v>0</v>
          </cell>
          <cell r="I340">
            <v>0</v>
          </cell>
        </row>
        <row r="341">
          <cell r="C341" t="str">
            <v>Investment</v>
          </cell>
          <cell r="D341">
            <v>119334.26816239316</v>
          </cell>
          <cell r="E341">
            <v>238668.53632478631</v>
          </cell>
          <cell r="F341">
            <v>703792.735042735</v>
          </cell>
          <cell r="G341">
            <v>938390.3133903133</v>
          </cell>
          <cell r="H341">
            <v>0</v>
          </cell>
          <cell r="I341">
            <v>0</v>
          </cell>
        </row>
        <row r="342">
          <cell r="C342" t="str">
            <v>Dep. per item</v>
          </cell>
          <cell r="D342">
            <v>7.9556178774928765E-2</v>
          </cell>
          <cell r="E342">
            <v>7.9556178774928765E-2</v>
          </cell>
          <cell r="F342">
            <v>9.3839031339031334E-2</v>
          </cell>
          <cell r="G342">
            <v>9.3839031339031334E-2</v>
          </cell>
          <cell r="H342">
            <v>0</v>
          </cell>
          <cell r="I342">
            <v>0</v>
          </cell>
        </row>
        <row r="343">
          <cell r="B343" t="str">
            <v>Depanalizer(router)</v>
          </cell>
          <cell r="C343" t="str">
            <v>Qty used</v>
          </cell>
          <cell r="D343">
            <v>0.11128917378917379</v>
          </cell>
          <cell r="E343">
            <v>0.22257834757834757</v>
          </cell>
          <cell r="F343">
            <v>0.556445868945869</v>
          </cell>
          <cell r="G343">
            <v>0.74192782526115852</v>
          </cell>
          <cell r="H343">
            <v>0</v>
          </cell>
          <cell r="I343">
            <v>0</v>
          </cell>
        </row>
        <row r="344">
          <cell r="C344" t="str">
            <v>Investment</v>
          </cell>
          <cell r="D344">
            <v>8624.9109686609681</v>
          </cell>
          <cell r="E344">
            <v>17249.821937321936</v>
          </cell>
          <cell r="F344">
            <v>43124.554843304846</v>
          </cell>
          <cell r="G344">
            <v>57499.406457739788</v>
          </cell>
          <cell r="H344">
            <v>0</v>
          </cell>
          <cell r="I344">
            <v>0</v>
          </cell>
        </row>
        <row r="345">
          <cell r="C345" t="str">
            <v>Dep. per item</v>
          </cell>
          <cell r="D345">
            <v>5.7499406457739788E-3</v>
          </cell>
          <cell r="E345">
            <v>5.7499406457739788E-3</v>
          </cell>
          <cell r="F345">
            <v>5.7499406457739797E-3</v>
          </cell>
          <cell r="G345">
            <v>5.7499406457739788E-3</v>
          </cell>
          <cell r="H345">
            <v>0</v>
          </cell>
          <cell r="I345">
            <v>0</v>
          </cell>
        </row>
        <row r="346">
          <cell r="B346" t="str">
            <v xml:space="preserve">Burn In </v>
          </cell>
          <cell r="C346" t="str">
            <v>Qty used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</row>
        <row r="347">
          <cell r="C347" t="str">
            <v>Investment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</row>
        <row r="348">
          <cell r="C348" t="str">
            <v>Dep. per item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</row>
        <row r="349">
          <cell r="B349" t="str">
            <v>Auto-visualInspection</v>
          </cell>
          <cell r="C349" t="str">
            <v>Qty used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</row>
        <row r="350">
          <cell r="C350" t="str">
            <v>Investment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</row>
        <row r="351">
          <cell r="C351" t="str">
            <v>Dep. per item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</row>
        <row r="352">
          <cell r="B352" t="str">
            <v>Glue Dispenser</v>
          </cell>
          <cell r="C352" t="str">
            <v>Qty used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</row>
        <row r="353">
          <cell r="C353" t="str">
            <v>Investment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</row>
        <row r="354">
          <cell r="C354" t="str">
            <v>Dep. per item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</row>
        <row r="355">
          <cell r="B355" t="str">
            <v>LeaseholdImprove</v>
          </cell>
          <cell r="C355" t="str">
            <v>Qty used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</row>
        <row r="356">
          <cell r="C356" t="str">
            <v>Investment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</row>
        <row r="357">
          <cell r="C357" t="str">
            <v>Dep. per item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</row>
        <row r="358">
          <cell r="B358" t="str">
            <v>BGA Rework</v>
          </cell>
          <cell r="C358" t="str">
            <v>Qty used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</row>
        <row r="359">
          <cell r="C359" t="str">
            <v>Investment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</row>
        <row r="360">
          <cell r="C360" t="str">
            <v>Dep. per item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</row>
        <row r="361">
          <cell r="B361" t="str">
            <v>Press Fit</v>
          </cell>
          <cell r="C361" t="str">
            <v>Qty used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</row>
        <row r="362">
          <cell r="C362" t="str">
            <v>Investment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</row>
        <row r="363">
          <cell r="C363" t="str">
            <v>Dep. per item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</row>
        <row r="364">
          <cell r="B364" t="str">
            <v>Flying Probe</v>
          </cell>
          <cell r="C364" t="str">
            <v>Qty used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</row>
        <row r="365">
          <cell r="C365" t="str">
            <v>Investment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</row>
        <row r="366">
          <cell r="C366" t="str">
            <v>Dep. per item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</row>
        <row r="367">
          <cell r="B367" t="str">
            <v>Underfill</v>
          </cell>
          <cell r="C367" t="str">
            <v>Qty used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</row>
        <row r="368">
          <cell r="C368" t="str">
            <v>Investment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</row>
        <row r="369">
          <cell r="C369" t="str">
            <v>Dep. per item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</row>
        <row r="370">
          <cell r="B370" t="str">
            <v>Misc process I</v>
          </cell>
          <cell r="C370" t="str">
            <v>Qty used</v>
          </cell>
          <cell r="D370">
            <v>2.6709401709401708</v>
          </cell>
          <cell r="E370">
            <v>5.3418803418803416</v>
          </cell>
          <cell r="F370">
            <v>13.354700854700853</v>
          </cell>
          <cell r="G370">
            <v>17.806267806267808</v>
          </cell>
          <cell r="H370">
            <v>0</v>
          </cell>
          <cell r="I370">
            <v>0</v>
          </cell>
        </row>
        <row r="371">
          <cell r="C371" t="str">
            <v>Investment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</row>
        <row r="372">
          <cell r="C372" t="str">
            <v>Dep. per item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</row>
        <row r="373">
          <cell r="B373" t="str">
            <v>Misc process II</v>
          </cell>
          <cell r="C373" t="str">
            <v>Qty used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</row>
        <row r="374">
          <cell r="C374" t="str">
            <v>Investment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</row>
        <row r="375">
          <cell r="C375" t="str">
            <v>Dep. per item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</row>
        <row r="376">
          <cell r="B376" t="str">
            <v>Misc process III</v>
          </cell>
          <cell r="C376" t="str">
            <v>Qty used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</row>
        <row r="377">
          <cell r="C377" t="str">
            <v>Investment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</row>
        <row r="378">
          <cell r="C378" t="str">
            <v>Dep. per item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</row>
        <row r="379">
          <cell r="B379" t="str">
            <v>Sub total uniques</v>
          </cell>
          <cell r="C379" t="str">
            <v>Investment</v>
          </cell>
          <cell r="D379">
            <v>127959.17913105413</v>
          </cell>
          <cell r="E379">
            <v>255918.35826210826</v>
          </cell>
          <cell r="F379">
            <v>746917.2898860398</v>
          </cell>
          <cell r="G379">
            <v>995889.71984805306</v>
          </cell>
          <cell r="H379">
            <v>0</v>
          </cell>
          <cell r="I379">
            <v>0</v>
          </cell>
        </row>
        <row r="380">
          <cell r="C380" t="str">
            <v>Dep. per item</v>
          </cell>
          <cell r="D380">
            <v>8.530611942070275E-2</v>
          </cell>
          <cell r="E380">
            <v>8.530611942070275E-2</v>
          </cell>
          <cell r="F380">
            <v>9.9588971984805319E-2</v>
          </cell>
          <cell r="G380">
            <v>9.9588971984805319E-2</v>
          </cell>
          <cell r="H380">
            <v>0</v>
          </cell>
          <cell r="I380">
            <v>0</v>
          </cell>
        </row>
        <row r="381">
          <cell r="B381" t="str">
            <v>Special Equipments</v>
          </cell>
        </row>
        <row r="382">
          <cell r="B382" t="str">
            <v xml:space="preserve">FCT Tester </v>
          </cell>
          <cell r="C382" t="str">
            <v>Qty used</v>
          </cell>
          <cell r="D382">
            <v>1</v>
          </cell>
          <cell r="E382">
            <v>1</v>
          </cell>
          <cell r="F382">
            <v>3</v>
          </cell>
          <cell r="G382">
            <v>3</v>
          </cell>
          <cell r="H382">
            <v>0</v>
          </cell>
          <cell r="I382">
            <v>0</v>
          </cell>
        </row>
        <row r="383">
          <cell r="C383" t="str">
            <v>Investment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</row>
        <row r="384">
          <cell r="C384" t="str">
            <v>Dep. per item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</row>
        <row r="385">
          <cell r="B385" t="str">
            <v>Other eqt</v>
          </cell>
          <cell r="C385" t="str">
            <v>Qty used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</row>
        <row r="386">
          <cell r="C386" t="str">
            <v>Investment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</row>
        <row r="387">
          <cell r="C387" t="str">
            <v>Dep. per item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</row>
        <row r="388">
          <cell r="B388" t="str">
            <v>Sub total specials</v>
          </cell>
          <cell r="C388" t="str">
            <v>Investment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</row>
        <row r="389">
          <cell r="C389" t="str">
            <v>Dep. per item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</row>
        <row r="390">
          <cell r="B390" t="str">
            <v>Total fixed assets</v>
          </cell>
          <cell r="D390">
            <v>437938.00707206526</v>
          </cell>
          <cell r="E390">
            <v>875876.01414413052</v>
          </cell>
          <cell r="F390">
            <v>1909007.5305414852</v>
          </cell>
          <cell r="G390">
            <v>2545343.3740553134</v>
          </cell>
          <cell r="H390">
            <v>0.85901089743589742</v>
          </cell>
          <cell r="I390">
            <v>0.85901089743589742</v>
          </cell>
        </row>
        <row r="391">
          <cell r="A391">
            <v>385</v>
          </cell>
          <cell r="B391" t="str">
            <v>Depreciation per item</v>
          </cell>
          <cell r="D391">
            <v>0.30004972329078206</v>
          </cell>
          <cell r="E391">
            <v>0.30004972329078206</v>
          </cell>
          <cell r="F391">
            <v>0.26110788320624068</v>
          </cell>
          <cell r="G391">
            <v>0.26110788320624062</v>
          </cell>
          <cell r="H391">
            <v>0.17332205603038936</v>
          </cell>
          <cell r="I391">
            <v>0.17332205603038936</v>
          </cell>
        </row>
        <row r="393">
          <cell r="B393" t="str">
            <v>SMT Time</v>
          </cell>
          <cell r="D393">
            <v>0.16584520123839008</v>
          </cell>
          <cell r="E393">
            <v>0.16584520123839008</v>
          </cell>
          <cell r="F393">
            <v>9.5664335664335742E-2</v>
          </cell>
          <cell r="G393">
            <v>9.5664335664335742E-2</v>
          </cell>
          <cell r="H393">
            <v>1.3333333333333334E-2</v>
          </cell>
          <cell r="I393">
            <v>1.3333333333333334E-2</v>
          </cell>
        </row>
        <row r="394">
          <cell r="B394" t="str">
            <v>Other assy time</v>
          </cell>
          <cell r="D394">
            <v>1.2</v>
          </cell>
          <cell r="E394">
            <v>1.2</v>
          </cell>
          <cell r="F394">
            <v>1.0666666666666667</v>
          </cell>
          <cell r="G394">
            <v>1.0666666666666667</v>
          </cell>
          <cell r="H394">
            <v>0.6333333333333333</v>
          </cell>
          <cell r="I394">
            <v>0.6333333333333333</v>
          </cell>
        </row>
        <row r="395">
          <cell r="A395">
            <v>389</v>
          </cell>
          <cell r="B395" t="str">
            <v>Total Assy Time</v>
          </cell>
          <cell r="D395">
            <v>1.3658452012383901</v>
          </cell>
          <cell r="E395">
            <v>1.3658452012383901</v>
          </cell>
          <cell r="F395">
            <v>1.1623310023310025</v>
          </cell>
          <cell r="G395">
            <v>1.1623310023310025</v>
          </cell>
          <cell r="H395">
            <v>0.64666666666666661</v>
          </cell>
          <cell r="I395">
            <v>0.64666666666666661</v>
          </cell>
        </row>
        <row r="396">
          <cell r="A396">
            <v>390</v>
          </cell>
          <cell r="B396" t="str">
            <v>Test time</v>
          </cell>
          <cell r="D396">
            <v>3.7962500000000001</v>
          </cell>
          <cell r="E396">
            <v>3.7962500000000001</v>
          </cell>
          <cell r="F396">
            <v>3.9204999999999997</v>
          </cell>
          <cell r="G396">
            <v>3.9204999999999997</v>
          </cell>
          <cell r="H396">
            <v>2.8818666666666668</v>
          </cell>
          <cell r="I396">
            <v>2.8818666666666668</v>
          </cell>
        </row>
        <row r="397">
          <cell r="A397">
            <v>391</v>
          </cell>
          <cell r="B397" t="str">
            <v>Total Process Time</v>
          </cell>
          <cell r="D397">
            <v>5.1620952012383903</v>
          </cell>
          <cell r="E397">
            <v>5.1620952012383903</v>
          </cell>
          <cell r="F397">
            <v>5.0828310023310017</v>
          </cell>
          <cell r="G397">
            <v>5.0828310023310017</v>
          </cell>
          <cell r="H397">
            <v>3.5285333333333333</v>
          </cell>
          <cell r="I397">
            <v>3.5285333333333333</v>
          </cell>
        </row>
        <row r="399">
          <cell r="A399">
            <v>393</v>
          </cell>
          <cell r="B399" t="str">
            <v>Assy Cost</v>
          </cell>
          <cell r="D399">
            <v>0.37705997183638951</v>
          </cell>
          <cell r="E399">
            <v>0.37705997183638951</v>
          </cell>
          <cell r="F399">
            <v>0.37145741554339207</v>
          </cell>
          <cell r="G399">
            <v>0.37145741554339196</v>
          </cell>
          <cell r="H399">
            <v>305.06791835458455</v>
          </cell>
          <cell r="I399">
            <v>305.06791835458455</v>
          </cell>
        </row>
        <row r="400">
          <cell r="A400">
            <v>394</v>
          </cell>
          <cell r="B400" t="str">
            <v>Test Cost</v>
          </cell>
          <cell r="D400">
            <v>0.15052421338083144</v>
          </cell>
          <cell r="E400">
            <v>0.15052421338083144</v>
          </cell>
          <cell r="F400">
            <v>0.12096635324148786</v>
          </cell>
          <cell r="G400">
            <v>0.12096635324148786</v>
          </cell>
          <cell r="H400">
            <v>1.2558114102564104</v>
          </cell>
          <cell r="I400">
            <v>1.2558114102564104</v>
          </cell>
        </row>
      </sheetData>
      <sheetData sheetId="8">
        <row r="8">
          <cell r="B8" t="str">
            <v>Volume band</v>
          </cell>
          <cell r="D8" t="str">
            <v>VOL1</v>
          </cell>
          <cell r="E8" t="str">
            <v>VOL2</v>
          </cell>
          <cell r="F8" t="str">
            <v>VOL3</v>
          </cell>
          <cell r="G8" t="str">
            <v>VOL4</v>
          </cell>
          <cell r="H8" t="str">
            <v>VOL5</v>
          </cell>
          <cell r="I8" t="str">
            <v>VOL6</v>
          </cell>
        </row>
        <row r="9">
          <cell r="B9" t="str">
            <v>Production site</v>
          </cell>
          <cell r="D9" t="str">
            <v>Batam</v>
          </cell>
          <cell r="E9" t="str">
            <v>Batam</v>
          </cell>
          <cell r="F9" t="str">
            <v>Batam</v>
          </cell>
          <cell r="G9" t="str">
            <v>Batam</v>
          </cell>
          <cell r="H9" t="str">
            <v>Bordeaux</v>
          </cell>
          <cell r="I9" t="str">
            <v>Bordeaux</v>
          </cell>
        </row>
        <row r="10">
          <cell r="B10" t="str">
            <v>Delivery model</v>
          </cell>
          <cell r="D10" t="str">
            <v>MV</v>
          </cell>
          <cell r="E10" t="str">
            <v>MV</v>
          </cell>
          <cell r="F10" t="str">
            <v>HV</v>
          </cell>
          <cell r="G10" t="str">
            <v>HV</v>
          </cell>
          <cell r="H10" t="str">
            <v>NPI</v>
          </cell>
          <cell r="I10" t="str">
            <v>NPI</v>
          </cell>
        </row>
        <row r="11">
          <cell r="B11" t="str">
            <v>RM Cost Consigned +Turnkey</v>
          </cell>
          <cell r="D11">
            <v>2.9980450199999997</v>
          </cell>
          <cell r="E11">
            <v>2.9928950199999997</v>
          </cell>
          <cell r="F11">
            <v>4.2412718800000029</v>
          </cell>
          <cell r="G11">
            <v>4.2361218800000033</v>
          </cell>
          <cell r="H11">
            <v>1</v>
          </cell>
          <cell r="I11">
            <v>1</v>
          </cell>
        </row>
        <row r="12">
          <cell r="A12">
            <v>5</v>
          </cell>
          <cell r="B12" t="str">
            <v>RM Cost Turnkey</v>
          </cell>
          <cell r="D12">
            <v>2.9980450199999997</v>
          </cell>
          <cell r="E12">
            <v>2.9928950199999997</v>
          </cell>
          <cell r="F12">
            <v>4.2412718800000029</v>
          </cell>
          <cell r="G12">
            <v>4.2361218800000033</v>
          </cell>
          <cell r="H12">
            <v>1</v>
          </cell>
          <cell r="I12">
            <v>1</v>
          </cell>
        </row>
        <row r="13">
          <cell r="B13" t="str">
            <v>RM Cost Consigned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</row>
        <row r="14">
          <cell r="B14" t="str">
            <v>Inbound F&amp;D</v>
          </cell>
          <cell r="C14" t="str">
            <v>percentage</v>
          </cell>
          <cell r="D14">
            <v>6.6E-3</v>
          </cell>
          <cell r="E14">
            <v>6.6E-3</v>
          </cell>
          <cell r="F14">
            <v>6.6E-3</v>
          </cell>
          <cell r="G14">
            <v>6.6E-3</v>
          </cell>
          <cell r="H14">
            <v>1.12E-2</v>
          </cell>
          <cell r="I14">
            <v>1.12E-2</v>
          </cell>
        </row>
        <row r="15">
          <cell r="A15">
            <v>8</v>
          </cell>
          <cell r="C15" t="str">
            <v>cost per board</v>
          </cell>
          <cell r="D15">
            <v>1.9787097131999998E-2</v>
          </cell>
          <cell r="E15">
            <v>1.9753107131999997E-2</v>
          </cell>
          <cell r="F15">
            <v>2.7992394408000019E-2</v>
          </cell>
          <cell r="G15">
            <v>2.7958404408000022E-2</v>
          </cell>
          <cell r="H15">
            <v>1.12E-2</v>
          </cell>
          <cell r="I15">
            <v>1.12E-2</v>
          </cell>
        </row>
        <row r="16">
          <cell r="A16">
            <v>9</v>
          </cell>
          <cell r="B16" t="str">
            <v>Std Packaging Mtl</v>
          </cell>
          <cell r="C16" t="str">
            <v>cost per board</v>
          </cell>
          <cell r="D16">
            <v>9.9999999999999995E-8</v>
          </cell>
          <cell r="E16">
            <v>9.9999999999999995E-8</v>
          </cell>
          <cell r="F16">
            <v>9.9999999999999995E-8</v>
          </cell>
          <cell r="G16">
            <v>9.9999999999999995E-8</v>
          </cell>
          <cell r="H16">
            <v>0.2</v>
          </cell>
          <cell r="I16">
            <v>0.2</v>
          </cell>
        </row>
        <row r="17">
          <cell r="B17" t="str">
            <v>Transportation Packaging Mtl</v>
          </cell>
          <cell r="C17" t="str">
            <v>cost per board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B18" t="str">
            <v>Attrition</v>
          </cell>
          <cell r="C18" t="str">
            <v>percentage</v>
          </cell>
          <cell r="D18">
            <v>6.0000000000000001E-3</v>
          </cell>
          <cell r="E18">
            <v>6.0000000000000001E-3</v>
          </cell>
          <cell r="F18">
            <v>4.0000000000000001E-3</v>
          </cell>
          <cell r="G18">
            <v>4.0000000000000001E-3</v>
          </cell>
          <cell r="H18">
            <v>8.0000000000000002E-3</v>
          </cell>
          <cell r="I18">
            <v>8.0000000000000002E-3</v>
          </cell>
        </row>
        <row r="19">
          <cell r="A19">
            <v>12</v>
          </cell>
          <cell r="C19" t="str">
            <v>cost per board</v>
          </cell>
          <cell r="D19">
            <v>1.8106992702791997E-2</v>
          </cell>
          <cell r="E19">
            <v>1.8075888762791998E-2</v>
          </cell>
          <cell r="F19">
            <v>1.707705709763201E-2</v>
          </cell>
          <cell r="G19">
            <v>1.7056321137632016E-2</v>
          </cell>
          <cell r="H19">
            <v>8.0896000000000006E-3</v>
          </cell>
          <cell r="I19">
            <v>8.0896000000000006E-3</v>
          </cell>
        </row>
        <row r="20">
          <cell r="B20" t="str">
            <v>E&amp;O</v>
          </cell>
          <cell r="C20" t="str">
            <v>percentage</v>
          </cell>
          <cell r="D20">
            <v>5.0000000000000001E-3</v>
          </cell>
          <cell r="E20">
            <v>5.0000000000000001E-3</v>
          </cell>
          <cell r="F20">
            <v>5.0000000000000001E-3</v>
          </cell>
          <cell r="G20">
            <v>5.0000000000000001E-3</v>
          </cell>
          <cell r="H20">
            <v>5.0000000000000001E-3</v>
          </cell>
          <cell r="I20">
            <v>5.0000000000000001E-3</v>
          </cell>
        </row>
        <row r="21">
          <cell r="A21">
            <v>14</v>
          </cell>
          <cell r="C21" t="str">
            <v>cost per board</v>
          </cell>
          <cell r="D21">
            <v>1.5089160585659999E-2</v>
          </cell>
          <cell r="E21">
            <v>1.5063240635659999E-2</v>
          </cell>
          <cell r="F21">
            <v>2.1346321372040015E-2</v>
          </cell>
          <cell r="G21">
            <v>2.132040142204002E-2</v>
          </cell>
          <cell r="H21">
            <v>5.0560000000000006E-3</v>
          </cell>
          <cell r="I21">
            <v>5.0560000000000006E-3</v>
          </cell>
        </row>
        <row r="23">
          <cell r="B23" t="str">
            <v>Material Wwide Support</v>
          </cell>
          <cell r="C23" t="str">
            <v>percentage</v>
          </cell>
          <cell r="D23">
            <v>5.0000000000000001E-3</v>
          </cell>
          <cell r="E23">
            <v>5.0000000000000001E-3</v>
          </cell>
          <cell r="F23">
            <v>5.0000000000000001E-3</v>
          </cell>
          <cell r="G23">
            <v>5.0000000000000001E-3</v>
          </cell>
          <cell r="H23">
            <v>5.0000000000000001E-3</v>
          </cell>
          <cell r="I23">
            <v>5.0000000000000001E-3</v>
          </cell>
        </row>
        <row r="24">
          <cell r="A24">
            <v>17</v>
          </cell>
          <cell r="B24" t="str">
            <v>Sourcing, Global Material, corp. Fees</v>
          </cell>
          <cell r="C24" t="str">
            <v>cost per board</v>
          </cell>
          <cell r="D24">
            <v>1.5089160585659999E-2</v>
          </cell>
          <cell r="E24">
            <v>1.5063240635659999E-2</v>
          </cell>
          <cell r="F24">
            <v>2.1346321372040015E-2</v>
          </cell>
          <cell r="G24">
            <v>2.132040142204002E-2</v>
          </cell>
          <cell r="H24">
            <v>5.0560000000000006E-3</v>
          </cell>
          <cell r="I24">
            <v>5.0560000000000006E-3</v>
          </cell>
        </row>
        <row r="26">
          <cell r="B26" t="str">
            <v>Material Labor</v>
          </cell>
          <cell r="C26" t="str">
            <v>Budget</v>
          </cell>
        </row>
        <row r="27">
          <cell r="B27" t="str">
            <v># Tactical buyer/planner</v>
          </cell>
          <cell r="C27" t="str">
            <v>H/C</v>
          </cell>
          <cell r="D27">
            <v>0.18666666666666668</v>
          </cell>
          <cell r="E27">
            <v>0.18666666666666668</v>
          </cell>
          <cell r="F27">
            <v>0.3</v>
          </cell>
          <cell r="G27">
            <v>0.3</v>
          </cell>
          <cell r="H27">
            <v>2E-3</v>
          </cell>
          <cell r="I27">
            <v>2E-3</v>
          </cell>
        </row>
        <row r="28">
          <cell r="C28" t="str">
            <v>cost per board</v>
          </cell>
          <cell r="D28">
            <v>1.6133973333333333E-3</v>
          </cell>
          <cell r="E28">
            <v>8.0669866666666665E-4</v>
          </cell>
          <cell r="F28">
            <v>5.1859200000000001E-4</v>
          </cell>
          <cell r="G28">
            <v>3.8894400000000001E-4</v>
          </cell>
          <cell r="H28">
            <v>112.39488</v>
          </cell>
          <cell r="I28">
            <v>112.39488</v>
          </cell>
        </row>
        <row r="29">
          <cell r="B29" t="str">
            <v># Invoicing/Shipping</v>
          </cell>
          <cell r="C29" t="str">
            <v>H/C</v>
          </cell>
          <cell r="D29">
            <v>0.16666666666666666</v>
          </cell>
          <cell r="E29">
            <v>0.16666666666666666</v>
          </cell>
          <cell r="F29">
            <v>0.16666666666666666</v>
          </cell>
          <cell r="G29">
            <v>0.16666666666666666</v>
          </cell>
          <cell r="H29">
            <v>0.16666666666666666</v>
          </cell>
          <cell r="I29">
            <v>0.16666666666666666</v>
          </cell>
        </row>
        <row r="30">
          <cell r="C30" t="str">
            <v>cost per board</v>
          </cell>
          <cell r="D30">
            <v>1.4271573333333332E-3</v>
          </cell>
          <cell r="E30">
            <v>7.1357866666666662E-4</v>
          </cell>
          <cell r="F30">
            <v>2.8543146666666668E-4</v>
          </cell>
          <cell r="G30">
            <v>2.140736E-4</v>
          </cell>
          <cell r="H30">
            <v>7066.8</v>
          </cell>
          <cell r="I30">
            <v>7066.8</v>
          </cell>
        </row>
        <row r="31">
          <cell r="B31" t="str">
            <v># Warehousing</v>
          </cell>
          <cell r="C31" t="str">
            <v>H/C</v>
          </cell>
          <cell r="D31">
            <v>7.0000000000000007E-2</v>
          </cell>
          <cell r="E31">
            <v>7.0000000000000007E-2</v>
          </cell>
          <cell r="F31">
            <v>0.1125</v>
          </cell>
          <cell r="G31">
            <v>0.1125</v>
          </cell>
          <cell r="H31">
            <v>1E-3</v>
          </cell>
          <cell r="I31">
            <v>1E-3</v>
          </cell>
        </row>
        <row r="32">
          <cell r="C32" t="str">
            <v>cost per board</v>
          </cell>
          <cell r="D32">
            <v>4.0360320000000001E-4</v>
          </cell>
          <cell r="E32">
            <v>2.018016E-4</v>
          </cell>
          <cell r="F32">
            <v>1.2972959999999999E-4</v>
          </cell>
          <cell r="G32">
            <v>9.7297199999999987E-5</v>
          </cell>
          <cell r="H32">
            <v>28.391999999999999</v>
          </cell>
          <cell r="I32">
            <v>28.391999999999999</v>
          </cell>
        </row>
        <row r="33">
          <cell r="B33" t="str">
            <v># Management/other</v>
          </cell>
          <cell r="C33" t="str">
            <v>H/C</v>
          </cell>
          <cell r="D33">
            <v>4.2333333333333334E-2</v>
          </cell>
          <cell r="E33">
            <v>4.2333333333333334E-2</v>
          </cell>
          <cell r="F33">
            <v>5.7916666666666672E-2</v>
          </cell>
          <cell r="G33">
            <v>5.7916666666666672E-2</v>
          </cell>
          <cell r="H33">
            <v>1.6966666666666665E-2</v>
          </cell>
          <cell r="I33">
            <v>1.6966666666666665E-2</v>
          </cell>
        </row>
        <row r="34">
          <cell r="C34" t="str">
            <v>cost per board</v>
          </cell>
          <cell r="D34">
            <v>9.0145108000000002E-3</v>
          </cell>
          <cell r="E34">
            <v>4.5072554000000001E-3</v>
          </cell>
          <cell r="F34">
            <v>2.4665689E-3</v>
          </cell>
          <cell r="G34">
            <v>1.8499266750000001E-3</v>
          </cell>
          <cell r="H34">
            <v>1474.098612</v>
          </cell>
          <cell r="I34">
            <v>1474.098612</v>
          </cell>
        </row>
        <row r="35">
          <cell r="B35" t="str">
            <v>Total Material IL</v>
          </cell>
          <cell r="C35" t="str">
            <v>H/C</v>
          </cell>
          <cell r="D35">
            <v>0.46566666666666667</v>
          </cell>
          <cell r="E35">
            <v>0.46566666666666667</v>
          </cell>
          <cell r="F35">
            <v>0.63708333333333345</v>
          </cell>
          <cell r="G35">
            <v>0.63708333333333345</v>
          </cell>
          <cell r="H35">
            <v>0.18663333333333332</v>
          </cell>
          <cell r="I35">
            <v>0.18663333333333332</v>
          </cell>
        </row>
        <row r="36">
          <cell r="A36">
            <v>29</v>
          </cell>
          <cell r="C36" t="str">
            <v>cost per board</v>
          </cell>
          <cell r="D36">
            <v>1.2458668666666665E-2</v>
          </cell>
          <cell r="E36">
            <v>6.2293343333333327E-3</v>
          </cell>
          <cell r="F36">
            <v>3.4003219666666668E-3</v>
          </cell>
          <cell r="G36">
            <v>2.5502414750000002E-3</v>
          </cell>
          <cell r="H36">
            <v>8681.6854920000005</v>
          </cell>
          <cell r="I36">
            <v>8681.6854920000005</v>
          </cell>
        </row>
        <row r="38">
          <cell r="A38">
            <v>31</v>
          </cell>
          <cell r="B38" t="str">
            <v>Warehousing sq feet costs</v>
          </cell>
          <cell r="C38" t="str">
            <v>cost per board</v>
          </cell>
          <cell r="D38">
            <v>1.4459393615034156E-3</v>
          </cell>
          <cell r="E38">
            <v>1.2509637194452416E-3</v>
          </cell>
          <cell r="F38">
            <v>1.4758812535719738E-3</v>
          </cell>
          <cell r="G38">
            <v>1.4285141098360451E-3</v>
          </cell>
          <cell r="H38">
            <v>2.7594744722222227E-3</v>
          </cell>
          <cell r="I38">
            <v>2.7594744722222227E-3</v>
          </cell>
        </row>
        <row r="39">
          <cell r="C39" t="str">
            <v>Annual Budget</v>
          </cell>
          <cell r="D39">
            <v>0.43378180845102471</v>
          </cell>
          <cell r="E39">
            <v>0.75057823166714488</v>
          </cell>
          <cell r="F39">
            <v>2.2138218803579606</v>
          </cell>
          <cell r="G39">
            <v>2.85702821967209</v>
          </cell>
          <cell r="H39">
            <v>2.7594744722222226E-6</v>
          </cell>
          <cell r="I39">
            <v>2.7594744722222226E-6</v>
          </cell>
        </row>
        <row r="42">
          <cell r="B42" t="str">
            <v xml:space="preserve">TOTAL MSCC </v>
          </cell>
        </row>
        <row r="43">
          <cell r="B43" t="str">
            <v>Budget Computed</v>
          </cell>
          <cell r="C43" t="str">
            <v>cost per board</v>
          </cell>
          <cell r="D43">
            <v>6.2189921902282078E-2</v>
          </cell>
          <cell r="E43">
            <v>5.5682668086890576E-2</v>
          </cell>
          <cell r="F43">
            <v>6.4645903061950671E-2</v>
          </cell>
          <cell r="G43">
            <v>6.3675879566548091E-2</v>
          </cell>
          <cell r="H43">
            <v>8681.7064530744719</v>
          </cell>
          <cell r="I43">
            <v>8681.7064530744719</v>
          </cell>
        </row>
        <row r="44">
          <cell r="B44" t="str">
            <v>% Material Computed</v>
          </cell>
          <cell r="D44">
            <v>2.0743491671209823E-2</v>
          </cell>
          <cell r="E44">
            <v>1.8604951966170395E-2</v>
          </cell>
          <cell r="F44">
            <v>1.5242103050925051E-2</v>
          </cell>
          <cell r="G44">
            <v>1.503164483231253E-2</v>
          </cell>
          <cell r="H44">
            <v>0.5</v>
          </cell>
          <cell r="I44">
            <v>0.5</v>
          </cell>
        </row>
        <row r="45">
          <cell r="B45" t="str">
            <v>% Material Used</v>
          </cell>
          <cell r="D45">
            <v>2.0743491671209823E-2</v>
          </cell>
          <cell r="E45">
            <v>1.8604951966170395E-2</v>
          </cell>
          <cell r="F45">
            <v>1.5242103050925051E-2</v>
          </cell>
          <cell r="G45">
            <v>1.503164483231253E-2</v>
          </cell>
          <cell r="H45">
            <v>0.5</v>
          </cell>
          <cell r="I45">
            <v>0.5</v>
          </cell>
        </row>
        <row r="46">
          <cell r="A46">
            <v>39</v>
          </cell>
          <cell r="D46">
            <v>1</v>
          </cell>
          <cell r="E46">
            <v>1</v>
          </cell>
          <cell r="F46">
            <v>1</v>
          </cell>
          <cell r="G46">
            <v>1</v>
          </cell>
          <cell r="H46">
            <v>5.7592364208874384E-5</v>
          </cell>
          <cell r="I46">
            <v>5.7592364208874384E-5</v>
          </cell>
        </row>
        <row r="48">
          <cell r="B48" t="str">
            <v>DSO (Receivable) (standard 45 days)</v>
          </cell>
          <cell r="D48">
            <v>30</v>
          </cell>
          <cell r="E48">
            <v>30</v>
          </cell>
          <cell r="F48">
            <v>30</v>
          </cell>
          <cell r="G48">
            <v>30</v>
          </cell>
          <cell r="H48">
            <v>30</v>
          </cell>
          <cell r="I48">
            <v>30</v>
          </cell>
        </row>
        <row r="49">
          <cell r="B49" t="str">
            <v>DPO ( Payable ) (standard 45 days)</v>
          </cell>
          <cell r="D49">
            <v>45</v>
          </cell>
          <cell r="E49">
            <v>45</v>
          </cell>
          <cell r="F49">
            <v>45</v>
          </cell>
          <cell r="G49">
            <v>45</v>
          </cell>
          <cell r="H49">
            <v>45</v>
          </cell>
          <cell r="I49">
            <v>45</v>
          </cell>
        </row>
        <row r="50">
          <cell r="B50" t="str">
            <v>Turn</v>
          </cell>
          <cell r="D50">
            <v>7.7669902912621342</v>
          </cell>
          <cell r="E50">
            <v>8.9775561097256862</v>
          </cell>
          <cell r="F50">
            <v>13.479539983952927</v>
          </cell>
          <cell r="G50">
            <v>13.926499032882012</v>
          </cell>
          <cell r="H50">
            <v>1.8715882505848711</v>
          </cell>
          <cell r="I50">
            <v>1.8715882505848711</v>
          </cell>
        </row>
        <row r="51">
          <cell r="B51" t="str">
            <v>Working Capital %</v>
          </cell>
          <cell r="C51" t="str">
            <v>percentage</v>
          </cell>
          <cell r="D51">
            <v>1.0518493150684934E-2</v>
          </cell>
          <cell r="E51">
            <v>8.4351598173515955E-3</v>
          </cell>
          <cell r="F51">
            <v>3.9708741030658841E-3</v>
          </cell>
          <cell r="G51">
            <v>3.6851598173515982E-3</v>
          </cell>
          <cell r="H51">
            <v>5.9185159817351611E-2</v>
          </cell>
          <cell r="I51">
            <v>5.9185159817351611E-2</v>
          </cell>
        </row>
        <row r="52">
          <cell r="B52" t="str">
            <v>Working Capital (inventory)</v>
          </cell>
          <cell r="C52" t="str">
            <v>cost</v>
          </cell>
          <cell r="D52">
            <v>3.1534916008315074E-2</v>
          </cell>
          <cell r="E52">
            <v>2.5245547810255696E-2</v>
          </cell>
          <cell r="F52">
            <v>1.6841556672353566E-2</v>
          </cell>
          <cell r="G52">
            <v>1.5610786133579921E-2</v>
          </cell>
          <cell r="H52">
            <v>5.9185159817351611E-2</v>
          </cell>
          <cell r="I52">
            <v>5.9185159817351611E-2</v>
          </cell>
        </row>
        <row r="53">
          <cell r="B53" t="str">
            <v>Working Capital (investments)</v>
          </cell>
          <cell r="C53" t="str">
            <v>cost</v>
          </cell>
          <cell r="D53">
            <v>0.17517520282882609</v>
          </cell>
          <cell r="E53">
            <v>0.17517520282882609</v>
          </cell>
          <cell r="F53">
            <v>0.15272060244331881</v>
          </cell>
          <cell r="G53">
            <v>0.15272060244331878</v>
          </cell>
          <cell r="H53">
            <v>0.10308130769230768</v>
          </cell>
          <cell r="I53">
            <v>0.10308130769230768</v>
          </cell>
        </row>
        <row r="54">
          <cell r="A54">
            <v>47</v>
          </cell>
          <cell r="B54" t="str">
            <v>Interests (WC+invest)</v>
          </cell>
          <cell r="C54" t="str">
            <v>cost</v>
          </cell>
          <cell r="D54">
            <v>0.20671011883714116</v>
          </cell>
          <cell r="E54">
            <v>0.2004207506390818</v>
          </cell>
          <cell r="F54">
            <v>0.16956215911567238</v>
          </cell>
          <cell r="G54">
            <v>0.16833138857689869</v>
          </cell>
          <cell r="H54">
            <v>0.16226646750965928</v>
          </cell>
          <cell r="I54">
            <v>0.16226646750965928</v>
          </cell>
        </row>
        <row r="56">
          <cell r="B56" t="str">
            <v>Turn Calculation</v>
          </cell>
          <cell r="C56">
            <v>360</v>
          </cell>
        </row>
        <row r="57">
          <cell r="B57" t="str">
            <v>CPTS -A-</v>
          </cell>
          <cell r="D57">
            <v>18.400000000000002</v>
          </cell>
          <cell r="E57">
            <v>14.4</v>
          </cell>
          <cell r="F57">
            <v>8.4</v>
          </cell>
          <cell r="G57">
            <v>8.4</v>
          </cell>
          <cell r="H57">
            <v>146.4</v>
          </cell>
          <cell r="I57">
            <v>146.4</v>
          </cell>
        </row>
        <row r="58">
          <cell r="B58" t="str">
            <v>CPTS -B-</v>
          </cell>
          <cell r="D58">
            <v>9.9</v>
          </cell>
          <cell r="E58">
            <v>7.6499999999999995</v>
          </cell>
          <cell r="F58">
            <v>4.7571428571428571</v>
          </cell>
          <cell r="G58">
            <v>3.9</v>
          </cell>
          <cell r="H58">
            <v>27.9</v>
          </cell>
          <cell r="I58">
            <v>27.9</v>
          </cell>
        </row>
        <row r="59">
          <cell r="B59" t="str">
            <v>CPTS -C-</v>
          </cell>
          <cell r="D59">
            <v>9.3000000000000007</v>
          </cell>
          <cell r="E59">
            <v>9.3000000000000007</v>
          </cell>
          <cell r="F59">
            <v>4.8000000000000007</v>
          </cell>
          <cell r="G59">
            <v>4.8000000000000007</v>
          </cell>
          <cell r="H59">
            <v>9.3000000000000007</v>
          </cell>
          <cell r="I59">
            <v>9.3000000000000007</v>
          </cell>
        </row>
        <row r="60">
          <cell r="B60" t="str">
            <v>CARD -A-</v>
          </cell>
          <cell r="D60">
            <v>8.75</v>
          </cell>
          <cell r="E60">
            <v>8.75</v>
          </cell>
          <cell r="F60">
            <v>8.75</v>
          </cell>
          <cell r="G60">
            <v>8.75</v>
          </cell>
          <cell r="H60">
            <v>8.75</v>
          </cell>
          <cell r="I60">
            <v>8.75</v>
          </cell>
        </row>
        <row r="61">
          <cell r="B61" t="str">
            <v>Total inventaire</v>
          </cell>
          <cell r="D61">
            <v>46.350000000000009</v>
          </cell>
          <cell r="E61">
            <v>40.1</v>
          </cell>
          <cell r="F61">
            <v>26.707142857142859</v>
          </cell>
          <cell r="G61">
            <v>25.85</v>
          </cell>
          <cell r="H61">
            <v>192.35000000000002</v>
          </cell>
          <cell r="I61">
            <v>192.35000000000002</v>
          </cell>
          <cell r="J61" t="str">
            <v xml:space="preserve"> </v>
          </cell>
        </row>
        <row r="62">
          <cell r="B62" t="str">
            <v>TURNOVER</v>
          </cell>
          <cell r="D62">
            <v>7.7669902912621342</v>
          </cell>
          <cell r="E62">
            <v>8.9775561097256862</v>
          </cell>
          <cell r="F62">
            <v>13.479539983952927</v>
          </cell>
          <cell r="G62">
            <v>13.926499032882012</v>
          </cell>
          <cell r="H62">
            <v>1.8715882505848711</v>
          </cell>
          <cell r="I62">
            <v>1.8715882505848711</v>
          </cell>
          <cell r="J62" t="str">
            <v xml:space="preserve"> </v>
          </cell>
        </row>
      </sheetData>
      <sheetData sheetId="9">
        <row r="11">
          <cell r="B11" t="str">
            <v>Volume band</v>
          </cell>
          <cell r="D11" t="str">
            <v>VOL1</v>
          </cell>
          <cell r="E11" t="str">
            <v>VOL2</v>
          </cell>
          <cell r="F11" t="str">
            <v>VOL3</v>
          </cell>
          <cell r="G11" t="str">
            <v>VOL4</v>
          </cell>
          <cell r="H11" t="str">
            <v>VOL5</v>
          </cell>
          <cell r="I11" t="str">
            <v>VOL6</v>
          </cell>
        </row>
        <row r="12">
          <cell r="B12" t="str">
            <v>Production site</v>
          </cell>
          <cell r="D12" t="str">
            <v>Batam</v>
          </cell>
          <cell r="E12" t="str">
            <v>Batam</v>
          </cell>
          <cell r="F12" t="str">
            <v>Batam</v>
          </cell>
          <cell r="G12" t="str">
            <v>Batam</v>
          </cell>
          <cell r="H12" t="str">
            <v>Bordeaux</v>
          </cell>
          <cell r="I12" t="str">
            <v>Bordeaux</v>
          </cell>
        </row>
        <row r="13">
          <cell r="B13" t="str">
            <v>VOLUME PER YEAR</v>
          </cell>
          <cell r="D13">
            <v>300000</v>
          </cell>
          <cell r="E13">
            <v>600000</v>
          </cell>
          <cell r="F13">
            <v>1500000</v>
          </cell>
          <cell r="G13">
            <v>2000000</v>
          </cell>
          <cell r="H13">
            <v>1</v>
          </cell>
          <cell r="I13">
            <v>1</v>
          </cell>
        </row>
        <row r="14">
          <cell r="B14" t="str">
            <v># warranty months</v>
          </cell>
          <cell r="D14">
            <v>12</v>
          </cell>
          <cell r="E14">
            <v>12</v>
          </cell>
          <cell r="F14">
            <v>12</v>
          </cell>
          <cell r="G14">
            <v>12</v>
          </cell>
          <cell r="H14">
            <v>24</v>
          </cell>
          <cell r="I14">
            <v>24</v>
          </cell>
        </row>
        <row r="15">
          <cell r="B15" t="str">
            <v>WARRANTY VOLUME</v>
          </cell>
          <cell r="D15">
            <v>3000</v>
          </cell>
          <cell r="E15">
            <v>6000</v>
          </cell>
          <cell r="F15">
            <v>15000</v>
          </cell>
          <cell r="G15">
            <v>20000</v>
          </cell>
          <cell r="H15">
            <v>0.02</v>
          </cell>
          <cell r="I15">
            <v>0.02</v>
          </cell>
        </row>
        <row r="16">
          <cell r="B16" t="str">
            <v>Shop Rate</v>
          </cell>
          <cell r="D16">
            <v>1.0292000000000001</v>
          </cell>
          <cell r="E16">
            <v>1.0292000000000001</v>
          </cell>
          <cell r="F16">
            <v>1.0292000000000001</v>
          </cell>
          <cell r="G16">
            <v>1.0292000000000001</v>
          </cell>
          <cell r="H16">
            <v>27.18</v>
          </cell>
          <cell r="I16">
            <v>27.18</v>
          </cell>
        </row>
        <row r="17">
          <cell r="B17" t="str">
            <v>TOTAL COST $ per year</v>
          </cell>
          <cell r="D17">
            <v>2058.4</v>
          </cell>
          <cell r="E17">
            <v>4116.8</v>
          </cell>
          <cell r="F17">
            <v>10292</v>
          </cell>
          <cell r="G17">
            <v>13722.666666666668</v>
          </cell>
          <cell r="H17">
            <v>0.36239999999999994</v>
          </cell>
          <cell r="I17">
            <v>0.36239999999999994</v>
          </cell>
        </row>
        <row r="18">
          <cell r="B18" t="str">
            <v>Freight</v>
          </cell>
          <cell r="D18">
            <v>2058.4</v>
          </cell>
          <cell r="E18">
            <v>4116.8</v>
          </cell>
          <cell r="F18">
            <v>10292</v>
          </cell>
          <cell r="G18">
            <v>13722.666666666668</v>
          </cell>
          <cell r="H18">
            <v>0.36239999999999994</v>
          </cell>
          <cell r="I18">
            <v>0.36239999999999994</v>
          </cell>
        </row>
        <row r="19">
          <cell r="B19" t="str">
            <v>OVERHEAD</v>
          </cell>
          <cell r="D19">
            <v>514.6</v>
          </cell>
          <cell r="E19">
            <v>1029.2</v>
          </cell>
          <cell r="F19">
            <v>2573</v>
          </cell>
          <cell r="G19">
            <v>3430.666666666667</v>
          </cell>
          <cell r="H19">
            <v>9.0599999999999986E-2</v>
          </cell>
          <cell r="I19">
            <v>9.0599999999999986E-2</v>
          </cell>
        </row>
        <row r="20">
          <cell r="B20" t="str">
            <v>PBT</v>
          </cell>
          <cell r="D20">
            <v>1102.7142857142858</v>
          </cell>
          <cell r="E20">
            <v>2205.4285714285716</v>
          </cell>
          <cell r="F20">
            <v>5513.5714285714312</v>
          </cell>
          <cell r="G20">
            <v>7351.4285714285734</v>
          </cell>
          <cell r="H20">
            <v>0.11324999999999999</v>
          </cell>
          <cell r="I20">
            <v>0.11324999999999999</v>
          </cell>
        </row>
        <row r="21">
          <cell r="B21" t="str">
            <v>TOTAL PRICE</v>
          </cell>
          <cell r="D21">
            <v>3675.7142857142858</v>
          </cell>
          <cell r="E21">
            <v>7351.4285714285716</v>
          </cell>
          <cell r="F21">
            <v>18378.571428571431</v>
          </cell>
          <cell r="G21">
            <v>24504.761904761908</v>
          </cell>
          <cell r="H21">
            <v>0.56624999999999992</v>
          </cell>
          <cell r="I21">
            <v>0.56624999999999992</v>
          </cell>
        </row>
        <row r="23">
          <cell r="A23">
            <v>13</v>
          </cell>
          <cell r="B23" t="str">
            <v>Warranty per board in $</v>
          </cell>
          <cell r="D23">
            <v>1.2252380952380952E-2</v>
          </cell>
          <cell r="E23">
            <v>1.2252380952380952E-2</v>
          </cell>
          <cell r="F23">
            <v>1.2252380952380954E-2</v>
          </cell>
          <cell r="G23">
            <v>1.2252380952380954E-2</v>
          </cell>
          <cell r="H23">
            <v>0.56624999999999992</v>
          </cell>
          <cell r="I23">
            <v>0.56624999999999992</v>
          </cell>
        </row>
      </sheetData>
      <sheetData sheetId="10"/>
      <sheetData sheetId="11"/>
      <sheetData sheetId="12">
        <row r="168">
          <cell r="B168" t="str">
            <v>SITE TABLE</v>
          </cell>
          <cell r="C168" t="str">
            <v>Austin</v>
          </cell>
          <cell r="D168" t="str">
            <v>Batam</v>
          </cell>
          <cell r="E168" t="str">
            <v>Bordeaux</v>
          </cell>
          <cell r="F168" t="str">
            <v>Budapest</v>
          </cell>
          <cell r="G168" t="str">
            <v>Charlotte</v>
          </cell>
          <cell r="H168" t="str">
            <v>Dunfermline</v>
          </cell>
          <cell r="I168" t="str">
            <v>Guadalajara</v>
          </cell>
          <cell r="J168" t="str">
            <v>Herrenberg</v>
          </cell>
          <cell r="K168" t="str">
            <v>Ibaraki</v>
          </cell>
          <cell r="L168" t="str">
            <v>Istanbul</v>
          </cell>
          <cell r="M168" t="str">
            <v>Jaguariuna</v>
          </cell>
          <cell r="N168" t="str">
            <v>Johor</v>
          </cell>
          <cell r="O168" t="str">
            <v>Kaohsiung</v>
          </cell>
          <cell r="P168" t="str">
            <v>Milpitas</v>
          </cell>
          <cell r="Q168" t="str">
            <v>Miyagi</v>
          </cell>
          <cell r="R168" t="str">
            <v>Penang</v>
          </cell>
          <cell r="S168" t="str">
            <v>Puerto Rico</v>
          </cell>
          <cell r="T168" t="str">
            <v>Shanghai</v>
          </cell>
          <cell r="U168" t="str">
            <v>Shenzhen</v>
          </cell>
          <cell r="V168" t="str">
            <v>Sherbrooke</v>
          </cell>
          <cell r="W168" t="str">
            <v>Singapore</v>
          </cell>
          <cell r="X168" t="str">
            <v>Suzhou</v>
          </cell>
          <cell r="Y168" t="str">
            <v>Timisoara</v>
          </cell>
        </row>
        <row r="169">
          <cell r="B169" t="str">
            <v>Working Hours</v>
          </cell>
        </row>
        <row r="170">
          <cell r="A170">
            <v>3</v>
          </cell>
          <cell r="B170" t="str">
            <v># of working days per week (Equipments)</v>
          </cell>
          <cell r="C170">
            <v>5</v>
          </cell>
          <cell r="D170">
            <v>6</v>
          </cell>
          <cell r="E170">
            <v>5</v>
          </cell>
          <cell r="F170">
            <v>7</v>
          </cell>
          <cell r="G170">
            <v>5</v>
          </cell>
          <cell r="H170">
            <v>6.5</v>
          </cell>
          <cell r="I170">
            <v>6.8269230769230766</v>
          </cell>
          <cell r="J170">
            <v>6</v>
          </cell>
          <cell r="K170">
            <v>6</v>
          </cell>
          <cell r="L170">
            <v>7</v>
          </cell>
          <cell r="M170">
            <v>5</v>
          </cell>
          <cell r="N170">
            <v>7</v>
          </cell>
          <cell r="O170">
            <v>6</v>
          </cell>
          <cell r="P170">
            <v>5</v>
          </cell>
          <cell r="Q170">
            <v>5</v>
          </cell>
          <cell r="R170">
            <v>6.7</v>
          </cell>
          <cell r="S170">
            <v>5</v>
          </cell>
          <cell r="T170">
            <v>6.7884615384615383</v>
          </cell>
          <cell r="U170">
            <v>6.7884615384615383</v>
          </cell>
          <cell r="V170">
            <v>5</v>
          </cell>
          <cell r="W170">
            <v>5.5</v>
          </cell>
          <cell r="X170">
            <v>6.7884615384615383</v>
          </cell>
          <cell r="Y170">
            <v>7</v>
          </cell>
        </row>
        <row r="171">
          <cell r="B171" t="str">
            <v># of working days per week (Men)</v>
          </cell>
          <cell r="C171">
            <v>5</v>
          </cell>
          <cell r="D171">
            <v>6</v>
          </cell>
          <cell r="E171">
            <v>5</v>
          </cell>
          <cell r="F171">
            <v>5.333333333333333</v>
          </cell>
          <cell r="G171">
            <v>5</v>
          </cell>
          <cell r="H171">
            <v>3.33</v>
          </cell>
          <cell r="I171">
            <v>3.5</v>
          </cell>
          <cell r="J171">
            <v>5</v>
          </cell>
          <cell r="K171">
            <v>5.161290322580645</v>
          </cell>
          <cell r="L171">
            <v>5.333333333333333</v>
          </cell>
          <cell r="M171">
            <v>5</v>
          </cell>
          <cell r="N171">
            <v>5</v>
          </cell>
          <cell r="O171">
            <v>5</v>
          </cell>
          <cell r="P171">
            <v>5</v>
          </cell>
          <cell r="Q171">
            <v>5</v>
          </cell>
          <cell r="R171">
            <v>4.6923076923076925</v>
          </cell>
          <cell r="S171">
            <v>5</v>
          </cell>
          <cell r="T171">
            <v>5</v>
          </cell>
          <cell r="U171">
            <v>3.33</v>
          </cell>
          <cell r="V171">
            <v>5</v>
          </cell>
          <cell r="W171">
            <v>5.5</v>
          </cell>
          <cell r="X171">
            <v>5</v>
          </cell>
          <cell r="Y171">
            <v>5</v>
          </cell>
        </row>
        <row r="172">
          <cell r="B172" t="str">
            <v># of shifts per working day:</v>
          </cell>
          <cell r="C172">
            <v>3</v>
          </cell>
          <cell r="D172">
            <v>3</v>
          </cell>
          <cell r="E172">
            <v>4</v>
          </cell>
          <cell r="F172">
            <v>3</v>
          </cell>
          <cell r="G172">
            <v>3</v>
          </cell>
          <cell r="H172">
            <v>2</v>
          </cell>
          <cell r="I172">
            <v>2</v>
          </cell>
          <cell r="J172">
            <v>3</v>
          </cell>
          <cell r="K172">
            <v>2</v>
          </cell>
          <cell r="L172">
            <v>3</v>
          </cell>
          <cell r="M172">
            <v>3</v>
          </cell>
          <cell r="N172">
            <v>2</v>
          </cell>
          <cell r="O172">
            <v>3</v>
          </cell>
          <cell r="P172">
            <v>2.5</v>
          </cell>
          <cell r="Q172">
            <v>2</v>
          </cell>
          <cell r="R172">
            <v>2</v>
          </cell>
          <cell r="S172">
            <v>3</v>
          </cell>
          <cell r="T172">
            <v>3</v>
          </cell>
          <cell r="U172">
            <v>2</v>
          </cell>
          <cell r="V172">
            <v>2</v>
          </cell>
          <cell r="W172">
            <v>3</v>
          </cell>
          <cell r="X172">
            <v>3</v>
          </cell>
          <cell r="Y172">
            <v>3</v>
          </cell>
        </row>
        <row r="173">
          <cell r="B173" t="str">
            <v># of working hours per shift:</v>
          </cell>
          <cell r="C173">
            <v>8</v>
          </cell>
          <cell r="D173">
            <v>8</v>
          </cell>
          <cell r="E173">
            <v>6</v>
          </cell>
          <cell r="F173">
            <v>7.5</v>
          </cell>
          <cell r="G173">
            <v>8</v>
          </cell>
          <cell r="H173">
            <v>12</v>
          </cell>
          <cell r="I173">
            <v>12</v>
          </cell>
          <cell r="J173">
            <v>7.5</v>
          </cell>
          <cell r="K173">
            <v>7.75</v>
          </cell>
          <cell r="L173">
            <v>7.5</v>
          </cell>
          <cell r="M173">
            <v>8</v>
          </cell>
          <cell r="N173">
            <v>8</v>
          </cell>
          <cell r="O173">
            <v>8</v>
          </cell>
          <cell r="P173">
            <v>8</v>
          </cell>
          <cell r="Q173">
            <v>10.75</v>
          </cell>
          <cell r="R173">
            <v>12</v>
          </cell>
          <cell r="S173">
            <v>7.4</v>
          </cell>
          <cell r="T173">
            <v>8</v>
          </cell>
          <cell r="U173">
            <v>12</v>
          </cell>
          <cell r="V173">
            <v>8</v>
          </cell>
          <cell r="W173">
            <v>8</v>
          </cell>
          <cell r="X173">
            <v>8</v>
          </cell>
          <cell r="Y173">
            <v>7.5</v>
          </cell>
        </row>
        <row r="174">
          <cell r="B174" t="str">
            <v>Direct Labor: Hourly Rate</v>
          </cell>
          <cell r="K174">
            <v>40</v>
          </cell>
          <cell r="L174" t="str">
            <v xml:space="preserve"> </v>
          </cell>
          <cell r="Q174">
            <v>53.75</v>
          </cell>
        </row>
        <row r="175">
          <cell r="B175" t="str">
            <v>Operator $/hr</v>
          </cell>
          <cell r="C175">
            <v>15.671799999999999</v>
          </cell>
          <cell r="D175">
            <v>0.59499999999999997</v>
          </cell>
          <cell r="E175">
            <v>19.600000000000001</v>
          </cell>
          <cell r="F175">
            <v>3.58</v>
          </cell>
          <cell r="G175">
            <v>17.625999999999998</v>
          </cell>
          <cell r="H175">
            <v>11.198</v>
          </cell>
          <cell r="I175">
            <v>1.7714064633027518</v>
          </cell>
          <cell r="J175">
            <v>19.741500000000002</v>
          </cell>
          <cell r="K175">
            <v>20.8</v>
          </cell>
          <cell r="L175">
            <v>3.33</v>
          </cell>
          <cell r="M175">
            <v>2.7666985645933018</v>
          </cell>
          <cell r="N175">
            <v>1.68</v>
          </cell>
          <cell r="O175">
            <v>2.7165582317302759</v>
          </cell>
          <cell r="P175">
            <v>22.025500000000001</v>
          </cell>
          <cell r="Q175">
            <v>21.6</v>
          </cell>
          <cell r="R175">
            <v>1.92</v>
          </cell>
          <cell r="S175">
            <v>11.172000000000001</v>
          </cell>
          <cell r="T175">
            <v>0.94499999999999995</v>
          </cell>
          <cell r="U175">
            <v>0.55377245508982043</v>
          </cell>
          <cell r="V175">
            <v>9.9749999999999996</v>
          </cell>
          <cell r="W175">
            <v>3.01</v>
          </cell>
          <cell r="X175">
            <v>0.94730999999999987</v>
          </cell>
          <cell r="Y175">
            <v>2.1004441029411764</v>
          </cell>
        </row>
        <row r="176">
          <cell r="B176" t="str">
            <v>Indirect Labor: Hourly Rate</v>
          </cell>
          <cell r="C176" t="str">
            <v xml:space="preserve"> </v>
          </cell>
          <cell r="D176" t="str">
            <v xml:space="preserve"> </v>
          </cell>
          <cell r="E176" t="str">
            <v xml:space="preserve"> </v>
          </cell>
          <cell r="F176" t="str">
            <v xml:space="preserve"> </v>
          </cell>
          <cell r="G176" t="str">
            <v xml:space="preserve"> </v>
          </cell>
          <cell r="H176" t="str">
            <v xml:space="preserve"> </v>
          </cell>
          <cell r="I176" t="str">
            <v xml:space="preserve"> </v>
          </cell>
          <cell r="J176" t="str">
            <v xml:space="preserve"> </v>
          </cell>
          <cell r="K176" t="str">
            <v xml:space="preserve"> </v>
          </cell>
          <cell r="L176" t="str">
            <v xml:space="preserve"> </v>
          </cell>
          <cell r="M176" t="str">
            <v xml:space="preserve"> </v>
          </cell>
          <cell r="N176" t="str">
            <v xml:space="preserve"> </v>
          </cell>
          <cell r="O176" t="str">
            <v xml:space="preserve"> </v>
          </cell>
          <cell r="P176" t="str">
            <v xml:space="preserve"> </v>
          </cell>
          <cell r="Q176" t="str">
            <v xml:space="preserve"> </v>
          </cell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B177" t="str">
            <v>Material Handler $/hr</v>
          </cell>
          <cell r="C177">
            <v>18.600000000000001</v>
          </cell>
          <cell r="D177">
            <v>0.69299999999999995</v>
          </cell>
          <cell r="E177">
            <v>18.2</v>
          </cell>
          <cell r="F177">
            <v>8.1156732891832224</v>
          </cell>
          <cell r="G177">
            <v>17.332000000000001</v>
          </cell>
          <cell r="H177">
            <v>11.935</v>
          </cell>
          <cell r="I177">
            <v>2.3243284403669811</v>
          </cell>
          <cell r="J177">
            <v>19.741500000000002</v>
          </cell>
          <cell r="K177">
            <v>24.9</v>
          </cell>
          <cell r="L177">
            <v>5.28</v>
          </cell>
          <cell r="M177">
            <v>5.2398086124401919</v>
          </cell>
          <cell r="N177">
            <v>1.43</v>
          </cell>
          <cell r="O177">
            <v>2.6443766601246921</v>
          </cell>
          <cell r="P177">
            <v>20.4755</v>
          </cell>
          <cell r="Q177">
            <v>21.52</v>
          </cell>
          <cell r="R177">
            <v>1.9101492047876707</v>
          </cell>
          <cell r="S177">
            <v>11.991280000000003</v>
          </cell>
          <cell r="T177">
            <v>1.3068000000000002</v>
          </cell>
          <cell r="U177">
            <v>1.3604790419161676</v>
          </cell>
          <cell r="V177">
            <v>10.237500000000001</v>
          </cell>
          <cell r="W177">
            <v>3.84</v>
          </cell>
          <cell r="X177">
            <v>1.1232389999999999</v>
          </cell>
          <cell r="Y177">
            <v>2.2904885132352941</v>
          </cell>
        </row>
        <row r="178">
          <cell r="B178" t="str">
            <v>Technician $/hr</v>
          </cell>
          <cell r="C178">
            <v>26.169000000000004</v>
          </cell>
          <cell r="D178">
            <v>1.0292000000000001</v>
          </cell>
          <cell r="E178">
            <v>27.18</v>
          </cell>
          <cell r="F178">
            <v>12.12</v>
          </cell>
          <cell r="G178">
            <v>25.661999999999995</v>
          </cell>
          <cell r="H178">
            <v>8.91</v>
          </cell>
          <cell r="I178">
            <v>3.8774621559633013</v>
          </cell>
          <cell r="J178">
            <v>29.089499999999997</v>
          </cell>
          <cell r="K178">
            <v>24.9</v>
          </cell>
          <cell r="L178">
            <v>11.22</v>
          </cell>
          <cell r="M178">
            <v>4.2393939393939393</v>
          </cell>
          <cell r="N178">
            <v>2.89</v>
          </cell>
          <cell r="O178">
            <v>3.6558075860275157</v>
          </cell>
          <cell r="P178">
            <v>31.190650000000002</v>
          </cell>
          <cell r="Q178">
            <v>23</v>
          </cell>
          <cell r="R178">
            <v>3.0333169372028213</v>
          </cell>
          <cell r="S178">
            <v>17.875200000000003</v>
          </cell>
          <cell r="T178">
            <v>1.782</v>
          </cell>
          <cell r="U178">
            <v>1.015868263473054</v>
          </cell>
          <cell r="V178">
            <v>17.414999999999999</v>
          </cell>
          <cell r="W178">
            <v>6.13</v>
          </cell>
          <cell r="X178">
            <v>1.5968939999999998</v>
          </cell>
          <cell r="Y178">
            <v>3.0959148235294118</v>
          </cell>
        </row>
        <row r="179">
          <cell r="B179" t="str">
            <v>Exempt: Monthly Rate</v>
          </cell>
          <cell r="C179" t="str">
            <v xml:space="preserve"> </v>
          </cell>
          <cell r="D179" t="str">
            <v xml:space="preserve"> </v>
          </cell>
          <cell r="E179" t="str">
            <v xml:space="preserve"> </v>
          </cell>
          <cell r="F179" t="str">
            <v xml:space="preserve"> </v>
          </cell>
          <cell r="G179" t="str">
            <v xml:space="preserve"> </v>
          </cell>
          <cell r="H179" t="str">
            <v xml:space="preserve"> </v>
          </cell>
          <cell r="I179" t="str">
            <v xml:space="preserve"> </v>
          </cell>
          <cell r="J179" t="str">
            <v xml:space="preserve"> </v>
          </cell>
          <cell r="K179" t="str">
            <v xml:space="preserve"> </v>
          </cell>
          <cell r="L179" t="str">
            <v xml:space="preserve"> </v>
          </cell>
          <cell r="M179" t="str">
            <v xml:space="preserve"> </v>
          </cell>
          <cell r="N179" t="str">
            <v xml:space="preserve"> </v>
          </cell>
          <cell r="O179" t="str">
            <v xml:space="preserve"> </v>
          </cell>
          <cell r="P179" t="str">
            <v xml:space="preserve"> </v>
          </cell>
          <cell r="Q179" t="str">
            <v xml:space="preserve"> </v>
          </cell>
          <cell r="R179" t="str">
            <v xml:space="preserve"> </v>
          </cell>
          <cell r="S179" t="str">
            <v xml:space="preserve"> </v>
          </cell>
          <cell r="T179" t="str">
            <v xml:space="preserve"> </v>
          </cell>
          <cell r="U179" t="str">
            <v xml:space="preserve"> </v>
          </cell>
          <cell r="V179" t="str">
            <v xml:space="preserve"> </v>
          </cell>
          <cell r="W179" t="str">
            <v xml:space="preserve"> </v>
          </cell>
          <cell r="X179" t="str">
            <v xml:space="preserve"> </v>
          </cell>
          <cell r="Y179" t="str">
            <v xml:space="preserve"> </v>
          </cell>
        </row>
        <row r="180">
          <cell r="B180" t="str">
            <v>Supervisor $/month</v>
          </cell>
          <cell r="C180">
            <v>6737.16</v>
          </cell>
          <cell r="D180">
            <v>318.92</v>
          </cell>
          <cell r="E180">
            <v>4703.3999999999996</v>
          </cell>
          <cell r="F180">
            <v>1845</v>
          </cell>
          <cell r="G180">
            <v>6182.8</v>
          </cell>
          <cell r="H180">
            <v>3179.6810000000005</v>
          </cell>
          <cell r="I180">
            <v>1765.2725229357766</v>
          </cell>
          <cell r="J180">
            <v>5011.2</v>
          </cell>
          <cell r="K180">
            <v>4903.9861363636364</v>
          </cell>
          <cell r="L180">
            <v>2795</v>
          </cell>
          <cell r="M180">
            <v>2451.1578947368421</v>
          </cell>
          <cell r="N180">
            <v>792.4</v>
          </cell>
          <cell r="O180">
            <v>1604.3784547721561</v>
          </cell>
          <cell r="P180">
            <v>7720</v>
          </cell>
          <cell r="Q180">
            <v>4749.09</v>
          </cell>
          <cell r="R180">
            <v>863.00800000000015</v>
          </cell>
          <cell r="S180">
            <v>3792.9024000000009</v>
          </cell>
          <cell r="T180">
            <v>835.04</v>
          </cell>
          <cell r="U180">
            <v>700.8</v>
          </cell>
          <cell r="V180">
            <v>3447.8422564102566</v>
          </cell>
          <cell r="W180">
            <v>2044.82</v>
          </cell>
          <cell r="X180">
            <v>742.62635999999998</v>
          </cell>
          <cell r="Y180">
            <v>732.75344124999992</v>
          </cell>
        </row>
        <row r="181">
          <cell r="B181" t="str">
            <v>Engineer $/month</v>
          </cell>
          <cell r="C181">
            <v>7589.8</v>
          </cell>
          <cell r="D181">
            <v>487.32</v>
          </cell>
          <cell r="E181">
            <v>5689.32</v>
          </cell>
          <cell r="F181">
            <v>2000</v>
          </cell>
          <cell r="G181">
            <v>7964.753333333334</v>
          </cell>
          <cell r="H181">
            <v>4294.8360000000002</v>
          </cell>
          <cell r="I181">
            <v>2233.9289449541338</v>
          </cell>
          <cell r="J181">
            <v>6792.96</v>
          </cell>
          <cell r="K181">
            <v>4227.4999672727272</v>
          </cell>
          <cell r="L181">
            <v>2719</v>
          </cell>
          <cell r="M181">
            <v>2763.9649122807018</v>
          </cell>
          <cell r="N181">
            <v>1118.5999999999999</v>
          </cell>
          <cell r="O181">
            <v>1020.9240983842438</v>
          </cell>
          <cell r="P181">
            <v>9641.6</v>
          </cell>
          <cell r="Q181">
            <v>4538.29</v>
          </cell>
          <cell r="R181">
            <v>1269.8960000000002</v>
          </cell>
          <cell r="S181">
            <v>5024.7456000000011</v>
          </cell>
          <cell r="T181">
            <v>733.73</v>
          </cell>
          <cell r="U181">
            <v>455.68</v>
          </cell>
          <cell r="V181">
            <v>4155.0509585798818</v>
          </cell>
          <cell r="W181">
            <v>2739.07</v>
          </cell>
          <cell r="X181">
            <v>631.82179200000007</v>
          </cell>
          <cell r="Y181">
            <v>837.16487500000005</v>
          </cell>
        </row>
        <row r="182">
          <cell r="B182" t="str">
            <v>PC $/month</v>
          </cell>
          <cell r="C182">
            <v>6277.62</v>
          </cell>
          <cell r="D182">
            <v>318.92</v>
          </cell>
          <cell r="E182">
            <v>4754.88</v>
          </cell>
          <cell r="F182">
            <v>1845</v>
          </cell>
          <cell r="G182">
            <v>5328.2666666666673</v>
          </cell>
          <cell r="H182">
            <v>2951.3255000000004</v>
          </cell>
          <cell r="I182">
            <v>2187.0633027522927</v>
          </cell>
          <cell r="J182">
            <v>6124.8</v>
          </cell>
          <cell r="K182">
            <v>3971.9679636363635</v>
          </cell>
          <cell r="L182">
            <v>1438</v>
          </cell>
          <cell r="M182">
            <v>1547</v>
          </cell>
          <cell r="N182">
            <v>644</v>
          </cell>
          <cell r="O182">
            <v>868.76859942295755</v>
          </cell>
          <cell r="P182">
            <v>7144</v>
          </cell>
          <cell r="Q182">
            <v>5162.6400000000003</v>
          </cell>
          <cell r="R182">
            <v>1142.4720000000002</v>
          </cell>
          <cell r="S182">
            <v>5380.2336000000005</v>
          </cell>
          <cell r="T182">
            <v>521.9</v>
          </cell>
          <cell r="U182">
            <v>504.6</v>
          </cell>
          <cell r="V182">
            <v>3304.6000307692311</v>
          </cell>
          <cell r="W182">
            <v>2044.82</v>
          </cell>
          <cell r="X182">
            <v>502.15687200000002</v>
          </cell>
          <cell r="Y182">
            <v>596.21541250000007</v>
          </cell>
        </row>
        <row r="183">
          <cell r="B183" t="str">
            <v>Manager $/month</v>
          </cell>
          <cell r="C183">
            <v>9515.7999999999993</v>
          </cell>
          <cell r="D183">
            <v>5323.53</v>
          </cell>
          <cell r="E183">
            <v>7240.17</v>
          </cell>
          <cell r="F183">
            <v>3914</v>
          </cell>
          <cell r="G183">
            <v>10920</v>
          </cell>
          <cell r="H183">
            <v>7439.7119999999995</v>
          </cell>
          <cell r="I183">
            <v>5486.238532110091</v>
          </cell>
          <cell r="J183">
            <v>10210.250399999999</v>
          </cell>
          <cell r="K183">
            <v>7235.0790327272725</v>
          </cell>
          <cell r="L183">
            <v>4490</v>
          </cell>
          <cell r="M183">
            <v>4241.3684210526308</v>
          </cell>
          <cell r="N183">
            <v>3052.25</v>
          </cell>
          <cell r="O183">
            <v>2366.3504353159528</v>
          </cell>
          <cell r="P183">
            <v>8966.1</v>
          </cell>
          <cell r="Q183">
            <v>7933.71</v>
          </cell>
          <cell r="R183">
            <v>3011.875</v>
          </cell>
          <cell r="S183">
            <v>10410.4</v>
          </cell>
          <cell r="T183">
            <v>1405</v>
          </cell>
          <cell r="U183">
            <v>1061.72</v>
          </cell>
          <cell r="V183">
            <v>6377.0675692307686</v>
          </cell>
          <cell r="W183">
            <v>4264.71</v>
          </cell>
          <cell r="X183">
            <v>1709.0808</v>
          </cell>
          <cell r="Y183">
            <v>1883.95</v>
          </cell>
        </row>
        <row r="184">
          <cell r="B184" t="str">
            <v>Sr. Manager $/month</v>
          </cell>
          <cell r="C184">
            <v>15402.53</v>
          </cell>
          <cell r="D184">
            <v>7676.47</v>
          </cell>
          <cell r="E184">
            <v>17596</v>
          </cell>
          <cell r="F184">
            <v>5088</v>
          </cell>
          <cell r="G184">
            <v>15402.53</v>
          </cell>
          <cell r="H184">
            <v>11723.762500000001</v>
          </cell>
          <cell r="I184">
            <v>7937.6146788990827</v>
          </cell>
          <cell r="J184">
            <v>13583.588399999999</v>
          </cell>
          <cell r="K184">
            <v>10404.858538181817</v>
          </cell>
          <cell r="L184">
            <v>7521</v>
          </cell>
          <cell r="M184">
            <v>9249.7860000000001</v>
          </cell>
          <cell r="N184">
            <v>4329</v>
          </cell>
          <cell r="O184">
            <v>2681.5683454293285</v>
          </cell>
          <cell r="P184">
            <v>16787.5</v>
          </cell>
          <cell r="Q184">
            <v>10025.459999999999</v>
          </cell>
          <cell r="R184">
            <v>4299.75</v>
          </cell>
          <cell r="S184">
            <v>12763.52</v>
          </cell>
          <cell r="T184">
            <v>2784.6680000000001</v>
          </cell>
          <cell r="U184">
            <v>2099.16</v>
          </cell>
          <cell r="V184">
            <v>11185.230769230768</v>
          </cell>
          <cell r="W184">
            <v>6617.6470588235297</v>
          </cell>
          <cell r="X184">
            <v>3995.1700799999994</v>
          </cell>
          <cell r="Y184">
            <v>10942.05</v>
          </cell>
        </row>
        <row r="185">
          <cell r="B185" t="str">
            <v>Buyer $/month</v>
          </cell>
          <cell r="C185">
            <v>6421.14</v>
          </cell>
          <cell r="D185">
            <v>216.08</v>
          </cell>
          <cell r="E185">
            <v>4683.12</v>
          </cell>
          <cell r="F185">
            <v>1075</v>
          </cell>
          <cell r="G185">
            <v>5222.7066666666678</v>
          </cell>
          <cell r="H185">
            <v>3052.0080000000003</v>
          </cell>
          <cell r="I185">
            <v>2405.7696330275271</v>
          </cell>
          <cell r="J185">
            <v>4498.9440000000004</v>
          </cell>
          <cell r="K185">
            <v>4483.7168000000001</v>
          </cell>
          <cell r="L185">
            <v>3353</v>
          </cell>
          <cell r="M185">
            <v>1914.421052631579</v>
          </cell>
          <cell r="N185">
            <v>900.2</v>
          </cell>
          <cell r="O185">
            <v>1161.0462392862328</v>
          </cell>
          <cell r="P185">
            <v>6979.2</v>
          </cell>
          <cell r="Q185">
            <v>4894.07</v>
          </cell>
          <cell r="R185">
            <v>1032.4240000000002</v>
          </cell>
          <cell r="S185">
            <v>3610.5216000000005</v>
          </cell>
          <cell r="T185">
            <v>511.15499999999997</v>
          </cell>
          <cell r="U185">
            <v>430.5</v>
          </cell>
          <cell r="V185">
            <v>3215.3846153846152</v>
          </cell>
          <cell r="W185">
            <v>1903.5</v>
          </cell>
          <cell r="X185">
            <v>584.17975700000011</v>
          </cell>
          <cell r="Y185">
            <v>869.29147000000012</v>
          </cell>
        </row>
        <row r="186">
          <cell r="B186" t="str">
            <v>CSCM $/month</v>
          </cell>
          <cell r="C186">
            <v>6971.9866666666676</v>
          </cell>
          <cell r="D186">
            <v>4117.6499999999996</v>
          </cell>
          <cell r="E186">
            <v>6155.76</v>
          </cell>
          <cell r="F186">
            <v>1291</v>
          </cell>
          <cell r="G186">
            <v>6971.9866666666676</v>
          </cell>
          <cell r="H186">
            <v>4071.4370000000008</v>
          </cell>
          <cell r="I186">
            <v>4007.1348623853219</v>
          </cell>
          <cell r="J186">
            <v>8196.0959999999995</v>
          </cell>
          <cell r="K186">
            <v>4932.0813999999991</v>
          </cell>
          <cell r="L186">
            <v>2794</v>
          </cell>
          <cell r="M186">
            <v>2797.719298245614</v>
          </cell>
          <cell r="N186">
            <v>1107.4000000000001</v>
          </cell>
          <cell r="O186">
            <v>1161.296</v>
          </cell>
          <cell r="P186">
            <v>8483.2000000000007</v>
          </cell>
          <cell r="Q186">
            <v>4894.07</v>
          </cell>
          <cell r="R186">
            <v>1161.296</v>
          </cell>
          <cell r="S186">
            <v>7273.5936000000011</v>
          </cell>
          <cell r="T186">
            <v>661.58500000000004</v>
          </cell>
          <cell r="U186">
            <v>489.6</v>
          </cell>
          <cell r="V186">
            <v>6971.9866666666676</v>
          </cell>
          <cell r="W186">
            <v>4117.6470588235306</v>
          </cell>
          <cell r="X186">
            <v>908.97354200000018</v>
          </cell>
          <cell r="Y186">
            <v>877.32311875000005</v>
          </cell>
        </row>
        <row r="187">
          <cell r="B187" t="str">
            <v>Facility Cost</v>
          </cell>
          <cell r="C187" t="str">
            <v xml:space="preserve"> </v>
          </cell>
          <cell r="D187" t="str">
            <v xml:space="preserve"> </v>
          </cell>
          <cell r="E187" t="str">
            <v xml:space="preserve"> </v>
          </cell>
          <cell r="F187" t="str">
            <v xml:space="preserve"> </v>
          </cell>
          <cell r="G187" t="str">
            <v xml:space="preserve"> </v>
          </cell>
          <cell r="H187" t="str">
            <v xml:space="preserve"> </v>
          </cell>
          <cell r="I187" t="str">
            <v xml:space="preserve"> </v>
          </cell>
          <cell r="J187" t="str">
            <v xml:space="preserve"> </v>
          </cell>
          <cell r="K187" t="str">
            <v xml:space="preserve"> </v>
          </cell>
          <cell r="L187" t="str">
            <v xml:space="preserve"> </v>
          </cell>
          <cell r="M187" t="str">
            <v xml:space="preserve"> </v>
          </cell>
          <cell r="N187" t="str">
            <v xml:space="preserve"> </v>
          </cell>
          <cell r="O187" t="str">
            <v xml:space="preserve"> </v>
          </cell>
          <cell r="P187" t="str">
            <v xml:space="preserve"> </v>
          </cell>
          <cell r="Q187" t="str">
            <v xml:space="preserve"> </v>
          </cell>
          <cell r="R187" t="str">
            <v xml:space="preserve"> </v>
          </cell>
          <cell r="S187" t="str">
            <v xml:space="preserve"> </v>
          </cell>
          <cell r="T187" t="str">
            <v xml:space="preserve"> </v>
          </cell>
          <cell r="U187" t="str">
            <v xml:space="preserve"> </v>
          </cell>
          <cell r="V187" t="str">
            <v xml:space="preserve"> </v>
          </cell>
          <cell r="W187" t="str">
            <v xml:space="preserve"> </v>
          </cell>
          <cell r="X187" t="str">
            <v xml:space="preserve"> </v>
          </cell>
          <cell r="Y187" t="str">
            <v xml:space="preserve"> </v>
          </cell>
        </row>
        <row r="188">
          <cell r="B188" t="str">
            <v>Mfg Facility Cost per Sqr Feet:</v>
          </cell>
          <cell r="C188">
            <v>5.4041014503718277</v>
          </cell>
          <cell r="D188">
            <v>2.7547125549136311</v>
          </cell>
          <cell r="E188">
            <v>11.28518321826872</v>
          </cell>
          <cell r="F188">
            <v>2.64</v>
          </cell>
          <cell r="G188">
            <v>4.4915530378985622</v>
          </cell>
          <cell r="H188">
            <v>8.2628676470588225</v>
          </cell>
          <cell r="I188">
            <v>6.0235745931712366</v>
          </cell>
          <cell r="J188">
            <v>7.6007173242138624</v>
          </cell>
          <cell r="K188">
            <v>6.42</v>
          </cell>
          <cell r="L188">
            <v>1.39</v>
          </cell>
          <cell r="M188">
            <v>4.0966889531274937</v>
          </cell>
          <cell r="N188">
            <v>6.1</v>
          </cell>
          <cell r="O188">
            <v>2.1913235733660787</v>
          </cell>
          <cell r="P188">
            <v>6.2868105687844942</v>
          </cell>
          <cell r="Q188">
            <v>1.1499999999999999</v>
          </cell>
          <cell r="R188">
            <v>6.9302882840935549</v>
          </cell>
          <cell r="S188">
            <v>5.0380698508003467</v>
          </cell>
          <cell r="T188">
            <v>3.1825592417061612</v>
          </cell>
          <cell r="U188">
            <v>2.2047673369143261</v>
          </cell>
          <cell r="V188">
            <v>4.7812049185958641</v>
          </cell>
          <cell r="W188">
            <v>4.2501440266539916</v>
          </cell>
          <cell r="X188">
            <v>2.0683545524190814</v>
          </cell>
          <cell r="Y188">
            <v>3.7053505261597741</v>
          </cell>
        </row>
        <row r="189">
          <cell r="B189" t="str">
            <v>W/H Facility Cost per Sqr Feet:</v>
          </cell>
          <cell r="C189">
            <v>5.4031869746184604</v>
          </cell>
          <cell r="D189">
            <v>0.31168814750863344</v>
          </cell>
          <cell r="E189">
            <v>6.6672054307418778</v>
          </cell>
          <cell r="F189">
            <v>2.64</v>
          </cell>
          <cell r="G189">
            <v>4.6877617676131402</v>
          </cell>
          <cell r="H189">
            <v>8.2628676470588243</v>
          </cell>
          <cell r="I189">
            <v>2.7718752673574936</v>
          </cell>
          <cell r="J189">
            <v>2.4390243902439024</v>
          </cell>
          <cell r="K189">
            <v>3.82</v>
          </cell>
          <cell r="L189">
            <v>3.3718689788053902</v>
          </cell>
          <cell r="M189">
            <v>4.0999999999999996</v>
          </cell>
          <cell r="N189">
            <v>0.69</v>
          </cell>
          <cell r="O189">
            <v>2.1915325804114945</v>
          </cell>
          <cell r="P189">
            <v>2.6717968094812412</v>
          </cell>
          <cell r="Q189">
            <v>1.1499999999999999</v>
          </cell>
          <cell r="R189">
            <v>2.8362839082872671</v>
          </cell>
          <cell r="S189">
            <v>5.0248688749232153</v>
          </cell>
          <cell r="T189">
            <v>1.5674999999999999</v>
          </cell>
          <cell r="U189">
            <v>2.205170095860788</v>
          </cell>
          <cell r="V189">
            <v>4.7812049185958649</v>
          </cell>
          <cell r="W189">
            <v>2.1498595425098896</v>
          </cell>
          <cell r="X189">
            <v>1.3071918831533482</v>
          </cell>
          <cell r="Y189">
            <v>3.3718689788053946</v>
          </cell>
        </row>
        <row r="190">
          <cell r="B190" t="str">
            <v>Warehouse Cost per component:</v>
          </cell>
          <cell r="C190">
            <v>4.1083034218271581E-3</v>
          </cell>
          <cell r="D190">
            <v>3.208741995014514E-4</v>
          </cell>
          <cell r="E190">
            <v>5.1646000000000001E-3</v>
          </cell>
          <cell r="F190">
            <v>2.4406779661016952E-3</v>
          </cell>
          <cell r="G190">
            <v>8.4966882380529268E-3</v>
          </cell>
          <cell r="H190">
            <v>8.0422021388832764E-3</v>
          </cell>
          <cell r="I190">
            <v>2.3679730690747483E-3</v>
          </cell>
          <cell r="J190">
            <v>1.1684559963896976E-3</v>
          </cell>
          <cell r="K190">
            <v>2.0030217835806843E-2</v>
          </cell>
          <cell r="L190">
            <v>2.4406779661016952E-3</v>
          </cell>
          <cell r="M190">
            <v>2.2380235428571429E-3</v>
          </cell>
          <cell r="N190">
            <v>1.1999999999999999E-3</v>
          </cell>
          <cell r="O190">
            <v>2.7703387008869798E-3</v>
          </cell>
          <cell r="P190">
            <v>6.314543958820867E-3</v>
          </cell>
          <cell r="Q190">
            <v>0.02</v>
          </cell>
          <cell r="R190">
            <v>2.7820898798158358E-3</v>
          </cell>
          <cell r="S190">
            <v>3.8617768179711751E-3</v>
          </cell>
          <cell r="T190">
            <v>1.1831615190924186E-3</v>
          </cell>
          <cell r="U190">
            <v>3.2932448706991173E-3</v>
          </cell>
          <cell r="V190">
            <v>7.0342158411760671E-3</v>
          </cell>
          <cell r="W190">
            <v>1.6999999999999999E-3</v>
          </cell>
          <cell r="X190">
            <v>6.9748783009617745E-4</v>
          </cell>
          <cell r="Y190">
            <v>2.4406779661016952E-3</v>
          </cell>
        </row>
        <row r="192">
          <cell r="B192" t="str">
            <v>FACILITY (sqft/line)</v>
          </cell>
          <cell r="C192">
            <v>6500</v>
          </cell>
          <cell r="D192">
            <v>6500</v>
          </cell>
          <cell r="E192">
            <v>6500</v>
          </cell>
          <cell r="F192">
            <v>6500</v>
          </cell>
          <cell r="G192">
            <v>6500</v>
          </cell>
          <cell r="H192">
            <v>6500</v>
          </cell>
          <cell r="I192">
            <v>6500</v>
          </cell>
          <cell r="J192">
            <v>6500</v>
          </cell>
          <cell r="K192">
            <v>6500</v>
          </cell>
          <cell r="L192">
            <v>6500</v>
          </cell>
          <cell r="M192">
            <v>6500</v>
          </cell>
          <cell r="N192">
            <v>6500</v>
          </cell>
          <cell r="O192">
            <v>6500</v>
          </cell>
          <cell r="P192">
            <v>6500</v>
          </cell>
          <cell r="Q192">
            <v>6500</v>
          </cell>
          <cell r="R192">
            <v>6500</v>
          </cell>
          <cell r="S192">
            <v>6500</v>
          </cell>
          <cell r="T192">
            <v>6500</v>
          </cell>
          <cell r="U192">
            <v>6500</v>
          </cell>
          <cell r="V192">
            <v>6500</v>
          </cell>
          <cell r="W192">
            <v>6227</v>
          </cell>
          <cell r="X192">
            <v>6500</v>
          </cell>
          <cell r="Y192">
            <v>6500</v>
          </cell>
        </row>
        <row r="193">
          <cell r="B193" t="str">
            <v>Operation Supply ($/line)</v>
          </cell>
          <cell r="C193">
            <v>20000</v>
          </cell>
          <cell r="D193">
            <v>20000</v>
          </cell>
          <cell r="E193">
            <v>20000</v>
          </cell>
          <cell r="F193">
            <v>20000</v>
          </cell>
          <cell r="G193">
            <v>20000</v>
          </cell>
          <cell r="H193">
            <v>20000</v>
          </cell>
          <cell r="I193">
            <v>15000</v>
          </cell>
          <cell r="J193">
            <v>20000</v>
          </cell>
          <cell r="K193">
            <v>20000</v>
          </cell>
          <cell r="L193">
            <v>20000</v>
          </cell>
          <cell r="M193">
            <v>20000</v>
          </cell>
          <cell r="N193">
            <v>20000</v>
          </cell>
          <cell r="O193">
            <v>20000</v>
          </cell>
          <cell r="P193">
            <v>20000</v>
          </cell>
          <cell r="Q193">
            <v>20000</v>
          </cell>
          <cell r="R193">
            <v>20000</v>
          </cell>
          <cell r="S193">
            <v>20000</v>
          </cell>
          <cell r="T193">
            <v>20000</v>
          </cell>
          <cell r="U193">
            <v>20827</v>
          </cell>
          <cell r="V193">
            <v>20000</v>
          </cell>
          <cell r="W193">
            <v>20000</v>
          </cell>
          <cell r="X193">
            <v>12500</v>
          </cell>
          <cell r="Y193">
            <v>20000</v>
          </cell>
        </row>
        <row r="194">
          <cell r="B194" t="str">
            <v>Other Cost ($/line)</v>
          </cell>
          <cell r="C194">
            <v>12000</v>
          </cell>
          <cell r="D194">
            <v>12000</v>
          </cell>
          <cell r="E194">
            <v>12000</v>
          </cell>
          <cell r="F194">
            <v>12000</v>
          </cell>
          <cell r="G194">
            <v>12000</v>
          </cell>
          <cell r="H194">
            <v>12000</v>
          </cell>
          <cell r="I194">
            <v>3000</v>
          </cell>
          <cell r="J194">
            <v>12000</v>
          </cell>
          <cell r="K194">
            <v>3000</v>
          </cell>
          <cell r="L194">
            <v>12000</v>
          </cell>
          <cell r="M194">
            <v>12000</v>
          </cell>
          <cell r="N194">
            <v>12000</v>
          </cell>
          <cell r="O194">
            <v>12000</v>
          </cell>
          <cell r="P194">
            <v>12000</v>
          </cell>
          <cell r="Q194">
            <v>12000</v>
          </cell>
          <cell r="R194">
            <v>12000</v>
          </cell>
          <cell r="S194">
            <v>12000</v>
          </cell>
          <cell r="T194">
            <v>3000</v>
          </cell>
          <cell r="U194">
            <v>2080</v>
          </cell>
          <cell r="V194">
            <v>12000</v>
          </cell>
          <cell r="W194">
            <v>12000</v>
          </cell>
          <cell r="X194">
            <v>2500</v>
          </cell>
          <cell r="Y194">
            <v>12000</v>
          </cell>
        </row>
        <row r="195">
          <cell r="C195" t="str">
            <v xml:space="preserve"> </v>
          </cell>
          <cell r="G195" t="str">
            <v xml:space="preserve"> </v>
          </cell>
          <cell r="H195" t="str">
            <v xml:space="preserve"> </v>
          </cell>
          <cell r="I195" t="str">
            <v xml:space="preserve"> </v>
          </cell>
          <cell r="K195" t="str">
            <v xml:space="preserve"> </v>
          </cell>
          <cell r="M195" t="str">
            <v xml:space="preserve"> </v>
          </cell>
          <cell r="N195" t="str">
            <v xml:space="preserve"> </v>
          </cell>
          <cell r="O195" t="str">
            <v xml:space="preserve"> </v>
          </cell>
          <cell r="P195" t="str">
            <v xml:space="preserve"> </v>
          </cell>
          <cell r="R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X195" t="str">
            <v xml:space="preserve"> </v>
          </cell>
        </row>
        <row r="196">
          <cell r="B196" t="str">
            <v>MSCC Fixed Costs Modulation rate</v>
          </cell>
          <cell r="C196">
            <v>1</v>
          </cell>
          <cell r="D196">
            <v>1</v>
          </cell>
          <cell r="E196">
            <v>1</v>
          </cell>
          <cell r="F196">
            <v>1</v>
          </cell>
          <cell r="G196">
            <v>1</v>
          </cell>
          <cell r="H196">
            <v>1</v>
          </cell>
          <cell r="I196">
            <v>1</v>
          </cell>
          <cell r="J196">
            <v>1</v>
          </cell>
          <cell r="K196">
            <v>1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1</v>
          </cell>
          <cell r="S196">
            <v>1</v>
          </cell>
          <cell r="T196">
            <v>1</v>
          </cell>
          <cell r="U196">
            <v>1</v>
          </cell>
          <cell r="V196">
            <v>1</v>
          </cell>
          <cell r="W196">
            <v>1</v>
          </cell>
          <cell r="X196">
            <v>1</v>
          </cell>
          <cell r="Y196">
            <v>1</v>
          </cell>
        </row>
        <row r="197">
          <cell r="B197" t="str">
            <v xml:space="preserve">SG&amp;A </v>
          </cell>
          <cell r="C197">
            <v>4.4999999999999998E-2</v>
          </cell>
          <cell r="D197">
            <v>0.03</v>
          </cell>
          <cell r="E197">
            <v>0.05</v>
          </cell>
          <cell r="F197">
            <v>0.04</v>
          </cell>
          <cell r="G197">
            <v>4.4999999999999998E-2</v>
          </cell>
          <cell r="H197">
            <v>0.05</v>
          </cell>
          <cell r="I197">
            <v>3.5000000000000003E-2</v>
          </cell>
          <cell r="J197">
            <v>0.05</v>
          </cell>
          <cell r="K197">
            <v>0.04</v>
          </cell>
          <cell r="L197">
            <v>0.04</v>
          </cell>
          <cell r="M197">
            <v>4.4999999999999998E-2</v>
          </cell>
          <cell r="N197">
            <v>0.03</v>
          </cell>
          <cell r="O197">
            <v>0.03</v>
          </cell>
          <cell r="P197">
            <v>4.4999999999999998E-2</v>
          </cell>
          <cell r="Q197">
            <v>0.04</v>
          </cell>
          <cell r="R197">
            <v>0.03</v>
          </cell>
          <cell r="S197">
            <v>3.5000000000000003E-2</v>
          </cell>
          <cell r="T197">
            <v>0.03</v>
          </cell>
          <cell r="U197">
            <v>0.03</v>
          </cell>
          <cell r="V197">
            <v>4.4999999999999998E-2</v>
          </cell>
          <cell r="W197">
            <v>0.04</v>
          </cell>
          <cell r="X197">
            <v>0.03</v>
          </cell>
          <cell r="Y197">
            <v>0.04</v>
          </cell>
        </row>
        <row r="198">
          <cell r="A198">
            <v>31</v>
          </cell>
          <cell r="B198" t="str">
            <v>Facility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A199">
            <v>32</v>
          </cell>
          <cell r="B199" t="str">
            <v>IT</v>
          </cell>
          <cell r="C199">
            <v>8.0000000000000002E-3</v>
          </cell>
          <cell r="D199">
            <v>8.0000000000000002E-3</v>
          </cell>
          <cell r="E199">
            <v>8.0000000000000002E-3</v>
          </cell>
          <cell r="F199">
            <v>8.0000000000000002E-3</v>
          </cell>
          <cell r="G199">
            <v>8.0000000000000002E-3</v>
          </cell>
          <cell r="H199">
            <v>8.0000000000000002E-3</v>
          </cell>
          <cell r="I199">
            <v>8.0000000000000002E-3</v>
          </cell>
          <cell r="J199">
            <v>8.0000000000000002E-3</v>
          </cell>
          <cell r="K199">
            <v>8.0000000000000002E-3</v>
          </cell>
          <cell r="L199">
            <v>8.0000000000000002E-3</v>
          </cell>
          <cell r="M199">
            <v>8.0000000000000002E-3</v>
          </cell>
          <cell r="N199">
            <v>8.0000000000000002E-3</v>
          </cell>
          <cell r="O199">
            <v>8.0000000000000002E-3</v>
          </cell>
          <cell r="P199">
            <v>8.0000000000000002E-3</v>
          </cell>
          <cell r="Q199">
            <v>8.0000000000000002E-3</v>
          </cell>
          <cell r="R199">
            <v>8.0000000000000002E-3</v>
          </cell>
          <cell r="S199">
            <v>8.0000000000000002E-3</v>
          </cell>
          <cell r="T199">
            <v>8.0000000000000002E-3</v>
          </cell>
          <cell r="U199">
            <v>8.0000000000000002E-3</v>
          </cell>
          <cell r="V199">
            <v>8.0000000000000002E-3</v>
          </cell>
          <cell r="W199">
            <v>8.0000000000000002E-3</v>
          </cell>
          <cell r="X199">
            <v>8.0000000000000002E-3</v>
          </cell>
          <cell r="Y199">
            <v>8.0000000000000002E-3</v>
          </cell>
        </row>
        <row r="200">
          <cell r="A200">
            <v>33</v>
          </cell>
          <cell r="B200" t="str">
            <v>Other</v>
          </cell>
          <cell r="C200">
            <v>2E-3</v>
          </cell>
          <cell r="D200">
            <v>2E-3</v>
          </cell>
          <cell r="E200">
            <v>2E-3</v>
          </cell>
          <cell r="F200">
            <v>2E-3</v>
          </cell>
          <cell r="G200">
            <v>2E-3</v>
          </cell>
          <cell r="H200">
            <v>2E-3</v>
          </cell>
          <cell r="I200">
            <v>2E-3</v>
          </cell>
          <cell r="J200">
            <v>2E-3</v>
          </cell>
          <cell r="K200">
            <v>2E-3</v>
          </cell>
          <cell r="L200">
            <v>2E-3</v>
          </cell>
          <cell r="M200">
            <v>2E-3</v>
          </cell>
          <cell r="N200">
            <v>2E-3</v>
          </cell>
          <cell r="O200">
            <v>2E-3</v>
          </cell>
          <cell r="P200">
            <v>2E-3</v>
          </cell>
          <cell r="Q200">
            <v>2E-3</v>
          </cell>
          <cell r="R200">
            <v>2E-3</v>
          </cell>
          <cell r="S200">
            <v>2E-3</v>
          </cell>
          <cell r="T200">
            <v>2E-3</v>
          </cell>
          <cell r="U200">
            <v>2E-3</v>
          </cell>
          <cell r="V200">
            <v>2E-3</v>
          </cell>
          <cell r="W200">
            <v>2E-3</v>
          </cell>
          <cell r="X200">
            <v>2E-3</v>
          </cell>
          <cell r="Y200">
            <v>2E-3</v>
          </cell>
        </row>
        <row r="202">
          <cell r="B202" t="str">
            <v>COST OF CAPITAL</v>
          </cell>
          <cell r="C202">
            <v>0.12</v>
          </cell>
          <cell r="D202">
            <v>0.12</v>
          </cell>
          <cell r="E202">
            <v>0.12</v>
          </cell>
          <cell r="F202">
            <v>0.12</v>
          </cell>
          <cell r="G202">
            <v>0.12</v>
          </cell>
          <cell r="H202">
            <v>0.12</v>
          </cell>
          <cell r="I202">
            <v>0.12</v>
          </cell>
          <cell r="J202">
            <v>0.12</v>
          </cell>
          <cell r="K202">
            <v>0.12</v>
          </cell>
          <cell r="L202">
            <v>0.12</v>
          </cell>
          <cell r="M202">
            <v>0.12</v>
          </cell>
          <cell r="N202">
            <v>0.12</v>
          </cell>
          <cell r="O202">
            <v>0.12</v>
          </cell>
          <cell r="P202">
            <v>0.12</v>
          </cell>
          <cell r="Q202">
            <v>0.12</v>
          </cell>
          <cell r="R202">
            <v>0.12</v>
          </cell>
          <cell r="S202">
            <v>0.12</v>
          </cell>
          <cell r="T202">
            <v>0.12</v>
          </cell>
          <cell r="U202">
            <v>0.12</v>
          </cell>
          <cell r="V202">
            <v>0.12</v>
          </cell>
          <cell r="W202">
            <v>0.12</v>
          </cell>
          <cell r="X202">
            <v>0.12</v>
          </cell>
          <cell r="Y202">
            <v>0.12</v>
          </cell>
        </row>
        <row r="203">
          <cell r="B203" t="str">
            <v>Labor Margin</v>
          </cell>
          <cell r="C203">
            <v>0.2</v>
          </cell>
          <cell r="D203">
            <v>0.3</v>
          </cell>
          <cell r="E203">
            <v>0.2</v>
          </cell>
          <cell r="F203">
            <v>0.3</v>
          </cell>
          <cell r="G203">
            <v>0.2</v>
          </cell>
          <cell r="H203">
            <v>0.2</v>
          </cell>
          <cell r="I203">
            <v>0.3</v>
          </cell>
          <cell r="J203">
            <v>0.2</v>
          </cell>
          <cell r="K203">
            <v>0.3</v>
          </cell>
          <cell r="L203">
            <v>0.3</v>
          </cell>
          <cell r="M203">
            <v>0.2</v>
          </cell>
          <cell r="N203">
            <v>0.2</v>
          </cell>
          <cell r="O203">
            <v>0.3</v>
          </cell>
          <cell r="P203">
            <v>0.2</v>
          </cell>
          <cell r="Q203">
            <v>0.2</v>
          </cell>
          <cell r="R203">
            <v>0.2</v>
          </cell>
          <cell r="S203">
            <v>0.3</v>
          </cell>
          <cell r="T203">
            <v>0.3</v>
          </cell>
          <cell r="U203">
            <v>0.2</v>
          </cell>
          <cell r="V203">
            <v>0.2</v>
          </cell>
          <cell r="W203">
            <v>0.3</v>
          </cell>
          <cell r="X203">
            <v>0.3</v>
          </cell>
          <cell r="Y203">
            <v>0.3</v>
          </cell>
        </row>
        <row r="204">
          <cell r="B204" t="str">
            <v>PBIT</v>
          </cell>
          <cell r="C204">
            <v>0.04</v>
          </cell>
          <cell r="D204">
            <v>0.04</v>
          </cell>
          <cell r="E204">
            <v>0.04</v>
          </cell>
          <cell r="F204">
            <v>0.04</v>
          </cell>
          <cell r="G204">
            <v>0.04</v>
          </cell>
          <cell r="H204">
            <v>0.04</v>
          </cell>
          <cell r="I204">
            <v>0.04</v>
          </cell>
          <cell r="J204">
            <v>0.04</v>
          </cell>
          <cell r="K204">
            <v>0.04</v>
          </cell>
          <cell r="L204">
            <v>0.04</v>
          </cell>
          <cell r="M204">
            <v>0.04</v>
          </cell>
          <cell r="N204">
            <v>0.04</v>
          </cell>
          <cell r="O204">
            <v>0.04</v>
          </cell>
          <cell r="P204">
            <v>0.04</v>
          </cell>
          <cell r="Q204">
            <v>0.04</v>
          </cell>
          <cell r="R204">
            <v>0.04</v>
          </cell>
          <cell r="S204">
            <v>0.04</v>
          </cell>
          <cell r="T204">
            <v>0.04</v>
          </cell>
          <cell r="U204">
            <v>0.04</v>
          </cell>
          <cell r="V204">
            <v>0.04</v>
          </cell>
          <cell r="W204">
            <v>0.04</v>
          </cell>
          <cell r="X204">
            <v>0.04</v>
          </cell>
          <cell r="Y204">
            <v>0.04</v>
          </cell>
        </row>
        <row r="205">
          <cell r="B205" t="str">
            <v>Warranty overhead</v>
          </cell>
          <cell r="C205">
            <v>0.25</v>
          </cell>
          <cell r="D205">
            <v>0.25</v>
          </cell>
          <cell r="E205">
            <v>0.25</v>
          </cell>
          <cell r="F205">
            <v>0.25</v>
          </cell>
          <cell r="G205">
            <v>0.25</v>
          </cell>
          <cell r="H205">
            <v>0.25</v>
          </cell>
          <cell r="I205">
            <v>0.25</v>
          </cell>
          <cell r="J205">
            <v>0.25</v>
          </cell>
          <cell r="K205">
            <v>0.25</v>
          </cell>
          <cell r="L205">
            <v>0.25</v>
          </cell>
          <cell r="M205">
            <v>0.25</v>
          </cell>
          <cell r="N205">
            <v>0.25</v>
          </cell>
          <cell r="O205">
            <v>0.25</v>
          </cell>
          <cell r="P205">
            <v>0.25</v>
          </cell>
          <cell r="Q205">
            <v>0.25</v>
          </cell>
          <cell r="R205">
            <v>0.25</v>
          </cell>
          <cell r="S205">
            <v>0.25</v>
          </cell>
          <cell r="T205">
            <v>0.25</v>
          </cell>
          <cell r="U205">
            <v>0.25</v>
          </cell>
          <cell r="V205">
            <v>0.25</v>
          </cell>
          <cell r="W205">
            <v>0.25</v>
          </cell>
          <cell r="X205">
            <v>0.25</v>
          </cell>
          <cell r="Y205">
            <v>0.25</v>
          </cell>
        </row>
        <row r="207">
          <cell r="B207" t="str">
            <v>F&amp;D</v>
          </cell>
          <cell r="C207">
            <v>5.1000000000000004E-3</v>
          </cell>
          <cell r="D207">
            <v>6.6E-3</v>
          </cell>
          <cell r="E207">
            <v>1.12E-2</v>
          </cell>
          <cell r="F207">
            <v>0.01</v>
          </cell>
          <cell r="G207">
            <v>6.6E-3</v>
          </cell>
          <cell r="H207">
            <v>5.4999999999999997E-3</v>
          </cell>
          <cell r="I207">
            <v>1.9E-2</v>
          </cell>
          <cell r="J207">
            <v>4.1000000000000003E-3</v>
          </cell>
          <cell r="K207">
            <v>4.1000000000000003E-3</v>
          </cell>
          <cell r="L207">
            <v>0.01</v>
          </cell>
          <cell r="M207">
            <v>1.9E-2</v>
          </cell>
          <cell r="N207">
            <v>6.4999999999999997E-3</v>
          </cell>
          <cell r="O207">
            <v>6.6E-3</v>
          </cell>
          <cell r="P207">
            <v>6.8999999999999999E-3</v>
          </cell>
          <cell r="Q207">
            <v>4.1000000000000003E-3</v>
          </cell>
          <cell r="R207">
            <v>6.4999999999999997E-3</v>
          </cell>
          <cell r="S207">
            <v>6.8999999999999999E-3</v>
          </cell>
          <cell r="T207">
            <v>7.6E-3</v>
          </cell>
          <cell r="U207">
            <v>7.6E-3</v>
          </cell>
          <cell r="V207">
            <v>6.6E-3</v>
          </cell>
          <cell r="W207">
            <v>6.6E-3</v>
          </cell>
          <cell r="X207">
            <v>6.7000000000000002E-3</v>
          </cell>
          <cell r="Y207">
            <v>2.1999999999999999E-2</v>
          </cell>
        </row>
        <row r="208">
          <cell r="A208">
            <v>41</v>
          </cell>
          <cell r="B208" t="str">
            <v>Country</v>
          </cell>
          <cell r="C208" t="str">
            <v>USA</v>
          </cell>
          <cell r="D208" t="str">
            <v>Indonesia</v>
          </cell>
          <cell r="E208" t="str">
            <v>France</v>
          </cell>
          <cell r="F208" t="str">
            <v>Hungary</v>
          </cell>
          <cell r="G208" t="str">
            <v>USA</v>
          </cell>
          <cell r="H208" t="str">
            <v>Scotland</v>
          </cell>
          <cell r="I208" t="str">
            <v>Mexico</v>
          </cell>
          <cell r="J208" t="str">
            <v>Germany</v>
          </cell>
          <cell r="K208" t="str">
            <v>Japan</v>
          </cell>
          <cell r="L208" t="str">
            <v>Turkey</v>
          </cell>
          <cell r="M208" t="str">
            <v>Brazil</v>
          </cell>
          <cell r="N208" t="str">
            <v>Malaysia</v>
          </cell>
          <cell r="O208" t="str">
            <v>Taiwan</v>
          </cell>
          <cell r="P208" t="str">
            <v>USA</v>
          </cell>
          <cell r="Q208" t="str">
            <v>Japan</v>
          </cell>
          <cell r="R208" t="str">
            <v>Malaysia</v>
          </cell>
          <cell r="S208" t="str">
            <v>USA</v>
          </cell>
          <cell r="T208" t="str">
            <v>China</v>
          </cell>
          <cell r="U208" t="str">
            <v>China</v>
          </cell>
          <cell r="V208" t="str">
            <v>Canada</v>
          </cell>
          <cell r="W208" t="str">
            <v>Singapore</v>
          </cell>
          <cell r="X208" t="str">
            <v>China</v>
          </cell>
          <cell r="Y208" t="str">
            <v>Romania</v>
          </cell>
        </row>
        <row r="209">
          <cell r="B209" t="str">
            <v>Code</v>
          </cell>
          <cell r="C209" t="str">
            <v>01</v>
          </cell>
          <cell r="D209" t="str">
            <v>42</v>
          </cell>
          <cell r="E209" t="str">
            <v>03</v>
          </cell>
          <cell r="F209" t="str">
            <v>30</v>
          </cell>
          <cell r="G209" t="str">
            <v>01</v>
          </cell>
          <cell r="H209" t="str">
            <v>05</v>
          </cell>
          <cell r="I209" t="str">
            <v>16</v>
          </cell>
          <cell r="J209" t="str">
            <v>08</v>
          </cell>
          <cell r="K209" t="str">
            <v>40</v>
          </cell>
          <cell r="L209" t="str">
            <v>31</v>
          </cell>
          <cell r="M209" t="str">
            <v>17</v>
          </cell>
          <cell r="N209" t="str">
            <v>02</v>
          </cell>
          <cell r="O209" t="str">
            <v>41</v>
          </cell>
          <cell r="P209" t="str">
            <v>01</v>
          </cell>
          <cell r="Q209" t="str">
            <v>40</v>
          </cell>
          <cell r="R209" t="str">
            <v>02</v>
          </cell>
          <cell r="S209" t="str">
            <v>01</v>
          </cell>
          <cell r="T209" t="str">
            <v>15</v>
          </cell>
          <cell r="U209" t="str">
            <v>15</v>
          </cell>
          <cell r="V209" t="str">
            <v>01</v>
          </cell>
          <cell r="W209" t="str">
            <v>09</v>
          </cell>
          <cell r="X209" t="str">
            <v>15</v>
          </cell>
          <cell r="Y209" t="str">
            <v>24</v>
          </cell>
        </row>
        <row r="210">
          <cell r="Y210" t="str">
            <v>End of Table</v>
          </cell>
        </row>
        <row r="469">
          <cell r="E469">
            <v>6.45</v>
          </cell>
        </row>
        <row r="491">
          <cell r="B491" t="str">
            <v>VOL1</v>
          </cell>
        </row>
        <row r="492">
          <cell r="B492" t="str">
            <v>VOL2</v>
          </cell>
        </row>
        <row r="493">
          <cell r="B493" t="str">
            <v>VOL3</v>
          </cell>
        </row>
        <row r="494">
          <cell r="B494" t="str">
            <v>VOL4</v>
          </cell>
        </row>
        <row r="495">
          <cell r="B495" t="str">
            <v>VOL5</v>
          </cell>
        </row>
        <row r="496">
          <cell r="B496" t="str">
            <v>VOL6</v>
          </cell>
        </row>
        <row r="497">
          <cell r="B497" t="str">
            <v>VOL7</v>
          </cell>
        </row>
        <row r="498">
          <cell r="B498" t="str">
            <v>VOL8</v>
          </cell>
        </row>
        <row r="499">
          <cell r="B499" t="str">
            <v>VOL9</v>
          </cell>
        </row>
        <row r="500">
          <cell r="B500" t="str">
            <v>VOL10</v>
          </cell>
        </row>
        <row r="501">
          <cell r="B501" t="str">
            <v>VOL11</v>
          </cell>
        </row>
        <row r="502">
          <cell r="B502" t="str">
            <v>VOL12</v>
          </cell>
        </row>
        <row r="503">
          <cell r="B503" t="str">
            <v>VOL13</v>
          </cell>
        </row>
        <row r="504">
          <cell r="B504" t="str">
            <v>VOL14</v>
          </cell>
        </row>
        <row r="505">
          <cell r="B505" t="str">
            <v>VOL15</v>
          </cell>
        </row>
        <row r="506">
          <cell r="B506" t="str">
            <v>VOL16</v>
          </cell>
        </row>
        <row r="507">
          <cell r="B507" t="str">
            <v>VOL17</v>
          </cell>
        </row>
        <row r="508">
          <cell r="B508" t="str">
            <v>VOL18</v>
          </cell>
        </row>
        <row r="509">
          <cell r="B509" t="str">
            <v>VOL19</v>
          </cell>
        </row>
        <row r="510">
          <cell r="B510" t="str">
            <v>VOL20</v>
          </cell>
        </row>
        <row r="511">
          <cell r="B511" t="str">
            <v>VOL21</v>
          </cell>
        </row>
        <row r="512">
          <cell r="B512" t="str">
            <v>VOL22</v>
          </cell>
        </row>
        <row r="513">
          <cell r="B513" t="str">
            <v>VOL23</v>
          </cell>
        </row>
        <row r="514">
          <cell r="B514" t="str">
            <v>VOL24</v>
          </cell>
        </row>
        <row r="515">
          <cell r="B515" t="str">
            <v>VOL25</v>
          </cell>
        </row>
        <row r="516">
          <cell r="B516" t="str">
            <v>VOL26</v>
          </cell>
        </row>
        <row r="517">
          <cell r="B517" t="str">
            <v>VOL27</v>
          </cell>
        </row>
        <row r="518">
          <cell r="B518" t="str">
            <v>VOL28</v>
          </cell>
        </row>
        <row r="519">
          <cell r="B519" t="str">
            <v>VOL29</v>
          </cell>
        </row>
        <row r="520">
          <cell r="B520" t="str">
            <v>VOL30</v>
          </cell>
        </row>
      </sheetData>
      <sheetData sheetId="13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synthèse"/>
      <sheetName val="Règles de calcul"/>
      <sheetName val="détail 26-10"/>
      <sheetName val="détail 16-9 "/>
      <sheetName val="détail 30-8"/>
      <sheetName val="détail 10-7"/>
      <sheetName val="détail 5-7"/>
      <sheetName val="détail 29-6"/>
      <sheetName val="Greco cost target"/>
      <sheetName val="Purchases FWJ"/>
      <sheetName val="RevisionRound1"/>
      <sheetName val="Mth-Vana"/>
      <sheetName val="Link"/>
      <sheetName val="DOC34"/>
      <sheetName val="EDC97"/>
      <sheetName val="Base de Datos Pedidos Dolares"/>
      <sheetName val="Points"/>
      <sheetName val="Entity List"/>
      <sheetName val="Règles_de_calcul"/>
      <sheetName val="détail_26-10"/>
      <sheetName val="détail_16-9_"/>
      <sheetName val="détail_30-8"/>
      <sheetName val="détail_10-7"/>
      <sheetName val="détail_5-7"/>
      <sheetName val="détail_29-6"/>
      <sheetName val="Purchases_FWJ"/>
      <sheetName val="Greco_cost_target"/>
      <sheetName val="Base_de_Datos_Pedidos_Dolares"/>
      <sheetName val="Entity_List"/>
      <sheetName val="compo ata1"/>
      <sheetName val="DSO June 2007 23 07 07"/>
      <sheetName val="01 T"/>
      <sheetName val="03 "/>
    </sheetNames>
    <sheetDataSet>
      <sheetData sheetId="0" refreshError="1">
        <row r="2">
          <cell r="B2">
            <v>0.69</v>
          </cell>
        </row>
        <row r="13">
          <cell r="B13">
            <v>101.44927536231884</v>
          </cell>
        </row>
        <row r="14">
          <cell r="B14">
            <v>115.94202898550725</v>
          </cell>
        </row>
        <row r="15">
          <cell r="B15">
            <v>507.24637681159425</v>
          </cell>
        </row>
        <row r="16">
          <cell r="B16">
            <v>101.44927536231884</v>
          </cell>
        </row>
        <row r="18">
          <cell r="B18">
            <v>34.782608695652179</v>
          </cell>
        </row>
        <row r="19">
          <cell r="B19">
            <v>10.869565217391305</v>
          </cell>
        </row>
        <row r="21">
          <cell r="B21">
            <v>57.971014492753625</v>
          </cell>
        </row>
        <row r="23">
          <cell r="B23">
            <v>33.333333333333336</v>
          </cell>
        </row>
        <row r="24">
          <cell r="B24">
            <v>25.362318840579711</v>
          </cell>
        </row>
        <row r="27">
          <cell r="B27">
            <v>8</v>
          </cell>
        </row>
        <row r="28">
          <cell r="B28">
            <v>46</v>
          </cell>
        </row>
        <row r="29">
          <cell r="B29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C1">
            <v>12000000</v>
          </cell>
        </row>
        <row r="52">
          <cell r="AM52">
            <v>4.8337771110973273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low qty"/>
      <sheetName val="datasheet to l_q"/>
      <sheetName val="high qty"/>
      <sheetName val="datasheet to h_q"/>
    </sheetNames>
    <sheetDataSet>
      <sheetData sheetId="0" refreshError="1"/>
      <sheetData sheetId="1" refreshError="1">
        <row r="8">
          <cell r="C8">
            <v>16</v>
          </cell>
        </row>
        <row r="9">
          <cell r="C9">
            <v>29</v>
          </cell>
        </row>
        <row r="10">
          <cell r="C10">
            <v>4</v>
          </cell>
        </row>
        <row r="11">
          <cell r="C11">
            <v>3</v>
          </cell>
        </row>
        <row r="12">
          <cell r="C12">
            <v>3</v>
          </cell>
        </row>
        <row r="13">
          <cell r="C13">
            <v>3</v>
          </cell>
        </row>
        <row r="14">
          <cell r="C14">
            <v>2</v>
          </cell>
        </row>
        <row r="15">
          <cell r="C15">
            <v>5</v>
          </cell>
        </row>
        <row r="16">
          <cell r="C16">
            <v>2</v>
          </cell>
        </row>
        <row r="17">
          <cell r="C17">
            <v>2</v>
          </cell>
        </row>
        <row r="18">
          <cell r="C18">
            <v>2</v>
          </cell>
        </row>
        <row r="20">
          <cell r="C20">
            <v>2.3348214285714288</v>
          </cell>
        </row>
        <row r="31">
          <cell r="C31">
            <v>2.6696428571428572</v>
          </cell>
        </row>
        <row r="43">
          <cell r="C43">
            <v>3</v>
          </cell>
        </row>
        <row r="44">
          <cell r="C44">
            <v>3</v>
          </cell>
        </row>
        <row r="48">
          <cell r="C48">
            <v>4</v>
          </cell>
        </row>
        <row r="49">
          <cell r="C49">
            <v>2</v>
          </cell>
        </row>
        <row r="50">
          <cell r="C50">
            <v>3</v>
          </cell>
        </row>
        <row r="51">
          <cell r="C51">
            <v>2.34375</v>
          </cell>
        </row>
        <row r="62">
          <cell r="C62">
            <v>2</v>
          </cell>
        </row>
        <row r="68">
          <cell r="C68">
            <v>4</v>
          </cell>
        </row>
        <row r="69">
          <cell r="C69">
            <v>6</v>
          </cell>
        </row>
        <row r="70">
          <cell r="C70">
            <v>2</v>
          </cell>
        </row>
        <row r="71">
          <cell r="C71">
            <v>2.2083333333333335</v>
          </cell>
        </row>
        <row r="81">
          <cell r="C81">
            <v>2.4166666666666665</v>
          </cell>
        </row>
        <row r="91">
          <cell r="C91">
            <v>2.5</v>
          </cell>
        </row>
        <row r="92">
          <cell r="C92">
            <v>2.5</v>
          </cell>
        </row>
        <row r="96">
          <cell r="C96">
            <v>8</v>
          </cell>
        </row>
        <row r="97">
          <cell r="C97">
            <v>4</v>
          </cell>
        </row>
        <row r="98">
          <cell r="C98">
            <v>24</v>
          </cell>
        </row>
        <row r="99">
          <cell r="C99">
            <v>32</v>
          </cell>
        </row>
        <row r="100">
          <cell r="C100">
            <v>0.20833333333333334</v>
          </cell>
        </row>
        <row r="121">
          <cell r="C121">
            <v>8</v>
          </cell>
        </row>
        <row r="123">
          <cell r="D123">
            <v>57.18154761904762</v>
          </cell>
          <cell r="E123">
            <v>51.511904761904766</v>
          </cell>
          <cell r="F123">
            <v>44.837797619047628</v>
          </cell>
          <cell r="G123">
            <v>39.168154761904766</v>
          </cell>
          <cell r="H123">
            <v>39.556547619047628</v>
          </cell>
          <cell r="I123">
            <v>33.886904761904766</v>
          </cell>
          <cell r="J123">
            <v>27.21279761904762</v>
          </cell>
          <cell r="K123">
            <v>21.543154761904763</v>
          </cell>
          <cell r="L123">
            <v>38.177083333333336</v>
          </cell>
          <cell r="M123">
            <v>25.833333333333332</v>
          </cell>
          <cell r="N123">
            <v>16.552083333333332</v>
          </cell>
        </row>
        <row r="127">
          <cell r="D127">
            <v>61.18154761904762</v>
          </cell>
          <cell r="E127">
            <v>55.511904761904766</v>
          </cell>
          <cell r="F127">
            <v>51.83779761904762</v>
          </cell>
          <cell r="G127">
            <v>46.168154761904766</v>
          </cell>
          <cell r="H127">
            <v>43.55654761904762</v>
          </cell>
          <cell r="I127">
            <v>37.886904761904766</v>
          </cell>
          <cell r="J127">
            <v>31.21279761904762</v>
          </cell>
          <cell r="K127">
            <v>25.543154761904763</v>
          </cell>
          <cell r="L127">
            <v>39.177083333333336</v>
          </cell>
          <cell r="M127">
            <v>29.833333333333332</v>
          </cell>
          <cell r="N127">
            <v>20.552083333333332</v>
          </cell>
        </row>
        <row r="133">
          <cell r="C133">
            <v>2</v>
          </cell>
        </row>
      </sheetData>
      <sheetData sheetId="2" refreshError="1"/>
      <sheetData sheetId="3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DataInput"/>
      <sheetName val="Modifications"/>
      <sheetName val="DataBase"/>
      <sheetName val="Organization"/>
      <sheetName val="Link"/>
      <sheetName val="Glossary"/>
    </sheetNames>
    <sheetDataSet>
      <sheetData sheetId="0"/>
      <sheetData sheetId="1"/>
      <sheetData sheetId="2"/>
      <sheetData sheetId="3"/>
      <sheetData sheetId="4" refreshError="1">
        <row r="2">
          <cell r="AJ2" t="str">
            <v>Transfer Type</v>
          </cell>
          <cell r="AK2" t="str">
            <v>Int/Loc</v>
          </cell>
        </row>
        <row r="3">
          <cell r="B3" t="str">
            <v>-</v>
          </cell>
          <cell r="D3" t="str">
            <v>-</v>
          </cell>
          <cell r="F3" t="str">
            <v>-</v>
          </cell>
          <cell r="H3" t="str">
            <v>-</v>
          </cell>
          <cell r="J3" t="str">
            <v>-</v>
          </cell>
          <cell r="L3" t="str">
            <v>-</v>
          </cell>
          <cell r="P3" t="str">
            <v>-</v>
          </cell>
          <cell r="R3" t="str">
            <v>-</v>
          </cell>
          <cell r="V3" t="str">
            <v>-</v>
          </cell>
          <cell r="X3" t="str">
            <v>ARS</v>
          </cell>
          <cell r="Z3" t="str">
            <v>-</v>
          </cell>
          <cell r="AG3" t="str">
            <v>ARS</v>
          </cell>
          <cell r="AH3">
            <v>0.24293999999999999</v>
          </cell>
          <cell r="AJ3" t="str">
            <v>-</v>
          </cell>
          <cell r="AK3" t="str">
            <v>-</v>
          </cell>
        </row>
        <row r="4">
          <cell r="B4" t="str">
            <v>AFI</v>
          </cell>
          <cell r="D4" t="str">
            <v>EE</v>
          </cell>
          <cell r="F4" t="str">
            <v>A1</v>
          </cell>
          <cell r="H4" t="str">
            <v>New tool</v>
          </cell>
          <cell r="J4" t="str">
            <v>ABT</v>
          </cell>
          <cell r="L4" t="str">
            <v>CEE-CIS</v>
          </cell>
          <cell r="P4" t="str">
            <v>Direct Internationalization</v>
          </cell>
          <cell r="R4" t="str">
            <v>No to All</v>
          </cell>
          <cell r="V4" t="str">
            <v>No</v>
          </cell>
          <cell r="X4" t="str">
            <v>AUD</v>
          </cell>
          <cell r="Z4" t="str">
            <v>2002 - 01</v>
          </cell>
          <cell r="AG4" t="str">
            <v>AUD</v>
          </cell>
          <cell r="AH4">
            <v>0.56258799999999998</v>
          </cell>
          <cell r="AJ4" t="str">
            <v>Direct Internationalization</v>
          </cell>
          <cell r="AK4" t="str">
            <v>Internationalization</v>
          </cell>
        </row>
        <row r="5">
          <cell r="B5" t="str">
            <v>Agriers</v>
          </cell>
          <cell r="D5" t="str">
            <v>FC</v>
          </cell>
          <cell r="F5" t="str">
            <v>A2</v>
          </cell>
          <cell r="H5" t="str">
            <v>No tool</v>
          </cell>
          <cell r="J5" t="str">
            <v>AGP</v>
          </cell>
          <cell r="L5" t="str">
            <v>China</v>
          </cell>
          <cell r="P5" t="str">
            <v>Direct Localization</v>
          </cell>
          <cell r="R5" t="str">
            <v>No to Mfg</v>
          </cell>
          <cell r="V5" t="str">
            <v>Yes</v>
          </cell>
          <cell r="X5" t="str">
            <v>TRL</v>
          </cell>
          <cell r="Z5" t="str">
            <v>2002 - 02</v>
          </cell>
          <cell r="AG5" t="str">
            <v>BRL</v>
          </cell>
          <cell r="AH5">
            <v>0.34246599999999999</v>
          </cell>
          <cell r="AJ5" t="str">
            <v>Direct Localization</v>
          </cell>
          <cell r="AK5" t="str">
            <v>Localization</v>
          </cell>
        </row>
        <row r="6">
          <cell r="B6" t="str">
            <v>Alès</v>
          </cell>
          <cell r="D6" t="str">
            <v>FG</v>
          </cell>
          <cell r="F6" t="str">
            <v>B1</v>
          </cell>
          <cell r="H6" t="str">
            <v>Tool transfer</v>
          </cell>
          <cell r="J6" t="str">
            <v>ANJIA</v>
          </cell>
          <cell r="L6" t="str">
            <v>France</v>
          </cell>
          <cell r="P6" t="str">
            <v>IST CEE-CIS Parts</v>
          </cell>
          <cell r="R6" t="str">
            <v>No to Mfg and PE</v>
          </cell>
          <cell r="X6" t="str">
            <v>BRL</v>
          </cell>
          <cell r="Z6" t="str">
            <v>2002 - 03</v>
          </cell>
          <cell r="AG6" t="str">
            <v>CHF</v>
          </cell>
          <cell r="AH6">
            <v>0.62897999999999998</v>
          </cell>
          <cell r="AJ6" t="str">
            <v>IST CEE-CIS Parts</v>
          </cell>
          <cell r="AK6" t="str">
            <v>Internationalization</v>
          </cell>
        </row>
        <row r="7">
          <cell r="B7" t="str">
            <v>Alès-Crouzet</v>
          </cell>
          <cell r="D7" t="str">
            <v>RM</v>
          </cell>
          <cell r="F7" t="str">
            <v>B2</v>
          </cell>
          <cell r="J7" t="str">
            <v>BTT</v>
          </cell>
          <cell r="L7" t="str">
            <v>India</v>
          </cell>
          <cell r="P7" t="str">
            <v>IST China Parts</v>
          </cell>
          <cell r="R7" t="str">
            <v>No to PE</v>
          </cell>
          <cell r="X7" t="str">
            <v>CHF</v>
          </cell>
          <cell r="Z7" t="str">
            <v>2002 - 04</v>
          </cell>
          <cell r="AG7" t="str">
            <v>CLP</v>
          </cell>
          <cell r="AH7">
            <v>1.451E-3</v>
          </cell>
          <cell r="AJ7" t="str">
            <v>IST China Parts</v>
          </cell>
          <cell r="AK7" t="str">
            <v>Internationalization</v>
          </cell>
        </row>
        <row r="8">
          <cell r="B8" t="str">
            <v>Algeria</v>
          </cell>
          <cell r="D8" t="str">
            <v>SE</v>
          </cell>
          <cell r="F8" t="str">
            <v>B3</v>
          </cell>
          <cell r="J8" t="str">
            <v>CLIPSAL</v>
          </cell>
          <cell r="L8" t="str">
            <v>Mexico &amp; Costa Rica</v>
          </cell>
          <cell r="P8" t="str">
            <v>IST India Parts</v>
          </cell>
          <cell r="R8" t="str">
            <v>No to Purch</v>
          </cell>
          <cell r="X8" t="str">
            <v>CLP</v>
          </cell>
          <cell r="Z8" t="str">
            <v>2002 - 05</v>
          </cell>
          <cell r="AG8" t="str">
            <v>CNY</v>
          </cell>
          <cell r="AH8">
            <v>9.7919000000000006E-2</v>
          </cell>
          <cell r="AJ8" t="str">
            <v>IST India Parts</v>
          </cell>
          <cell r="AK8" t="str">
            <v>Internationalization</v>
          </cell>
        </row>
        <row r="9">
          <cell r="B9" t="str">
            <v>Alombard</v>
          </cell>
          <cell r="F9" t="str">
            <v>B4</v>
          </cell>
          <cell r="J9" t="str">
            <v>CROUZET ALES</v>
          </cell>
          <cell r="L9" t="str">
            <v>Middle East, Africa &amp; South America</v>
          </cell>
          <cell r="P9" t="str">
            <v>Internationalization with IST CEE-CIS</v>
          </cell>
          <cell r="R9" t="str">
            <v>No to Purch and Mfg</v>
          </cell>
          <cell r="X9" t="str">
            <v>CNY</v>
          </cell>
          <cell r="Z9" t="str">
            <v>2002 - 06</v>
          </cell>
          <cell r="AG9" t="str">
            <v>CZK</v>
          </cell>
          <cell r="AH9">
            <v>3.5540000000000002E-2</v>
          </cell>
          <cell r="AJ9" t="str">
            <v>Internationalization with IST CEE-CIS</v>
          </cell>
          <cell r="AK9" t="str">
            <v>Internationalization</v>
          </cell>
        </row>
        <row r="10">
          <cell r="B10" t="str">
            <v>Andover</v>
          </cell>
          <cell r="F10" t="str">
            <v>C1</v>
          </cell>
          <cell r="J10" t="str">
            <v>CROUZET VALENCE</v>
          </cell>
          <cell r="L10" t="str">
            <v>Other Western Europe</v>
          </cell>
          <cell r="P10" t="str">
            <v>Internationalization with IST China</v>
          </cell>
          <cell r="R10" t="str">
            <v>No to Purch and PE</v>
          </cell>
          <cell r="X10" t="str">
            <v>CZK</v>
          </cell>
          <cell r="Z10" t="str">
            <v>2002 - 07</v>
          </cell>
          <cell r="AG10" t="str">
            <v>DKK</v>
          </cell>
          <cell r="AH10">
            <v>0.13461200000000001</v>
          </cell>
          <cell r="AJ10" t="str">
            <v>Internationalization with IST China</v>
          </cell>
          <cell r="AK10" t="str">
            <v>Internationalization</v>
          </cell>
        </row>
        <row r="11">
          <cell r="B11" t="str">
            <v>APOD</v>
          </cell>
          <cell r="F11" t="str">
            <v>C2</v>
          </cell>
          <cell r="J11" t="str">
            <v>CROUZET VALENCE</v>
          </cell>
          <cell r="L11" t="str">
            <v>Pacific &amp; North East Asia</v>
          </cell>
          <cell r="P11" t="str">
            <v>Internationalization with IST India</v>
          </cell>
          <cell r="R11" t="str">
            <v>Yes to All</v>
          </cell>
          <cell r="X11" t="str">
            <v>DKK</v>
          </cell>
          <cell r="Z11" t="str">
            <v>2002 - 08</v>
          </cell>
          <cell r="AG11" t="str">
            <v>EGP</v>
          </cell>
          <cell r="AH11">
            <v>0.133017</v>
          </cell>
          <cell r="AJ11" t="str">
            <v>Internationalization with IST India</v>
          </cell>
          <cell r="AK11" t="str">
            <v>Internationalization</v>
          </cell>
        </row>
        <row r="12">
          <cell r="B12" t="str">
            <v>Arenzano</v>
          </cell>
          <cell r="F12" t="str">
            <v>D1</v>
          </cell>
          <cell r="J12" t="str">
            <v>CROUZET VALENCE</v>
          </cell>
          <cell r="L12" t="str">
            <v>South East Asia</v>
          </cell>
          <cell r="P12" t="str">
            <v>Localization with IST CEE-CIS</v>
          </cell>
          <cell r="R12" t="str">
            <v>Yes to Mfg</v>
          </cell>
          <cell r="X12" t="str">
            <v>EGP</v>
          </cell>
          <cell r="Z12" t="str">
            <v>2002 - 09</v>
          </cell>
          <cell r="AG12" t="str">
            <v>EUR</v>
          </cell>
          <cell r="AH12">
            <v>1</v>
          </cell>
          <cell r="AJ12" t="str">
            <v>Localization with IST CEE-CIS</v>
          </cell>
          <cell r="AK12" t="str">
            <v>Localization</v>
          </cell>
        </row>
        <row r="13">
          <cell r="B13" t="str">
            <v>Argentina</v>
          </cell>
          <cell r="F13" t="str">
            <v>D2</v>
          </cell>
          <cell r="J13" t="str">
            <v>CROUZET BOURGUEBUS</v>
          </cell>
          <cell r="L13" t="str">
            <v>Spain &amp; Portugal</v>
          </cell>
          <cell r="P13" t="str">
            <v>Localization with IST China</v>
          </cell>
          <cell r="R13" t="str">
            <v>Yes to Mfg and PE</v>
          </cell>
          <cell r="X13" t="str">
            <v>EUR</v>
          </cell>
          <cell r="Z13" t="str">
            <v>2002 - 10</v>
          </cell>
          <cell r="AG13" t="str">
            <v>GBP</v>
          </cell>
          <cell r="AH13">
            <v>1.4831289999999999</v>
          </cell>
          <cell r="AJ13" t="str">
            <v>Localization with IST China</v>
          </cell>
          <cell r="AK13" t="str">
            <v>Localization</v>
          </cell>
        </row>
        <row r="14">
          <cell r="B14" t="str">
            <v>AS</v>
          </cell>
          <cell r="F14" t="str">
            <v>E1</v>
          </cell>
          <cell r="J14" t="str">
            <v>CROUZET PUEBLA</v>
          </cell>
          <cell r="L14" t="str">
            <v>USA &amp; Canada</v>
          </cell>
          <cell r="P14" t="str">
            <v>Localization with IST India</v>
          </cell>
          <cell r="R14" t="str">
            <v>Yes to PE</v>
          </cell>
          <cell r="X14" t="str">
            <v>GBP</v>
          </cell>
          <cell r="Z14" t="str">
            <v>2002 - 11</v>
          </cell>
          <cell r="AG14" t="str">
            <v>HKD</v>
          </cell>
          <cell r="AH14">
            <v>9.7477999999999995E-2</v>
          </cell>
          <cell r="AJ14" t="str">
            <v>Localization with IST India</v>
          </cell>
          <cell r="AK14" t="str">
            <v>Localization</v>
          </cell>
        </row>
        <row r="15">
          <cell r="B15" t="str">
            <v>Asheville</v>
          </cell>
          <cell r="F15" t="str">
            <v>E2</v>
          </cell>
          <cell r="J15" t="str">
            <v>CROUZET</v>
          </cell>
          <cell r="R15" t="str">
            <v>Yes to Purch</v>
          </cell>
          <cell r="X15" t="str">
            <v>HKD</v>
          </cell>
          <cell r="Z15" t="str">
            <v>2002 - 12</v>
          </cell>
          <cell r="AG15" t="str">
            <v>HUF</v>
          </cell>
          <cell r="AH15">
            <v>3.8370000000000001E-3</v>
          </cell>
        </row>
        <row r="16">
          <cell r="B16" t="str">
            <v>AUTOMATION</v>
          </cell>
          <cell r="F16" t="str">
            <v>E3</v>
          </cell>
          <cell r="J16" t="str">
            <v>Control components</v>
          </cell>
          <cell r="R16" t="str">
            <v>Yes to Purch and Mfg</v>
          </cell>
          <cell r="X16" t="str">
            <v>HUF</v>
          </cell>
          <cell r="Z16" t="str">
            <v>2003 - 01</v>
          </cell>
          <cell r="AG16" t="str">
            <v>IDR</v>
          </cell>
          <cell r="AH16">
            <v>8.2999999999999998E-5</v>
          </cell>
        </row>
        <row r="17">
          <cell r="B17" t="str">
            <v>BA</v>
          </cell>
          <cell r="F17" t="str">
            <v>E4</v>
          </cell>
          <cell r="J17" t="str">
            <v>DIGITAL</v>
          </cell>
          <cell r="R17" t="str">
            <v>Yes to Purch and PE</v>
          </cell>
          <cell r="X17" t="str">
            <v>IDR</v>
          </cell>
          <cell r="Z17" t="str">
            <v>2003 - 02</v>
          </cell>
          <cell r="AG17" t="str">
            <v>ILS</v>
          </cell>
          <cell r="AH17">
            <v>0.17843100000000001</v>
          </cell>
        </row>
        <row r="18">
          <cell r="B18" t="str">
            <v>BCV Technologies</v>
          </cell>
          <cell r="F18" t="str">
            <v>E5</v>
          </cell>
          <cell r="J18" t="str">
            <v>DIT</v>
          </cell>
          <cell r="X18" t="str">
            <v>ILS</v>
          </cell>
          <cell r="Z18" t="str">
            <v>2003 - 03</v>
          </cell>
          <cell r="AG18" t="str">
            <v>INR</v>
          </cell>
          <cell r="AH18">
            <v>1.7115999999999999E-2</v>
          </cell>
        </row>
        <row r="19">
          <cell r="B19" t="str">
            <v>Beaumont le Roger</v>
          </cell>
          <cell r="F19" t="str">
            <v>E6</v>
          </cell>
          <cell r="J19" t="str">
            <v>EMV</v>
          </cell>
          <cell r="X19" t="str">
            <v>INR</v>
          </cell>
          <cell r="Z19" t="str">
            <v>2003 - 04</v>
          </cell>
          <cell r="AG19" t="str">
            <v>JPY</v>
          </cell>
          <cell r="AH19">
            <v>6.6059999999999999E-3</v>
          </cell>
        </row>
        <row r="20">
          <cell r="B20" t="str">
            <v>BEI</v>
          </cell>
          <cell r="F20" t="str">
            <v>F2</v>
          </cell>
          <cell r="J20" t="str">
            <v>ENSYS</v>
          </cell>
          <cell r="X20" t="str">
            <v>JPY</v>
          </cell>
          <cell r="Z20" t="str">
            <v>2003 - 05</v>
          </cell>
          <cell r="AG20" t="str">
            <v>KRW</v>
          </cell>
          <cell r="AH20">
            <v>8.2100000000000001E-4</v>
          </cell>
        </row>
        <row r="21">
          <cell r="B21" t="str">
            <v>Berger Lahr</v>
          </cell>
          <cell r="F21" t="str">
            <v>F3</v>
          </cell>
          <cell r="J21" t="str">
            <v>Equipment</v>
          </cell>
          <cell r="X21" t="str">
            <v>KRW</v>
          </cell>
          <cell r="Z21" t="str">
            <v>2003 - 06</v>
          </cell>
          <cell r="AG21" t="str">
            <v>LBP</v>
          </cell>
          <cell r="AH21">
            <v>5.0500000000000002E-4</v>
          </cell>
        </row>
        <row r="22">
          <cell r="B22" t="str">
            <v>Bourguebus</v>
          </cell>
          <cell r="F22" t="str">
            <v>F4</v>
          </cell>
          <cell r="J22" t="str">
            <v>FLV and BA</v>
          </cell>
          <cell r="X22" t="str">
            <v>LBP</v>
          </cell>
          <cell r="Z22" t="str">
            <v>2003 - 07</v>
          </cell>
          <cell r="AG22" t="str">
            <v>MXN</v>
          </cell>
          <cell r="AH22">
            <v>6.8492999999999998E-2</v>
          </cell>
        </row>
        <row r="23">
          <cell r="B23" t="str">
            <v>Brasil</v>
          </cell>
          <cell r="F23" t="str">
            <v>F5</v>
          </cell>
          <cell r="J23" t="str">
            <v>HEC</v>
          </cell>
          <cell r="X23" t="str">
            <v>MXN</v>
          </cell>
          <cell r="Z23" t="str">
            <v>2003 - 08</v>
          </cell>
          <cell r="AG23" t="str">
            <v>NOK</v>
          </cell>
          <cell r="AH23">
            <v>0.122081</v>
          </cell>
        </row>
        <row r="24">
          <cell r="B24" t="str">
            <v>Brasil Guararema</v>
          </cell>
          <cell r="F24" t="str">
            <v>F6</v>
          </cell>
          <cell r="J24" t="str">
            <v>HMI</v>
          </cell>
          <cell r="X24" t="str">
            <v>MYR</v>
          </cell>
          <cell r="Z24" t="str">
            <v>2003 - 09</v>
          </cell>
          <cell r="AG24" t="str">
            <v>NZD</v>
          </cell>
          <cell r="AH24">
            <v>0.484848</v>
          </cell>
        </row>
        <row r="25">
          <cell r="B25" t="str">
            <v>Brasil Jurubatuba</v>
          </cell>
          <cell r="F25" t="str">
            <v>G1</v>
          </cell>
          <cell r="J25" t="str">
            <v>IA</v>
          </cell>
          <cell r="X25" t="str">
            <v>NOK</v>
          </cell>
          <cell r="Z25" t="str">
            <v>2003 - 10</v>
          </cell>
          <cell r="AG25" t="str">
            <v>PHP</v>
          </cell>
          <cell r="AH25">
            <v>1.5382E-2</v>
          </cell>
        </row>
        <row r="26">
          <cell r="B26" t="str">
            <v>Brasil Sumare</v>
          </cell>
          <cell r="F26" t="str">
            <v>G2</v>
          </cell>
          <cell r="J26" t="str">
            <v>IAC</v>
          </cell>
          <cell r="X26" t="str">
            <v>NZD</v>
          </cell>
          <cell r="Z26" t="str">
            <v>2003 - 11</v>
          </cell>
          <cell r="AG26" t="str">
            <v>PLN</v>
          </cell>
          <cell r="AH26">
            <v>0.26058599999999998</v>
          </cell>
        </row>
        <row r="27">
          <cell r="B27" t="str">
            <v>Bukowno</v>
          </cell>
          <cell r="F27" t="str">
            <v>G3</v>
          </cell>
          <cell r="J27" t="str">
            <v>Instal. Syst and Material</v>
          </cell>
          <cell r="X27" t="str">
            <v>PHP</v>
          </cell>
          <cell r="Z27" t="str">
            <v>2003 - 12</v>
          </cell>
          <cell r="AG27" t="str">
            <v>ROL</v>
          </cell>
          <cell r="AH27">
            <v>2.8191000000000001E-2</v>
          </cell>
        </row>
        <row r="28">
          <cell r="B28" t="str">
            <v>CAHL</v>
          </cell>
          <cell r="F28" t="str">
            <v>G4</v>
          </cell>
          <cell r="J28" t="str">
            <v>Kavlico</v>
          </cell>
          <cell r="X28" t="str">
            <v>PLN</v>
          </cell>
          <cell r="Z28" t="str">
            <v>2004 - 01</v>
          </cell>
          <cell r="AG28" t="str">
            <v>RUR</v>
          </cell>
          <cell r="AH28">
            <v>2.9127937999999999E-2</v>
          </cell>
        </row>
        <row r="29">
          <cell r="B29" t="str">
            <v>Cairo</v>
          </cell>
          <cell r="F29" t="str">
            <v>G5</v>
          </cell>
          <cell r="J29" t="str">
            <v>LEC</v>
          </cell>
          <cell r="X29" t="str">
            <v>ROL</v>
          </cell>
          <cell r="Z29" t="str">
            <v>2004 - 02</v>
          </cell>
          <cell r="AG29" t="str">
            <v>SGD</v>
          </cell>
          <cell r="AH29">
            <v>0.47590700000000002</v>
          </cell>
        </row>
        <row r="30">
          <cell r="B30" t="str">
            <v>Canada</v>
          </cell>
          <cell r="F30" t="str">
            <v>G6</v>
          </cell>
          <cell r="J30" t="str">
            <v>MAC</v>
          </cell>
          <cell r="X30" t="str">
            <v>RUR</v>
          </cell>
          <cell r="Z30" t="str">
            <v>2004 - 03</v>
          </cell>
          <cell r="AG30" t="str">
            <v>SKK</v>
          </cell>
          <cell r="AH30">
            <v>2.7612999999999999E-2</v>
          </cell>
        </row>
        <row r="31">
          <cell r="B31" t="str">
            <v>Caravelle</v>
          </cell>
          <cell r="F31" t="str">
            <v>H1</v>
          </cell>
          <cell r="J31" t="str">
            <v>MGE</v>
          </cell>
          <cell r="X31" t="str">
            <v>SGD</v>
          </cell>
          <cell r="Z31" t="str">
            <v>2004 - 04</v>
          </cell>
          <cell r="AG31" t="str">
            <v>THB</v>
          </cell>
          <cell r="AH31">
            <v>2.1007999999999999E-2</v>
          </cell>
        </row>
        <row r="32">
          <cell r="B32" t="str">
            <v>Carros</v>
          </cell>
          <cell r="F32" t="str">
            <v>H2</v>
          </cell>
          <cell r="J32" t="str">
            <v>MVP</v>
          </cell>
          <cell r="X32" t="str">
            <v>SKK</v>
          </cell>
          <cell r="Z32" t="str">
            <v>2004 - 05</v>
          </cell>
          <cell r="AG32" t="str">
            <v>TRL</v>
          </cell>
          <cell r="AH32">
            <v>0.50697099999999995</v>
          </cell>
        </row>
        <row r="33">
          <cell r="B33" t="str">
            <v>Cedar Rapids</v>
          </cell>
          <cell r="F33" t="str">
            <v>K1</v>
          </cell>
          <cell r="J33" t="str">
            <v>MVS</v>
          </cell>
          <cell r="X33" t="str">
            <v>USD</v>
          </cell>
          <cell r="Z33" t="str">
            <v>2004 - 06</v>
          </cell>
          <cell r="AG33" t="str">
            <v>USD</v>
          </cell>
          <cell r="AH33">
            <v>0.75650099999999998</v>
          </cell>
        </row>
        <row r="34">
          <cell r="B34" t="str">
            <v>Chennai</v>
          </cell>
          <cell r="F34" t="str">
            <v>K2</v>
          </cell>
          <cell r="J34" t="str">
            <v>MW</v>
          </cell>
          <cell r="Z34" t="str">
            <v>2004 - 07</v>
          </cell>
          <cell r="AG34" t="str">
            <v>ZAR</v>
          </cell>
          <cell r="AH34">
            <v>0.101536</v>
          </cell>
        </row>
        <row r="35">
          <cell r="B35" t="str">
            <v>Chicago</v>
          </cell>
          <cell r="F35" t="str">
            <v>K3</v>
          </cell>
          <cell r="J35" t="str">
            <v>Motion and Drives</v>
          </cell>
          <cell r="Z35" t="str">
            <v>2004 - 08</v>
          </cell>
        </row>
        <row r="36">
          <cell r="B36" t="str">
            <v>China</v>
          </cell>
          <cell r="F36" t="str">
            <v>K4</v>
          </cell>
          <cell r="J36" t="str">
            <v>Numeric control</v>
          </cell>
          <cell r="Z36" t="str">
            <v>2004 - 09</v>
          </cell>
        </row>
        <row r="37">
          <cell r="B37" t="str">
            <v>Clipsal</v>
          </cell>
          <cell r="F37" t="str">
            <v>L3</v>
          </cell>
          <cell r="J37" t="str">
            <v>PCI</v>
          </cell>
          <cell r="Z37" t="str">
            <v>2004 - 10</v>
          </cell>
        </row>
        <row r="38">
          <cell r="B38" t="str">
            <v>Clipsal SA</v>
          </cell>
          <cell r="F38" t="str">
            <v>L5</v>
          </cell>
          <cell r="J38" t="str">
            <v>PCP</v>
          </cell>
          <cell r="Z38" t="str">
            <v>2004 - 11</v>
          </cell>
        </row>
        <row r="39">
          <cell r="B39" t="str">
            <v>CMHL</v>
          </cell>
          <cell r="F39" t="str">
            <v>M1</v>
          </cell>
          <cell r="J39" t="str">
            <v>PDL</v>
          </cell>
          <cell r="Z39" t="str">
            <v>2004 - 12</v>
          </cell>
        </row>
        <row r="40">
          <cell r="B40" t="str">
            <v>CMK</v>
          </cell>
          <cell r="F40" t="str">
            <v>M2</v>
          </cell>
          <cell r="J40" t="str">
            <v>PMC</v>
          </cell>
          <cell r="Z40" t="str">
            <v>2005 - 01</v>
          </cell>
        </row>
        <row r="41">
          <cell r="B41" t="str">
            <v>Columbia</v>
          </cell>
          <cell r="F41" t="str">
            <v>P1</v>
          </cell>
          <cell r="J41" t="str">
            <v>Plug-in</v>
          </cell>
          <cell r="Z41" t="str">
            <v>2005 - 02</v>
          </cell>
        </row>
        <row r="42">
          <cell r="B42" t="str">
            <v>Conlog</v>
          </cell>
          <cell r="F42" t="str">
            <v>P2</v>
          </cell>
          <cell r="J42" t="str">
            <v>SBS</v>
          </cell>
          <cell r="Z42" t="str">
            <v>2005 - 03</v>
          </cell>
        </row>
        <row r="43">
          <cell r="B43" t="str">
            <v>Crouzet</v>
          </cell>
          <cell r="F43" t="str">
            <v>Q1</v>
          </cell>
          <cell r="J43" t="str">
            <v>SNB</v>
          </cell>
          <cell r="Z43" t="str">
            <v>2005 - 04</v>
          </cell>
        </row>
        <row r="44">
          <cell r="B44" t="str">
            <v>CST</v>
          </cell>
          <cell r="F44" t="str">
            <v>Q3</v>
          </cell>
          <cell r="J44" t="str">
            <v>STIE</v>
          </cell>
          <cell r="Z44" t="str">
            <v>2005 - 05</v>
          </cell>
        </row>
        <row r="45">
          <cell r="B45" t="str">
            <v>Dallas</v>
          </cell>
          <cell r="F45" t="str">
            <v>R1</v>
          </cell>
          <cell r="J45" t="str">
            <v>TAC</v>
          </cell>
          <cell r="Z45" t="str">
            <v>2005 - 06</v>
          </cell>
        </row>
        <row r="46">
          <cell r="B46" t="str">
            <v>Delta (Arlov)</v>
          </cell>
          <cell r="F46" t="str">
            <v>R3</v>
          </cell>
          <cell r="J46" t="str">
            <v>VDI</v>
          </cell>
          <cell r="Z46" t="str">
            <v>2005 - 07</v>
          </cell>
        </row>
        <row r="47">
          <cell r="B47" t="str">
            <v>DGS</v>
          </cell>
          <cell r="F47" t="str">
            <v>R4</v>
          </cell>
          <cell r="J47" t="str">
            <v>VVD</v>
          </cell>
          <cell r="Z47" t="str">
            <v>2005 - 08</v>
          </cell>
        </row>
        <row r="48">
          <cell r="B48" t="str">
            <v>Dijon Epirey</v>
          </cell>
          <cell r="F48" t="str">
            <v>R6</v>
          </cell>
          <cell r="J48" t="str">
            <v>WPF</v>
          </cell>
          <cell r="Z48" t="str">
            <v>2005 - 09</v>
          </cell>
        </row>
        <row r="49">
          <cell r="B49" t="str">
            <v>Dijon Longvic</v>
          </cell>
          <cell r="F49" t="str">
            <v>S1</v>
          </cell>
          <cell r="J49" t="str">
            <v>Wiring Devices</v>
          </cell>
          <cell r="Z49" t="str">
            <v>2005 - 10</v>
          </cell>
        </row>
        <row r="50">
          <cell r="B50" t="str">
            <v>Dinel</v>
          </cell>
          <cell r="F50" t="str">
            <v>S2</v>
          </cell>
          <cell r="Z50" t="str">
            <v>2005 - 11</v>
          </cell>
        </row>
        <row r="51">
          <cell r="B51" t="str">
            <v>Edmonton</v>
          </cell>
          <cell r="F51" t="str">
            <v>U1</v>
          </cell>
          <cell r="Z51" t="str">
            <v>2005 - 12</v>
          </cell>
        </row>
        <row r="52">
          <cell r="B52" t="str">
            <v>EFI</v>
          </cell>
          <cell r="F52" t="str">
            <v>U2</v>
          </cell>
          <cell r="Z52" t="str">
            <v>2006 - 01</v>
          </cell>
        </row>
        <row r="53">
          <cell r="B53" t="str">
            <v>Egypt</v>
          </cell>
          <cell r="F53" t="str">
            <v>U3</v>
          </cell>
          <cell r="Z53" t="str">
            <v>2006 - 02</v>
          </cell>
        </row>
        <row r="54">
          <cell r="B54" t="str">
            <v>El Paso</v>
          </cell>
          <cell r="F54" t="str">
            <v>U4</v>
          </cell>
          <cell r="Z54" t="str">
            <v>2006 - 03</v>
          </cell>
        </row>
        <row r="55">
          <cell r="B55" t="str">
            <v>ELARI</v>
          </cell>
          <cell r="F55" t="str">
            <v>U5</v>
          </cell>
          <cell r="Z55" t="str">
            <v>2006 - 04</v>
          </cell>
        </row>
        <row r="56">
          <cell r="B56" t="str">
            <v>Elau</v>
          </cell>
          <cell r="F56" t="str">
            <v>U6</v>
          </cell>
          <cell r="Z56" t="str">
            <v>2006 - 05</v>
          </cell>
        </row>
        <row r="57">
          <cell r="B57" t="str">
            <v>ELDA-ELTRA</v>
          </cell>
          <cell r="F57" t="str">
            <v>U7</v>
          </cell>
          <cell r="Z57" t="str">
            <v>2006 - 06</v>
          </cell>
        </row>
        <row r="58">
          <cell r="B58" t="str">
            <v>ELJO</v>
          </cell>
          <cell r="F58" t="str">
            <v>U8</v>
          </cell>
          <cell r="Z58" t="str">
            <v>2006 - 07</v>
          </cell>
        </row>
        <row r="59">
          <cell r="B59" t="str">
            <v>ELKO</v>
          </cell>
          <cell r="F59" t="str">
            <v>U9</v>
          </cell>
          <cell r="Z59" t="str">
            <v>2006 - 08</v>
          </cell>
        </row>
        <row r="60">
          <cell r="B60" t="str">
            <v>Sondershausen Elso</v>
          </cell>
          <cell r="F60" t="str">
            <v>W1</v>
          </cell>
          <cell r="Z60" t="str">
            <v>2006 - 09</v>
          </cell>
        </row>
        <row r="61">
          <cell r="B61" t="str">
            <v>Ensys</v>
          </cell>
          <cell r="F61" t="str">
            <v>W2</v>
          </cell>
          <cell r="Z61" t="str">
            <v>2006 - 10</v>
          </cell>
        </row>
        <row r="62">
          <cell r="B62" t="str">
            <v>EOCR Korea</v>
          </cell>
          <cell r="F62" t="str">
            <v>W3</v>
          </cell>
          <cell r="Z62" t="str">
            <v>2006 - 11</v>
          </cell>
        </row>
        <row r="63">
          <cell r="B63" t="str">
            <v>EOD</v>
          </cell>
          <cell r="F63" t="str">
            <v>W4</v>
          </cell>
          <cell r="Z63" t="str">
            <v>2006 - 12</v>
          </cell>
        </row>
        <row r="64">
          <cell r="B64" t="str">
            <v>Equipements MT</v>
          </cell>
          <cell r="Z64" t="str">
            <v>2007 - 01</v>
          </cell>
        </row>
        <row r="65">
          <cell r="B65" t="str">
            <v>ES ID</v>
          </cell>
          <cell r="Z65" t="str">
            <v>2007 - 02</v>
          </cell>
        </row>
        <row r="66">
          <cell r="B66" t="str">
            <v>Espagnac</v>
          </cell>
          <cell r="Z66" t="str">
            <v>2007 - 03</v>
          </cell>
        </row>
        <row r="67">
          <cell r="B67" t="str">
            <v>Feller</v>
          </cell>
          <cell r="Z67" t="str">
            <v>2007 - 04</v>
          </cell>
        </row>
        <row r="68">
          <cell r="B68" t="str">
            <v>FLV-PCP</v>
          </cell>
          <cell r="Z68" t="str">
            <v>2007 - 05</v>
          </cell>
        </row>
        <row r="69">
          <cell r="B69" t="str">
            <v>Fr. Transfo</v>
          </cell>
          <cell r="Z69" t="str">
            <v>2007 - 06</v>
          </cell>
        </row>
        <row r="70">
          <cell r="B70" t="str">
            <v>FT</v>
          </cell>
          <cell r="Z70" t="str">
            <v>2007 - 07</v>
          </cell>
        </row>
        <row r="71">
          <cell r="B71" t="str">
            <v>Grinon</v>
          </cell>
          <cell r="Z71" t="str">
            <v>2007 - 08</v>
          </cell>
        </row>
        <row r="72">
          <cell r="B72" t="str">
            <v>Himel Capellades</v>
          </cell>
          <cell r="Z72" t="str">
            <v>2007 - 09</v>
          </cell>
        </row>
        <row r="73">
          <cell r="B73" t="str">
            <v>Himel Molins de Rei</v>
          </cell>
          <cell r="Z73" t="str">
            <v>2007 - 10</v>
          </cell>
        </row>
        <row r="74">
          <cell r="B74" t="str">
            <v>Huntington</v>
          </cell>
          <cell r="Z74" t="str">
            <v>2007 - 11</v>
          </cell>
        </row>
        <row r="75">
          <cell r="B75" t="str">
            <v>Hyde Park</v>
          </cell>
          <cell r="Z75" t="str">
            <v>2007 - 12</v>
          </cell>
        </row>
        <row r="76">
          <cell r="B76" t="str">
            <v>Hyderabad</v>
          </cell>
          <cell r="Z76" t="str">
            <v>2008 - 01</v>
          </cell>
        </row>
        <row r="77">
          <cell r="B77" t="str">
            <v>IA</v>
          </cell>
          <cell r="Z77" t="str">
            <v>2008 - 02</v>
          </cell>
        </row>
        <row r="78">
          <cell r="B78" t="str">
            <v>IIOD</v>
          </cell>
          <cell r="Z78" t="str">
            <v>2008 - 03</v>
          </cell>
        </row>
        <row r="79">
          <cell r="B79" t="str">
            <v>India</v>
          </cell>
          <cell r="Z79" t="str">
            <v>2008 - 04</v>
          </cell>
        </row>
        <row r="80">
          <cell r="B80" t="str">
            <v>Infra +</v>
          </cell>
          <cell r="Z80" t="str">
            <v>2008 - 05</v>
          </cell>
        </row>
        <row r="81">
          <cell r="B81" t="str">
            <v>Inofyta</v>
          </cell>
          <cell r="Z81" t="str">
            <v>2008 - 06</v>
          </cell>
        </row>
        <row r="82">
          <cell r="B82" t="str">
            <v>Integral Technologies</v>
          </cell>
          <cell r="Z82" t="str">
            <v>2008 - 07</v>
          </cell>
        </row>
        <row r="83">
          <cell r="B83" t="str">
            <v>Iran</v>
          </cell>
          <cell r="Z83" t="str">
            <v>2008 - 08</v>
          </cell>
        </row>
        <row r="84">
          <cell r="B84" t="str">
            <v>ISC</v>
          </cell>
          <cell r="Z84" t="str">
            <v>2008 - 09</v>
          </cell>
        </row>
        <row r="85">
          <cell r="B85" t="str">
            <v>IVALO</v>
          </cell>
          <cell r="Z85" t="str">
            <v>2008 - 10</v>
          </cell>
        </row>
        <row r="86">
          <cell r="B86" t="str">
            <v>Japan Izumi</v>
          </cell>
          <cell r="Z86" t="str">
            <v>2008 - 11</v>
          </cell>
        </row>
        <row r="87">
          <cell r="B87" t="str">
            <v>JO-EL - Electric</v>
          </cell>
          <cell r="Z87" t="str">
            <v>2008 - 12</v>
          </cell>
        </row>
        <row r="88">
          <cell r="B88" t="str">
            <v>Juno</v>
          </cell>
        </row>
        <row r="89">
          <cell r="B89" t="str">
            <v>Kavlico</v>
          </cell>
        </row>
        <row r="90">
          <cell r="B90" t="str">
            <v>LAURITZ KNUDSEN</v>
          </cell>
        </row>
        <row r="91">
          <cell r="B91" t="str">
            <v>Lavergne</v>
          </cell>
        </row>
        <row r="92">
          <cell r="B92" t="str">
            <v>Le Vaudreuil</v>
          </cell>
        </row>
        <row r="93">
          <cell r="B93" t="str">
            <v>Leeds</v>
          </cell>
        </row>
        <row r="94">
          <cell r="B94" t="str">
            <v>Lexel - STROMFORS</v>
          </cell>
        </row>
        <row r="95">
          <cell r="B95" t="str">
            <v>LEXEL Fabrika</v>
          </cell>
        </row>
        <row r="96">
          <cell r="B96" t="str">
            <v>LEXEL St. Pedersborg</v>
          </cell>
        </row>
        <row r="97">
          <cell r="B97" t="str">
            <v>Lexington</v>
          </cell>
        </row>
        <row r="98">
          <cell r="B98" t="str">
            <v>Limoges</v>
          </cell>
        </row>
        <row r="99">
          <cell r="B99" t="str">
            <v>Lincoln</v>
          </cell>
        </row>
        <row r="100">
          <cell r="B100" t="str">
            <v>LMVP ID</v>
          </cell>
        </row>
        <row r="101">
          <cell r="B101" t="str">
            <v>Materligne</v>
          </cell>
        </row>
        <row r="102">
          <cell r="B102" t="str">
            <v>Meliana</v>
          </cell>
        </row>
        <row r="103">
          <cell r="B103" t="str">
            <v>Merpins</v>
          </cell>
        </row>
        <row r="104">
          <cell r="B104" t="str">
            <v>MERTEN</v>
          </cell>
        </row>
        <row r="105">
          <cell r="B105" t="str">
            <v>Mesa</v>
          </cell>
        </row>
        <row r="106">
          <cell r="B106" t="str">
            <v>Mexico</v>
          </cell>
        </row>
        <row r="107">
          <cell r="B107" t="str">
            <v>MG Loire</v>
          </cell>
        </row>
        <row r="108">
          <cell r="B108" t="str">
            <v>MGA Comp</v>
          </cell>
        </row>
        <row r="109">
          <cell r="B109" t="str">
            <v>MGE-UPS</v>
          </cell>
        </row>
        <row r="110">
          <cell r="B110" t="str">
            <v>Missouri</v>
          </cell>
        </row>
        <row r="111">
          <cell r="B111" t="str">
            <v>Mita</v>
          </cell>
        </row>
        <row r="112">
          <cell r="B112" t="str">
            <v>MLVS</v>
          </cell>
        </row>
        <row r="113">
          <cell r="B113" t="str">
            <v>Monroe</v>
          </cell>
        </row>
        <row r="114">
          <cell r="B114" t="str">
            <v>Monterrey</v>
          </cell>
        </row>
        <row r="115">
          <cell r="B115" t="str">
            <v>Motion</v>
          </cell>
        </row>
        <row r="116">
          <cell r="B116" t="str">
            <v>MT Stezzano</v>
          </cell>
        </row>
        <row r="117">
          <cell r="B117" t="str">
            <v>NAOD</v>
          </cell>
        </row>
        <row r="118">
          <cell r="B118" t="str">
            <v>Naples</v>
          </cell>
        </row>
        <row r="119">
          <cell r="B119" t="str">
            <v>Nashik</v>
          </cell>
        </row>
        <row r="120">
          <cell r="B120" t="str">
            <v>Nashville</v>
          </cell>
        </row>
        <row r="121">
          <cell r="B121" t="str">
            <v>NE Asia</v>
          </cell>
        </row>
        <row r="122">
          <cell r="B122" t="str">
            <v>Negoce AI</v>
          </cell>
        </row>
        <row r="123">
          <cell r="B123" t="str">
            <v>Negoce MBT</v>
          </cell>
        </row>
        <row r="124">
          <cell r="B124" t="str">
            <v>Normabarre</v>
          </cell>
        </row>
        <row r="125">
          <cell r="B125" t="str">
            <v>Nu Lec</v>
          </cell>
        </row>
        <row r="126">
          <cell r="B126" t="str">
            <v>Others</v>
          </cell>
        </row>
        <row r="127">
          <cell r="B127" t="str">
            <v>OVA</v>
          </cell>
        </row>
        <row r="128">
          <cell r="B128" t="str">
            <v>Oxford</v>
          </cell>
        </row>
        <row r="129">
          <cell r="B129" t="str">
            <v>Pacific</v>
          </cell>
        </row>
        <row r="130">
          <cell r="B130" t="str">
            <v>Pacific Breakers</v>
          </cell>
        </row>
        <row r="131">
          <cell r="B131" t="str">
            <v>Pacy</v>
          </cell>
        </row>
        <row r="132">
          <cell r="B132" t="str">
            <v>PDL</v>
          </cell>
        </row>
        <row r="133">
          <cell r="B133" t="str">
            <v>Peru</v>
          </cell>
        </row>
        <row r="134">
          <cell r="B134" t="str">
            <v>Perushtitsa</v>
          </cell>
        </row>
        <row r="135">
          <cell r="B135" t="str">
            <v>Pisek</v>
          </cell>
        </row>
        <row r="136">
          <cell r="B136" t="str">
            <v>PMC</v>
          </cell>
        </row>
        <row r="137">
          <cell r="B137" t="str">
            <v>PMC/PMO</v>
          </cell>
        </row>
        <row r="138">
          <cell r="B138" t="str">
            <v>Poitiers Chasseneuil</v>
          </cell>
        </row>
        <row r="139">
          <cell r="B139" t="str">
            <v>POWER</v>
          </cell>
        </row>
        <row r="140">
          <cell r="B140" t="str">
            <v>PRODAX</v>
          </cell>
        </row>
        <row r="141">
          <cell r="B141" t="str">
            <v>Prodipact</v>
          </cell>
        </row>
        <row r="142">
          <cell r="B142" t="str">
            <v>Protection M4</v>
          </cell>
        </row>
        <row r="143">
          <cell r="B143" t="str">
            <v>PT</v>
          </cell>
        </row>
        <row r="144">
          <cell r="B144" t="str">
            <v>PTSI</v>
          </cell>
        </row>
        <row r="145">
          <cell r="B145" t="str">
            <v>Puebla</v>
          </cell>
        </row>
        <row r="146">
          <cell r="B146" t="str">
            <v>Raleigh</v>
          </cell>
        </row>
        <row r="147">
          <cell r="B147" t="str">
            <v>Rectiphase</v>
          </cell>
        </row>
        <row r="148">
          <cell r="B148" t="str">
            <v>Richmond</v>
          </cell>
        </row>
        <row r="149">
          <cell r="B149" t="str">
            <v>Rieti</v>
          </cell>
        </row>
        <row r="150">
          <cell r="B150" t="str">
            <v>Rojo Gomez</v>
          </cell>
        </row>
        <row r="151">
          <cell r="B151" t="str">
            <v>SAEG Barentin</v>
          </cell>
        </row>
        <row r="152">
          <cell r="B152" t="str">
            <v>SAIP Schyller</v>
          </cell>
        </row>
        <row r="153">
          <cell r="B153" t="str">
            <v>SAPEM</v>
          </cell>
        </row>
        <row r="154">
          <cell r="B154" t="str">
            <v>Sarel</v>
          </cell>
        </row>
        <row r="155">
          <cell r="B155" t="str">
            <v>Sarel Marboré Pau</v>
          </cell>
        </row>
        <row r="156">
          <cell r="B156" t="str">
            <v>Sarel Sarre Union</v>
          </cell>
        </row>
        <row r="157">
          <cell r="B157" t="str">
            <v>Saudi Arabia</v>
          </cell>
        </row>
        <row r="158">
          <cell r="B158" t="str">
            <v>SBG</v>
          </cell>
        </row>
        <row r="159">
          <cell r="B159" t="str">
            <v>SBGardy</v>
          </cell>
        </row>
        <row r="160">
          <cell r="B160" t="str">
            <v>SBLV</v>
          </cell>
        </row>
        <row r="161">
          <cell r="B161" t="str">
            <v>SBMV</v>
          </cell>
        </row>
        <row r="162">
          <cell r="B162" t="str">
            <v>Scarborough</v>
          </cell>
        </row>
        <row r="163">
          <cell r="B163" t="str">
            <v>SDE St Geoirs</v>
          </cell>
        </row>
        <row r="164">
          <cell r="B164" t="str">
            <v>SE Asia</v>
          </cell>
        </row>
        <row r="165">
          <cell r="B165" t="str">
            <v>SEA Aubenas</v>
          </cell>
        </row>
        <row r="166">
          <cell r="B166" t="str">
            <v>SEAU</v>
          </cell>
        </row>
        <row r="167">
          <cell r="B167" t="str">
            <v>SEIDS</v>
          </cell>
        </row>
        <row r="168">
          <cell r="B168" t="str">
            <v>SELV</v>
          </cell>
        </row>
        <row r="169">
          <cell r="B169" t="str">
            <v>SEMB</v>
          </cell>
        </row>
        <row r="170">
          <cell r="B170" t="str">
            <v>Seneca</v>
          </cell>
        </row>
        <row r="171">
          <cell r="B171" t="str">
            <v>SENZ</v>
          </cell>
        </row>
        <row r="172">
          <cell r="B172" t="str">
            <v>SETBT</v>
          </cell>
        </row>
        <row r="173">
          <cell r="B173" t="str">
            <v>SFBD</v>
          </cell>
        </row>
        <row r="174">
          <cell r="B174" t="str">
            <v>SFCME Libourne</v>
          </cell>
        </row>
        <row r="175">
          <cell r="B175" t="str">
            <v>SFG Gardy</v>
          </cell>
        </row>
        <row r="176">
          <cell r="B176" t="str">
            <v>Silicon Power</v>
          </cell>
        </row>
        <row r="177">
          <cell r="B177" t="str">
            <v>Smyrna</v>
          </cell>
        </row>
        <row r="178">
          <cell r="B178" t="str">
            <v>Sorhodel Bardin</v>
          </cell>
        </row>
        <row r="179">
          <cell r="B179" t="str">
            <v>South Africa</v>
          </cell>
        </row>
        <row r="180">
          <cell r="B180" t="str">
            <v>SP</v>
          </cell>
        </row>
        <row r="181">
          <cell r="B181" t="str">
            <v>Spain</v>
          </cell>
        </row>
        <row r="182">
          <cell r="B182" t="str">
            <v>SSAM</v>
          </cell>
        </row>
        <row r="183">
          <cell r="B183" t="str">
            <v>SSD</v>
          </cell>
        </row>
        <row r="184">
          <cell r="B184" t="str">
            <v>SSES</v>
          </cell>
        </row>
        <row r="185">
          <cell r="B185" t="str">
            <v>SSIC</v>
          </cell>
        </row>
        <row r="186">
          <cell r="B186" t="str">
            <v>SSLVTA</v>
          </cell>
        </row>
        <row r="187">
          <cell r="B187" t="str">
            <v>SSPA</v>
          </cell>
        </row>
        <row r="188">
          <cell r="B188" t="str">
            <v>SST</v>
          </cell>
        </row>
        <row r="189">
          <cell r="B189" t="str">
            <v>St Hubert</v>
          </cell>
        </row>
        <row r="190">
          <cell r="B190" t="str">
            <v>St Niklaas</v>
          </cell>
        </row>
        <row r="191">
          <cell r="B191" t="str">
            <v>STAGO</v>
          </cell>
        </row>
        <row r="192">
          <cell r="B192" t="str">
            <v>STI</v>
          </cell>
        </row>
        <row r="193">
          <cell r="B193" t="str">
            <v>STI - Elin</v>
          </cell>
        </row>
        <row r="194">
          <cell r="B194" t="str">
            <v>STIC</v>
          </cell>
        </row>
        <row r="195">
          <cell r="B195" t="str">
            <v>STIE - Pacy II</v>
          </cell>
        </row>
        <row r="196">
          <cell r="B196" t="str">
            <v>STL</v>
          </cell>
        </row>
        <row r="197">
          <cell r="B197" t="str">
            <v>SWEEC</v>
          </cell>
        </row>
        <row r="198">
          <cell r="B198" t="str">
            <v>Swindon</v>
          </cell>
        </row>
        <row r="199">
          <cell r="B199" t="str">
            <v>TAC</v>
          </cell>
        </row>
        <row r="200">
          <cell r="B200" t="str">
            <v>Telford</v>
          </cell>
        </row>
        <row r="201">
          <cell r="B201" t="str">
            <v>THORSMAN - Nykoping</v>
          </cell>
        </row>
        <row r="202">
          <cell r="B202" t="str">
            <v>THORSMAN - Vaxjo</v>
          </cell>
        </row>
        <row r="203">
          <cell r="B203" t="str">
            <v>TJMG</v>
          </cell>
        </row>
        <row r="204">
          <cell r="B204" t="str">
            <v>Tlaxcala</v>
          </cell>
        </row>
        <row r="205">
          <cell r="B205" t="str">
            <v>Turkey</v>
          </cell>
        </row>
        <row r="206">
          <cell r="B206" t="str">
            <v>Turkey Metesan</v>
          </cell>
        </row>
        <row r="207">
          <cell r="B207" t="str">
            <v>Turkey SET</v>
          </cell>
        </row>
        <row r="208">
          <cell r="B208" t="str">
            <v>USA</v>
          </cell>
        </row>
        <row r="209">
          <cell r="B209" t="str">
            <v>Vadodara</v>
          </cell>
        </row>
        <row r="210">
          <cell r="B210" t="str">
            <v>Valence</v>
          </cell>
        </row>
        <row r="211">
          <cell r="B211" t="str">
            <v>Victoria</v>
          </cell>
        </row>
        <row r="212">
          <cell r="B212" t="str">
            <v>VPC</v>
          </cell>
        </row>
        <row r="213">
          <cell r="B213" t="str">
            <v>Waterman</v>
          </cell>
        </row>
        <row r="214">
          <cell r="B214" t="str">
            <v>WIBE</v>
          </cell>
        </row>
        <row r="215">
          <cell r="B215" t="str">
            <v>WPF</v>
          </cell>
        </row>
        <row r="216">
          <cell r="B216" t="str">
            <v>Zala</v>
          </cell>
        </row>
        <row r="217">
          <cell r="B217" t="str">
            <v>ZEG</v>
          </cell>
        </row>
      </sheetData>
      <sheetData sheetId="5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TRANS FORM NONCORE"/>
      <sheetName val="ATT4B"/>
      <sheetName val="ATT4C"/>
      <sheetName val="ATT5"/>
      <sheetName val="ProC Files - ADD"/>
      <sheetName val="ProC Files - IN "/>
      <sheetName val="Sheet3"/>
      <sheetName val="Sheet2"/>
      <sheetName val="synthèse"/>
      <sheetName val="détail 29-6"/>
      <sheetName val="Parameters"/>
      <sheetName val="LANG"/>
      <sheetName val="OUVC"/>
      <sheetName val="welcome"/>
      <sheetName val="INDIC-04"/>
      <sheetName val="Summary"/>
      <sheetName val="RiskData"/>
      <sheetName val="DOC34"/>
      <sheetName val="Points"/>
      <sheetName val="CY-OS-90-1"/>
      <sheetName val="Sepa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NRE's"/>
      <sheetName val="INPUTS"/>
      <sheetName val="INPUTS-Specials"/>
      <sheetName val="OUTPUTS"/>
      <sheetName val="OUTPUTS-Override"/>
      <sheetName val=" P &amp; L"/>
      <sheetName val="P&amp;LDetail"/>
      <sheetName val="LaborDetail"/>
      <sheetName val="MaterialDetail"/>
      <sheetName val="WarrantyDetail"/>
      <sheetName val="REPORTING "/>
      <sheetName val="Sign Off and Approval Form"/>
      <sheetName val="Tables"/>
      <sheetName val="Modif Log"/>
    </sheetNames>
    <sheetDataSet>
      <sheetData sheetId="0"/>
      <sheetData sheetId="1" refreshError="1">
        <row r="29">
          <cell r="A29">
            <v>11</v>
          </cell>
        </row>
        <row r="34">
          <cell r="A34">
            <v>16</v>
          </cell>
        </row>
        <row r="44">
          <cell r="A44">
            <v>26</v>
          </cell>
        </row>
        <row r="45">
          <cell r="A45">
            <v>27</v>
          </cell>
        </row>
        <row r="48">
          <cell r="A48">
            <v>30</v>
          </cell>
        </row>
        <row r="51">
          <cell r="A51">
            <v>33</v>
          </cell>
        </row>
        <row r="53">
          <cell r="A53">
            <v>35</v>
          </cell>
        </row>
        <row r="54">
          <cell r="A54">
            <v>36</v>
          </cell>
        </row>
        <row r="56">
          <cell r="A56">
            <v>38</v>
          </cell>
        </row>
        <row r="57">
          <cell r="A57">
            <v>39</v>
          </cell>
        </row>
        <row r="58">
          <cell r="A58">
            <v>40</v>
          </cell>
        </row>
        <row r="59">
          <cell r="A59">
            <v>41</v>
          </cell>
        </row>
        <row r="61">
          <cell r="A61">
            <v>43</v>
          </cell>
        </row>
        <row r="62">
          <cell r="A62">
            <v>44</v>
          </cell>
        </row>
        <row r="63">
          <cell r="A63">
            <v>45</v>
          </cell>
        </row>
        <row r="64">
          <cell r="A64">
            <v>46</v>
          </cell>
        </row>
        <row r="65">
          <cell r="A65">
            <v>47</v>
          </cell>
        </row>
      </sheetData>
      <sheetData sheetId="2" refreshError="1">
        <row r="14">
          <cell r="A14">
            <v>5</v>
          </cell>
        </row>
        <row r="15">
          <cell r="A15">
            <v>6</v>
          </cell>
        </row>
        <row r="16">
          <cell r="A16">
            <v>7</v>
          </cell>
        </row>
        <row r="17">
          <cell r="A17">
            <v>8</v>
          </cell>
        </row>
        <row r="18">
          <cell r="A18">
            <v>9</v>
          </cell>
        </row>
        <row r="19">
          <cell r="A19">
            <v>10</v>
          </cell>
        </row>
        <row r="22">
          <cell r="A22">
            <v>13</v>
          </cell>
        </row>
        <row r="23">
          <cell r="A23">
            <v>14</v>
          </cell>
        </row>
        <row r="24">
          <cell r="A24">
            <v>15</v>
          </cell>
        </row>
        <row r="25">
          <cell r="A25">
            <v>16</v>
          </cell>
        </row>
        <row r="26">
          <cell r="A26">
            <v>17</v>
          </cell>
        </row>
        <row r="27">
          <cell r="A27">
            <v>18</v>
          </cell>
        </row>
        <row r="28">
          <cell r="A28">
            <v>19</v>
          </cell>
        </row>
        <row r="29">
          <cell r="A29">
            <v>20</v>
          </cell>
        </row>
        <row r="30">
          <cell r="A30">
            <v>21</v>
          </cell>
        </row>
        <row r="31">
          <cell r="A31">
            <v>22</v>
          </cell>
        </row>
        <row r="32">
          <cell r="A32">
            <v>23</v>
          </cell>
        </row>
        <row r="33">
          <cell r="A33">
            <v>24</v>
          </cell>
        </row>
        <row r="34">
          <cell r="A34">
            <v>25</v>
          </cell>
        </row>
        <row r="35">
          <cell r="A35">
            <v>26</v>
          </cell>
        </row>
        <row r="36">
          <cell r="A36">
            <v>27</v>
          </cell>
        </row>
        <row r="37">
          <cell r="A37">
            <v>28</v>
          </cell>
        </row>
        <row r="38">
          <cell r="A38">
            <v>29</v>
          </cell>
        </row>
        <row r="39">
          <cell r="A39">
            <v>30</v>
          </cell>
        </row>
        <row r="40">
          <cell r="A40">
            <v>31</v>
          </cell>
        </row>
        <row r="41">
          <cell r="A41">
            <v>32</v>
          </cell>
        </row>
        <row r="42">
          <cell r="A42">
            <v>33</v>
          </cell>
        </row>
        <row r="43">
          <cell r="A43">
            <v>34</v>
          </cell>
        </row>
        <row r="44">
          <cell r="A44">
            <v>35</v>
          </cell>
        </row>
        <row r="45">
          <cell r="A45">
            <v>36</v>
          </cell>
        </row>
        <row r="46">
          <cell r="A46">
            <v>37</v>
          </cell>
        </row>
        <row r="47">
          <cell r="A47">
            <v>38</v>
          </cell>
        </row>
        <row r="48">
          <cell r="A48">
            <v>39</v>
          </cell>
        </row>
        <row r="49">
          <cell r="A49">
            <v>40</v>
          </cell>
        </row>
        <row r="50">
          <cell r="A50">
            <v>41</v>
          </cell>
        </row>
        <row r="51">
          <cell r="A51">
            <v>42</v>
          </cell>
        </row>
        <row r="52">
          <cell r="A52">
            <v>43</v>
          </cell>
        </row>
        <row r="53">
          <cell r="A53">
            <v>44</v>
          </cell>
        </row>
        <row r="54">
          <cell r="A54">
            <v>45</v>
          </cell>
        </row>
        <row r="55">
          <cell r="A55">
            <v>46</v>
          </cell>
        </row>
        <row r="56">
          <cell r="A56">
            <v>47</v>
          </cell>
        </row>
        <row r="57">
          <cell r="A57">
            <v>48</v>
          </cell>
        </row>
        <row r="58">
          <cell r="A58">
            <v>49</v>
          </cell>
        </row>
        <row r="59">
          <cell r="A59">
            <v>50</v>
          </cell>
        </row>
        <row r="60">
          <cell r="A60">
            <v>51</v>
          </cell>
        </row>
        <row r="61">
          <cell r="A61">
            <v>52</v>
          </cell>
        </row>
        <row r="62">
          <cell r="A62">
            <v>53</v>
          </cell>
        </row>
        <row r="63">
          <cell r="A63">
            <v>54</v>
          </cell>
        </row>
        <row r="66">
          <cell r="A66">
            <v>57</v>
          </cell>
        </row>
        <row r="67">
          <cell r="A67">
            <v>58</v>
          </cell>
        </row>
        <row r="68">
          <cell r="A68">
            <v>59</v>
          </cell>
        </row>
        <row r="69">
          <cell r="A69">
            <v>60</v>
          </cell>
        </row>
      </sheetData>
      <sheetData sheetId="3" refreshError="1">
        <row r="17">
          <cell r="A17">
            <v>4</v>
          </cell>
        </row>
        <row r="21">
          <cell r="A21">
            <v>8</v>
          </cell>
        </row>
      </sheetData>
      <sheetData sheetId="4" refreshError="1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 refreshError="1">
        <row r="48">
          <cell r="A48">
            <v>12</v>
          </cell>
        </row>
        <row r="50">
          <cell r="A50">
            <v>14</v>
          </cell>
        </row>
        <row r="51">
          <cell r="A51">
            <v>15</v>
          </cell>
        </row>
        <row r="52">
          <cell r="A52">
            <v>16</v>
          </cell>
        </row>
        <row r="53">
          <cell r="A53">
            <v>17</v>
          </cell>
        </row>
        <row r="55">
          <cell r="A55">
            <v>19</v>
          </cell>
        </row>
        <row r="57">
          <cell r="A57">
            <v>21</v>
          </cell>
        </row>
        <row r="58">
          <cell r="A58">
            <v>22</v>
          </cell>
        </row>
        <row r="59">
          <cell r="A59">
            <v>23</v>
          </cell>
        </row>
        <row r="61">
          <cell r="A61">
            <v>25</v>
          </cell>
        </row>
        <row r="62">
          <cell r="A62">
            <v>26</v>
          </cell>
        </row>
        <row r="63">
          <cell r="A63">
            <v>27</v>
          </cell>
        </row>
        <row r="64">
          <cell r="A64">
            <v>28</v>
          </cell>
        </row>
        <row r="65">
          <cell r="A65">
            <v>29</v>
          </cell>
        </row>
        <row r="66">
          <cell r="A66">
            <v>30</v>
          </cell>
        </row>
        <row r="67">
          <cell r="A67">
            <v>31</v>
          </cell>
        </row>
        <row r="68">
          <cell r="A68">
            <v>32</v>
          </cell>
        </row>
        <row r="69">
          <cell r="A69">
            <v>33</v>
          </cell>
        </row>
        <row r="70">
          <cell r="A70">
            <v>34</v>
          </cell>
        </row>
        <row r="71">
          <cell r="A71">
            <v>35</v>
          </cell>
        </row>
        <row r="72">
          <cell r="A72">
            <v>36</v>
          </cell>
        </row>
        <row r="73">
          <cell r="A73">
            <v>37</v>
          </cell>
        </row>
        <row r="74">
          <cell r="A74">
            <v>38</v>
          </cell>
        </row>
        <row r="75">
          <cell r="A75">
            <v>39</v>
          </cell>
        </row>
        <row r="76">
          <cell r="A76">
            <v>40</v>
          </cell>
        </row>
        <row r="83">
          <cell r="A83">
            <v>47</v>
          </cell>
        </row>
        <row r="84">
          <cell r="A84">
            <v>48</v>
          </cell>
        </row>
        <row r="85">
          <cell r="A85">
            <v>49</v>
          </cell>
        </row>
        <row r="86">
          <cell r="A86">
            <v>50</v>
          </cell>
        </row>
        <row r="87">
          <cell r="A87">
            <v>51</v>
          </cell>
        </row>
        <row r="88">
          <cell r="A88">
            <v>52</v>
          </cell>
        </row>
        <row r="91">
          <cell r="A91">
            <v>55</v>
          </cell>
        </row>
        <row r="92">
          <cell r="A92">
            <v>56</v>
          </cell>
        </row>
        <row r="94">
          <cell r="A94">
            <v>58</v>
          </cell>
        </row>
        <row r="95">
          <cell r="A95">
            <v>59</v>
          </cell>
        </row>
        <row r="96">
          <cell r="A96">
            <v>60</v>
          </cell>
        </row>
        <row r="99">
          <cell r="A99">
            <v>63</v>
          </cell>
        </row>
        <row r="101">
          <cell r="A101">
            <v>65</v>
          </cell>
        </row>
        <row r="102">
          <cell r="A102">
            <v>66</v>
          </cell>
        </row>
        <row r="103">
          <cell r="A103">
            <v>67</v>
          </cell>
        </row>
        <row r="104">
          <cell r="A104">
            <v>68</v>
          </cell>
        </row>
        <row r="105">
          <cell r="A105">
            <v>69</v>
          </cell>
        </row>
        <row r="106">
          <cell r="A106">
            <v>70</v>
          </cell>
        </row>
        <row r="107">
          <cell r="A107">
            <v>71</v>
          </cell>
        </row>
        <row r="108">
          <cell r="A108">
            <v>72</v>
          </cell>
        </row>
        <row r="109">
          <cell r="A109">
            <v>73</v>
          </cell>
        </row>
        <row r="120">
          <cell r="A120">
            <v>84</v>
          </cell>
        </row>
        <row r="121">
          <cell r="A121">
            <v>85</v>
          </cell>
        </row>
        <row r="122">
          <cell r="A122">
            <v>86</v>
          </cell>
        </row>
        <row r="124">
          <cell r="A124">
            <v>88</v>
          </cell>
        </row>
        <row r="133">
          <cell r="A133">
            <v>2</v>
          </cell>
        </row>
        <row r="134">
          <cell r="A134">
            <v>3</v>
          </cell>
        </row>
        <row r="135">
          <cell r="A135">
            <v>4</v>
          </cell>
        </row>
        <row r="136">
          <cell r="A136">
            <v>5</v>
          </cell>
        </row>
        <row r="171">
          <cell r="A171">
            <v>4</v>
          </cell>
        </row>
        <row r="172">
          <cell r="A172">
            <v>5</v>
          </cell>
        </row>
        <row r="173">
          <cell r="A173">
            <v>6</v>
          </cell>
        </row>
        <row r="175">
          <cell r="A175">
            <v>8</v>
          </cell>
        </row>
        <row r="177">
          <cell r="A177">
            <v>10</v>
          </cell>
        </row>
        <row r="178">
          <cell r="A178">
            <v>11</v>
          </cell>
        </row>
        <row r="180">
          <cell r="A180">
            <v>13</v>
          </cell>
        </row>
        <row r="181">
          <cell r="A181">
            <v>14</v>
          </cell>
        </row>
        <row r="182">
          <cell r="A182">
            <v>15</v>
          </cell>
        </row>
        <row r="183">
          <cell r="A183">
            <v>16</v>
          </cell>
        </row>
        <row r="184">
          <cell r="A184">
            <v>17</v>
          </cell>
        </row>
        <row r="188">
          <cell r="A188">
            <v>21</v>
          </cell>
        </row>
        <row r="192">
          <cell r="A192">
            <v>25</v>
          </cell>
        </row>
        <row r="194">
          <cell r="A194">
            <v>27</v>
          </cell>
        </row>
        <row r="214">
          <cell r="B214" t="str">
            <v>ASSET TABLE</v>
          </cell>
          <cell r="C214" t="str">
            <v>Trigger</v>
          </cell>
          <cell r="D214" t="str">
            <v>DepPeriod</v>
          </cell>
          <cell r="E214" t="str">
            <v>Max Speed</v>
          </cell>
          <cell r="F214" t="str">
            <v>Set-UpTime</v>
          </cell>
          <cell r="G214" t="str">
            <v>STD-EUROPL</v>
          </cell>
          <cell r="H214" t="str">
            <v>STD-1xCP6</v>
          </cell>
          <cell r="I214" t="str">
            <v>STD-2xCP6</v>
          </cell>
          <cell r="J214" t="str">
            <v>STD-1xFCM</v>
          </cell>
          <cell r="K214" t="str">
            <v>STD-2xFCM</v>
          </cell>
          <cell r="L214" t="str">
            <v>SPE-1xLINE</v>
          </cell>
          <cell r="M214" t="str">
            <v>SPE-2xLINE</v>
          </cell>
          <cell r="N214" t="str">
            <v>Brazil</v>
          </cell>
          <cell r="O214" t="str">
            <v>China</v>
          </cell>
          <cell r="P214" t="str">
            <v>France</v>
          </cell>
          <cell r="Q214" t="str">
            <v>Germany</v>
          </cell>
          <cell r="R214" t="str">
            <v>Indonesia</v>
          </cell>
          <cell r="S214" t="str">
            <v>Japan</v>
          </cell>
          <cell r="T214" t="str">
            <v>Malaysia</v>
          </cell>
          <cell r="U214" t="str">
            <v>Mexico</v>
          </cell>
          <cell r="V214" t="str">
            <v>Romania</v>
          </cell>
          <cell r="W214" t="str">
            <v>Hungary</v>
          </cell>
          <cell r="X214" t="str">
            <v>Scotland</v>
          </cell>
          <cell r="Y214" t="str">
            <v>Singapore</v>
          </cell>
          <cell r="Z214" t="str">
            <v>Taiwan</v>
          </cell>
          <cell r="AA214" t="str">
            <v>Turkey</v>
          </cell>
          <cell r="AB214" t="str">
            <v>USA</v>
          </cell>
          <cell r="AC214" t="str">
            <v>InstallCost</v>
          </cell>
        </row>
        <row r="250">
          <cell r="A250">
            <v>37</v>
          </cell>
        </row>
      </sheetData>
      <sheetData sheetId="13"/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Paramétrage"/>
      <sheetName val="TX Moyens"/>
      <sheetName val="TX Prévisionnels"/>
      <sheetName val="Source"/>
      <sheetName val="ACTUAL"/>
      <sheetName val="ORDERS"/>
      <sheetName val="Pontage Rn"/>
      <sheetName val="Pontage Fcst"/>
      <sheetName val="Pontage FcstRn"/>
      <sheetName val="Pontage REEL 2005.12"/>
      <sheetName val="Pontage FORECAST 2006.12"/>
      <sheetName val="Pontage FORECAST 2007.12"/>
      <sheetName val="Days"/>
    </sheetNames>
    <sheetDataSet>
      <sheetData sheetId="0" refreshError="1">
        <row r="9">
          <cell r="C9">
            <v>1</v>
          </cell>
        </row>
        <row r="10">
          <cell r="C10">
            <v>2007</v>
          </cell>
        </row>
        <row r="11">
          <cell r="C11" t="str">
            <v>January 29, 2007</v>
          </cell>
        </row>
        <row r="12">
          <cell r="C12" t="str">
            <v>2007.01</v>
          </cell>
        </row>
        <row r="13">
          <cell r="C13">
            <v>2006</v>
          </cell>
        </row>
        <row r="17">
          <cell r="C17" t="str">
            <v>January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Cont"/>
      <sheetName val=" mens"/>
      <sheetName val="Relais"/>
      <sheetName val="Relais mens"/>
      <sheetName val="courbe"/>
      <sheetName val="coube-simple"/>
      <sheetName val="Ecart DPN"/>
      <sheetName val="Cumul"/>
      <sheetName val="Feuil6"/>
      <sheetName val="Feuil7"/>
      <sheetName val="Feuil8"/>
      <sheetName val="Feuil9"/>
      <sheetName val="Feuil10"/>
      <sheetName val="Feuil11"/>
      <sheetName val="Feuil12"/>
      <sheetName val="Feuil13"/>
      <sheetName val="Feuil14"/>
      <sheetName val="Feuil15"/>
      <sheetName val="Feuil16"/>
    </sheetNames>
    <sheetDataSet>
      <sheetData sheetId="0" refreshError="1"/>
      <sheetData sheetId="1" refreshError="1"/>
      <sheetData sheetId="2" refreshError="1">
        <row r="5">
          <cell r="J5">
            <v>4802.3999999999996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3.xml><?xml version="1.0" encoding="utf-8"?>
<externalLink xmlns="http://schemas.openxmlformats.org/spreadsheetml/2006/main">
  <externalBook xmlns:r="http://schemas.openxmlformats.org/officeDocument/2006/relationships" r:id="rId1">
    <sheetNames>
      <sheetName val="01 T"/>
      <sheetName val="01 N"/>
      <sheetName val="01 E"/>
      <sheetName val="01 U"/>
      <sheetName val="02"/>
      <sheetName val="03 "/>
      <sheetName val="03bis"/>
      <sheetName val="04"/>
      <sheetName val="04 OBJETIVO"/>
      <sheetName val="05"/>
      <sheetName val="05 OBJETIV"/>
      <sheetName val="06"/>
      <sheetName val="07"/>
      <sheetName val="06 OBJETIVO"/>
      <sheetName val="08"/>
      <sheetName val="09"/>
      <sheetName val="x"/>
      <sheetName val="11"/>
      <sheetName val="10 "/>
      <sheetName val="1994XLS"/>
    </sheetNames>
    <sheetDataSet>
      <sheetData sheetId="0" refreshError="1">
        <row r="1">
          <cell r="Z1">
            <v>2</v>
          </cell>
        </row>
        <row r="2">
          <cell r="Z2">
            <v>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U6">
            <v>12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4.xml><?xml version="1.0" encoding="utf-8"?>
<externalLink xmlns="http://schemas.openxmlformats.org/spreadsheetml/2006/main">
  <externalBook xmlns:r="http://schemas.openxmlformats.org/officeDocument/2006/relationships" r:id="rId1">
    <sheetNames>
      <sheetName val="PR孔"/>
      <sheetName val="zb"/>
    </sheetNames>
    <sheetDataSet>
      <sheetData sheetId="0"/>
      <sheetData sheetId="1" refreshError="1"/>
    </sheetDataSet>
  </externalBook>
</externalLink>
</file>

<file path=xl/externalLinks/externalLink35.xml><?xml version="1.0" encoding="utf-8"?>
<externalLink xmlns="http://schemas.openxmlformats.org/spreadsheetml/2006/main">
  <externalBook xmlns:r="http://schemas.openxmlformats.org/officeDocument/2006/relationships" r:id="rId1">
    <sheetNames>
      <sheetName val="parts list"/>
      <sheetName val="Q2 YTD OG Sales Analysis"/>
      <sheetName val="Q2 OG Trade Receivables"/>
    </sheetNames>
    <sheetDataSet>
      <sheetData sheetId="0"/>
      <sheetData sheetId="1" refreshError="1"/>
      <sheetData sheetId="2" refreshError="1"/>
    </sheetDataSet>
  </externalBook>
</externalLink>
</file>

<file path=xl/externalLinks/externalLink36.xml><?xml version="1.0" encoding="utf-8"?>
<externalLink xmlns="http://schemas.openxmlformats.org/spreadsheetml/2006/main">
  <externalBook xmlns:r="http://schemas.openxmlformats.org/officeDocument/2006/relationships" r:id="rId1">
    <sheetNames>
      <sheetName val="C1 BOM"/>
      <sheetName val="C2 BOM "/>
      <sheetName val="nomenclature (2)"/>
      <sheetName val="nomenclature"/>
      <sheetName val="Base Argos"/>
      <sheetName val="Commercial reference"/>
      <sheetName val="EX RAT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>
  <externalBook xmlns:r="http://schemas.openxmlformats.org/officeDocument/2006/relationships" r:id="rId1">
    <sheetNames>
      <sheetName val="APOD"/>
      <sheetName val="DSO APOD 0307"/>
      <sheetName val="DSO 2007"/>
      <sheetName val="DSO June 2007 23 07 07"/>
      <sheetName val="Q2 YTD OG Sales Analysis"/>
      <sheetName val="Q2 OG Trade Receivables"/>
      <sheetName val="Sheet"/>
      <sheetName val="EX RATE"/>
      <sheetName val="Sales Trend"/>
      <sheetName val="Source"/>
      <sheetName val="Summary by Year"/>
      <sheetName val="C1 BOM"/>
      <sheetName val="Synthèse"/>
      <sheetName val="ABC-CQD"/>
      <sheetName val="HCS"/>
      <sheetName val="ABC-PDC"/>
      <sheetName val="SZFIN"/>
      <sheetName val="SZHRA"/>
      <sheetName val="SZMIS"/>
      <sheetName val="SZPPD"/>
      <sheetName val="SZPUR"/>
      <sheetName val="SZRDD"/>
      <sheetName val="SZSCM"/>
      <sheetName val="UTCET"/>
      <sheetName val="DVC-100"/>
      <sheetName val="DVC-103"/>
      <sheetName val="DVC-104"/>
      <sheetName val="MBC-ASM"/>
      <sheetName val="MBC-COM"/>
      <sheetName val="MBC-CTM"/>
      <sheetName val="MBC-Eng"/>
      <sheetName val="MBC-Fin"/>
      <sheetName val="MBC-GM"/>
      <sheetName val="MBC-HR"/>
      <sheetName val="MBC-IDT"/>
      <sheetName val="MBC-LGT"/>
      <sheetName val="MBC-MIS"/>
      <sheetName val="MBC-MLD"/>
      <sheetName val="MBC-PUR"/>
      <sheetName val="MBC-QMD"/>
      <sheetName val="MBC-TLG"/>
      <sheetName val="MBC-TM"/>
      <sheetName val="MBC-TRD"/>
      <sheetName val="MBC-WH"/>
      <sheetName val="welcome"/>
      <sheetName val="01 T"/>
      <sheetName val="03 "/>
      <sheetName val="DSO by country"/>
      <sheetName val="Ref"/>
      <sheetName val="Mth-Vana"/>
      <sheetName val="Separation"/>
      <sheetName val="database"/>
      <sheetName val="product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8.xml><?xml version="1.0" encoding="utf-8"?>
<externalLink xmlns="http://schemas.openxmlformats.org/spreadsheetml/2006/main">
  <externalBook xmlns:r="http://schemas.openxmlformats.org/officeDocument/2006/relationships" r:id="rId1">
    <sheetNames>
      <sheetName val="Analysis "/>
      <sheetName val="Capacity(751 serial)"/>
      <sheetName val="Capacity analysis(all)"/>
      <sheetName val="forecast"/>
      <sheetName val="DSO APOD 0307"/>
      <sheetName val="DSO June 2007 23 07 0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9.xml><?xml version="1.0" encoding="utf-8"?>
<externalLink xmlns="http://schemas.openxmlformats.org/spreadsheetml/2006/main">
  <externalBook xmlns:r="http://schemas.openxmlformats.org/officeDocument/2006/relationships" r:id="rId1">
    <sheetNames>
      <sheetName val="Cost breakdown"/>
      <sheetName val="Summary"/>
      <sheetName val="Quote"/>
      <sheetName val="FLowchart format"/>
      <sheetName val="ME 1 piece flow"/>
      <sheetName val="ME Quote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40.xml><?xml version="1.0" encoding="utf-8"?>
<externalLink xmlns="http://schemas.openxmlformats.org/spreadsheetml/2006/main">
  <externalBook xmlns:r="http://schemas.openxmlformats.org/officeDocument/2006/relationships" r:id="rId1">
    <sheetNames>
      <sheetName val="Cost breakdown"/>
      <sheetName val="Summary"/>
      <sheetName val="Quote"/>
      <sheetName val="FLowchart format"/>
      <sheetName val="ME 1 piece flow"/>
    </sheetNames>
    <sheetDataSet>
      <sheetData sheetId="0"/>
      <sheetData sheetId="1"/>
      <sheetData sheetId="2">
        <row r="5">
          <cell r="B5">
            <v>0.15</v>
          </cell>
        </row>
      </sheetData>
      <sheetData sheetId="3"/>
      <sheetData sheetId="4"/>
    </sheetDataSet>
  </externalBook>
</externalLink>
</file>

<file path=xl/externalLinks/externalLink4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Quote"/>
      <sheetName val="Flowchart"/>
      <sheetName val="CT calculations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42.xml><?xml version="1.0" encoding="utf-8"?>
<externalLink xmlns="http://schemas.openxmlformats.org/spreadsheetml/2006/main">
  <externalBook xmlns:r="http://schemas.openxmlformats.org/officeDocument/2006/relationships" r:id="rId1">
    <sheetNames>
      <sheetName val="NRE's"/>
      <sheetName val="INPUTS"/>
      <sheetName val="INPUTS-Specials"/>
      <sheetName val="OUTPUTS"/>
      <sheetName val="OUTPUTS-Override"/>
      <sheetName val=" P &amp; L"/>
      <sheetName val="P&amp;LDetail"/>
      <sheetName val="LaborDetail"/>
      <sheetName val="MaterialDetail"/>
      <sheetName val="WarrantyDetail"/>
      <sheetName val="REPORTING "/>
      <sheetName val="Sign Off and Approval Form"/>
      <sheetName val="Tables"/>
      <sheetName val="Modif Log"/>
      <sheetName val="Quote"/>
    </sheetNames>
    <sheetDataSet>
      <sheetData sheetId="0"/>
      <sheetData sheetId="1">
        <row r="18">
          <cell r="C18" t="str">
            <v>Communications</v>
          </cell>
        </row>
      </sheetData>
      <sheetData sheetId="2">
        <row r="20">
          <cell r="A20">
            <v>11</v>
          </cell>
        </row>
      </sheetData>
      <sheetData sheetId="3"/>
      <sheetData sheetId="4"/>
      <sheetData sheetId="5"/>
      <sheetData sheetId="6">
        <row r="68">
          <cell r="A68">
            <v>60</v>
          </cell>
        </row>
      </sheetData>
      <sheetData sheetId="7">
        <row r="14">
          <cell r="A14">
            <v>8</v>
          </cell>
        </row>
      </sheetData>
      <sheetData sheetId="8">
        <row r="46">
          <cell r="A46">
            <v>39</v>
          </cell>
        </row>
      </sheetData>
      <sheetData sheetId="9"/>
      <sheetData sheetId="10">
        <row r="10">
          <cell r="C10" t="str">
            <v>VOL1</v>
          </cell>
        </row>
      </sheetData>
      <sheetData sheetId="11"/>
      <sheetData sheetId="12">
        <row r="38">
          <cell r="B38" t="str">
            <v>DELIVERY MODEL TABLE</v>
          </cell>
        </row>
      </sheetData>
      <sheetData sheetId="13"/>
      <sheetData sheetId="14" refreshError="1"/>
    </sheetDataSet>
  </externalBook>
</externalLink>
</file>

<file path=xl/externalLinks/externalLink43.xml><?xml version="1.0" encoding="utf-8"?>
<externalLink xmlns="http://schemas.openxmlformats.org/spreadsheetml/2006/main">
  <externalBook xmlns:r="http://schemas.openxmlformats.org/officeDocument/2006/relationships" r:id="rId1">
    <sheetNames>
      <sheetName val="Accueil"/>
      <sheetName val="Listes de Sélection"/>
      <sheetName val="Paramètres"/>
      <sheetName val="ES1"/>
      <sheetName val="ES2"/>
      <sheetName val="EB1"/>
      <sheetName val="ER1"/>
      <sheetName val="ER7"/>
      <sheetName val="ER2"/>
      <sheetName val="ER5"/>
      <sheetName val="ER3"/>
      <sheetName val="ER4_Old"/>
      <sheetName val="ER6_Old"/>
      <sheetName val="ER8"/>
      <sheetName val="ER9"/>
      <sheetName val="ER10_Old"/>
      <sheetName val="ER11_Old"/>
      <sheetName val="Tables"/>
      <sheetName val="INPUTS"/>
      <sheetName val="LaborDetail"/>
      <sheetName val="MaterialDetail"/>
      <sheetName val="P&amp;LDetail"/>
      <sheetName val="REPORTING "/>
      <sheetName val="INPUTS-Specials"/>
      <sheetName val="RunRate_Template"/>
      <sheetName val="Quot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4.xml><?xml version="1.0" encoding="utf-8"?>
<externalLink xmlns="http://schemas.openxmlformats.org/spreadsheetml/2006/main">
  <externalBook xmlns:r="http://schemas.openxmlformats.org/officeDocument/2006/relationships" r:id="rId1">
    <sheetNames>
      <sheetName val="Données pour graphique"/>
      <sheetName val="Graphique"/>
      <sheetName val="Options"/>
      <sheetName val="WELCOME"/>
      <sheetName val="Paramètres"/>
      <sheetName val="Listes de Sélection"/>
      <sheetName val="EB1"/>
      <sheetName val="ER1"/>
      <sheetName val="ER10_Old"/>
      <sheetName val="ER11_Old"/>
      <sheetName val="ER2"/>
      <sheetName val="ER3"/>
      <sheetName val="ER4_Old"/>
      <sheetName val="ER5"/>
      <sheetName val="ER6_Old"/>
      <sheetName val="ER7"/>
      <sheetName val="ER8"/>
      <sheetName val="ER9"/>
      <sheetName val="ES1"/>
      <sheetName val="ES2"/>
      <sheetName val="Tables"/>
      <sheetName val="MaterialDetail"/>
      <sheetName val="P&amp;LDetail"/>
      <sheetName val="REPORTING "/>
      <sheetName val="DSO APOD 0307"/>
      <sheetName val="DSO June 2007 23 07 07"/>
      <sheetName val="EX RAT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5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Cost"/>
      <sheetName val="Tp"/>
      <sheetName val="Consumables"/>
      <sheetName val="Material"/>
      <sheetName val="Process time"/>
      <sheetName val="Labor_time"/>
      <sheetName val="Surface_labor_jigs"/>
      <sheetName val="Amortization"/>
      <sheetName val="Invest"/>
      <sheetName val="Mold"/>
      <sheetName val="ProductionManagementSystem"/>
      <sheetName val="Equipment"/>
      <sheetName val="Qualification"/>
      <sheetName val="TransitionExpense"/>
      <sheetName val="Toolings"/>
      <sheetName val="PCBA_expense"/>
      <sheetName val="History&amp;Forecast"/>
      <sheetName val="Depreciation"/>
      <sheetName val="Process"/>
      <sheetName val="Currency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 refreshError="1"/>
    </sheetDataSet>
  </externalBook>
</externalLink>
</file>

<file path=xl/externalLinks/externalLink46.xml><?xml version="1.0" encoding="utf-8"?>
<externalLink xmlns="http://schemas.openxmlformats.org/spreadsheetml/2006/main">
  <externalBook xmlns:r="http://schemas.openxmlformats.org/officeDocument/2006/relationships" r:id="rId1">
    <sheetNames>
      <sheetName val="Master transfer plan"/>
      <sheetName val="CIS Dimmer Gantt chart"/>
      <sheetName val="Part procurement"/>
      <sheetName val="PDL dimmer Gantt chart"/>
      <sheetName val="Wireless Gantt"/>
      <sheetName val="PCBA for wireless"/>
      <sheetName val="Finished goods forecast"/>
      <sheetName val="Wired Gantt"/>
      <sheetName val="Outstanding info"/>
      <sheetName val="Legend"/>
      <sheetName val="0 - INFORM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7.xml><?xml version="1.0" encoding="utf-8"?>
<externalLink xmlns="http://schemas.openxmlformats.org/spreadsheetml/2006/main">
  <externalBook xmlns:r="http://schemas.openxmlformats.org/officeDocument/2006/relationships" r:id="rId1">
    <sheetNames>
      <sheetName val="REC-EDIT"/>
      <sheetName val="Data"/>
      <sheetName val="Fichiers"/>
      <sheetName val="Tables"/>
      <sheetName val="OUTPUTS"/>
      <sheetName val="MaterialDetail"/>
      <sheetName val="INPUTS"/>
      <sheetName val="P&amp;LDetail"/>
      <sheetName val="Old Parit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8.xml><?xml version="1.0" encoding="utf-8"?>
<externalLink xmlns="http://schemas.openxmlformats.org/spreadsheetml/2006/main">
  <externalBook xmlns:r="http://schemas.openxmlformats.org/officeDocument/2006/relationships" r:id="rId1">
    <sheetNames>
      <sheetName val="Accueil"/>
      <sheetName val="Listes de Sélection"/>
      <sheetName val="Paramètres"/>
      <sheetName val="ES1"/>
      <sheetName val="ES2"/>
      <sheetName val="EB1"/>
      <sheetName val="ER1"/>
      <sheetName val="ER7"/>
      <sheetName val="ER2"/>
      <sheetName val="ER5"/>
      <sheetName val="ER3"/>
      <sheetName val="ER4_Old"/>
      <sheetName val="ER6_Old"/>
      <sheetName val="ER8"/>
      <sheetName val="ER9"/>
      <sheetName val="ER10_Old"/>
      <sheetName val="ER11_Old"/>
      <sheetName val="95PREM"/>
      <sheetName val="ME Quote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49.xml><?xml version="1.0" encoding="utf-8"?>
<externalLink xmlns="http://schemas.openxmlformats.org/spreadsheetml/2006/main">
  <externalBook xmlns:r="http://schemas.openxmlformats.org/officeDocument/2006/relationships" r:id="rId1">
    <sheetNames>
      <sheetName val="GSNA cash flow"/>
      <sheetName val="GSNA CF data"/>
      <sheetName val="GSNA CF Graph"/>
      <sheetName val="US cash flow "/>
      <sheetName val="US CF data "/>
      <sheetName val="US CF Graph"/>
      <sheetName val="Can cash flow"/>
      <sheetName val="Can CF data "/>
      <sheetName val="Can CF Graph "/>
      <sheetName val="Mex cash flow "/>
      <sheetName val="Mex CF data  "/>
      <sheetName val="Mex CF Graph "/>
      <sheetName val="Mgr CF data"/>
      <sheetName val="Mgr CF Graph "/>
      <sheetName val="Sheet1"/>
      <sheetName val="Sheet2"/>
      <sheetName val="Sheet3"/>
      <sheetName val="95PREM"/>
      <sheetName val="Listes de Sélec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0.xml><?xml version="1.0" encoding="utf-8"?>
<externalLink xmlns="http://schemas.openxmlformats.org/spreadsheetml/2006/main">
  <externalBook xmlns:r="http://schemas.openxmlformats.org/officeDocument/2006/relationships" r:id="rId1">
    <sheetNames>
      <sheetName val="listeVerif"/>
      <sheetName val="graph"/>
      <sheetName val="TDYNsouszone"/>
      <sheetName val="TDYN"/>
      <sheetName val="Match BD 2004"/>
      <sheetName val="Décembre 2004"/>
      <sheetName val="Struct 2004 phase5 SL"/>
      <sheetName val="DEC 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1.xml><?xml version="1.0" encoding="utf-8"?>
<externalLink xmlns="http://schemas.openxmlformats.org/spreadsheetml/2006/main">
  <externalBook xmlns:r="http://schemas.openxmlformats.org/officeDocument/2006/relationships" r:id="rId1">
    <sheetNames>
      <sheetName val="Mode d'emploi"/>
      <sheetName val="Projects identity"/>
      <sheetName val="TCD_Man"/>
      <sheetName val="TCD_KEuros"/>
      <sheetName val="Wish_List_GT"/>
      <sheetName val="Design_Abbrev"/>
      <sheetName val="Modifs"/>
      <sheetName val="Commentaires"/>
      <sheetName val="Source"/>
      <sheetName val="TCD"/>
      <sheetName val="Chorus_May2006"/>
      <sheetName val="Décembre 20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C10" t="str">
            <v>Project name</v>
          </cell>
        </row>
      </sheetData>
      <sheetData sheetId="11" refreshError="1"/>
    </sheetDataSet>
  </externalBook>
</externalLink>
</file>

<file path=xl/externalLinks/externalLink52.xml><?xml version="1.0" encoding="utf-8"?>
<externalLink xmlns="http://schemas.openxmlformats.org/spreadsheetml/2006/main">
  <externalBook xmlns:r="http://schemas.openxmlformats.org/officeDocument/2006/relationships" r:id="rId1">
    <sheetNames>
      <sheetName val="5.2"/>
      <sheetName val="RPFA"/>
      <sheetName val="CMA Usi 02"/>
      <sheetName val="Réalisé Usine"/>
      <sheetName val="Value Analysis"/>
      <sheetName val="Chorus_May2006"/>
      <sheetName val="Source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53.xml><?xml version="1.0" encoding="utf-8"?>
<externalLink xmlns="http://schemas.openxmlformats.org/spreadsheetml/2006/main">
  <externalBook xmlns:r="http://schemas.openxmlformats.org/officeDocument/2006/relationships" r:id="rId1">
    <sheetNames>
      <sheetName val="EDC-DAS"/>
      <sheetName val="Comentarios"/>
      <sheetName val="Lookup"/>
      <sheetName val="2005_JAN"/>
      <sheetName val="Listes de Sélection"/>
      <sheetName val="Mth-Vana"/>
      <sheetName val="Cours Moyen Francs"/>
      <sheetName val="OG Sales fct"/>
      <sheetName val="設備投資20万円以上"/>
      <sheetName val="Orders Fcst"/>
      <sheetName val="Ship Fcst"/>
      <sheetName val="C101"/>
      <sheetName val="E101"/>
      <sheetName val="G101"/>
      <sheetName val="G201"/>
      <sheetName val="G301"/>
      <sheetName val="I101"/>
      <sheetName val="ARP-U101"/>
      <sheetName val="ARP-U301"/>
      <sheetName val="U401"/>
      <sheetName val="ARP-U501"/>
      <sheetName val="SELECTION"/>
      <sheetName val="RevisionRound1"/>
      <sheetName val="bom"/>
      <sheetName val="forex"/>
      <sheetName val="H.Satuan"/>
      <sheetName val="C-6-ss"/>
      <sheetName val="Datasim"/>
      <sheetName val="Total China WCR (China SB) -SUM"/>
      <sheetName val="M-5C"/>
      <sheetName val="企业表一"/>
      <sheetName val="M-5A"/>
      <sheetName val="Input"/>
      <sheetName val="V"/>
      <sheetName val="Actual-2007"/>
      <sheetName val="Actual-2008"/>
      <sheetName val="HeadCount"/>
      <sheetName val="F'rct"/>
      <sheetName val="(6) RiskDataNew"/>
      <sheetName val="INDIC-04"/>
      <sheetName val="INDIC-08"/>
      <sheetName val="REC-EDIT"/>
      <sheetName val="Data"/>
      <sheetName val="Fichiers"/>
      <sheetName val="&lt;FF&gt; Tax Payable"/>
      <sheetName val="E15"/>
      <sheetName val="SWDA"/>
      <sheetName val="IPO allocate to BU"/>
      <sheetName val="IPO allocate to Central"/>
      <sheetName val="IPO allocate to Global Function"/>
      <sheetName val="负债和股东权益99"/>
      <sheetName val="M221"/>
      <sheetName val="Control_List"/>
      <sheetName val="DSO June 2007 23 07 07"/>
      <sheetName val="Riser-1"/>
      <sheetName val="source Grach order"/>
      <sheetName val="No"/>
      <sheetName val="4"/>
      <sheetName val="Link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54.xml><?xml version="1.0" encoding="utf-8"?>
<externalLink xmlns="http://schemas.openxmlformats.org/spreadsheetml/2006/main">
  <externalBook xmlns:r="http://schemas.openxmlformats.org/officeDocument/2006/relationships" r:id="rId1">
    <sheetNames>
      <sheetName val="Quote"/>
      <sheetName val="CUB Scout"/>
      <sheetName val="Process Flow"/>
      <sheetName val="EDC-DAS"/>
    </sheetNames>
    <sheetDataSet>
      <sheetData sheetId="0" refreshError="1"/>
      <sheetData sheetId="1">
        <row r="10">
          <cell r="A10">
            <v>6</v>
          </cell>
        </row>
      </sheetData>
      <sheetData sheetId="2" refreshError="1"/>
      <sheetData sheetId="3" refreshError="1"/>
    </sheetDataSet>
  </externalBook>
</externalLink>
</file>

<file path=xl/externalLinks/externalLink55.xml><?xml version="1.0" encoding="utf-8"?>
<externalLink xmlns="http://schemas.openxmlformats.org/spreadsheetml/2006/main">
  <externalBook xmlns:r="http://schemas.openxmlformats.org/officeDocument/2006/relationships" r:id="rId1">
    <sheetNames>
      <sheetName val="Quote"/>
      <sheetName val="RunRate_Template"/>
      <sheetName val="CUB Scou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6.xml><?xml version="1.0" encoding="utf-8"?>
<externalLink xmlns="http://schemas.openxmlformats.org/spreadsheetml/2006/main">
  <externalBook xmlns:r="http://schemas.openxmlformats.org/officeDocument/2006/relationships" r:id="rId1">
    <sheetNames>
      <sheetName val="******"/>
      <sheetName val="forex"/>
      <sheetName val="localization"/>
      <sheetName val="Chart1"/>
      <sheetName val="DVC"/>
      <sheetName val="cost_per_type"/>
      <sheetName val="cost1"/>
      <sheetName val="bom"/>
      <sheetName val="Sheet2"/>
      <sheetName val="del_history"/>
      <sheetName val="synthèse"/>
      <sheetName val="détail 29-6"/>
      <sheetName val="EDC-DAS"/>
      <sheetName val="Listes de Sélection"/>
      <sheetName val="Lookup"/>
      <sheetName val="Marshal"/>
      <sheetName val="SELECTION"/>
      <sheetName val="______"/>
      <sheetName val="RunRate_Template"/>
      <sheetName val="time code"/>
      <sheetName val="Listes + Réf. matière"/>
      <sheetName val="Control_List"/>
      <sheetName val="RevisionRound1"/>
      <sheetName val="A"/>
      <sheetName val="ER10_Old"/>
      <sheetName val="ER3"/>
      <sheetName val="Paramètres"/>
      <sheetName val="ER11_Old"/>
      <sheetName val="EB1"/>
      <sheetName val="ER1"/>
      <sheetName val="ER2"/>
      <sheetName val="ER4_Old"/>
      <sheetName val="ER5"/>
      <sheetName val="ER6_Old"/>
      <sheetName val="ER7"/>
      <sheetName val="ER8"/>
      <sheetName val="ER9"/>
      <sheetName val="ES1"/>
      <sheetName val="ES2"/>
      <sheetName val="Summary"/>
      <sheetName val="Approval Matrix"/>
      <sheetName val="List"/>
      <sheetName val="03-Assembly Chronology"/>
      <sheetName val="détail_29-6"/>
      <sheetName val="Listes_de_Sélection"/>
      <sheetName val="time_code"/>
      <sheetName val="Listes_+_Réf__matière"/>
      <sheetName val="03-Assembly_Chronology"/>
      <sheetName val="Approval_Matri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57.xml><?xml version="1.0" encoding="utf-8"?>
<externalLink xmlns="http://schemas.openxmlformats.org/spreadsheetml/2006/main">
  <externalBook xmlns:r="http://schemas.openxmlformats.org/officeDocument/2006/relationships" r:id="rId1">
    <sheetNames>
      <sheetName val="MACRO2"/>
      <sheetName val="SELECTION"/>
      <sheetName val="BS Currencies"/>
      <sheetName val="IS Currencies"/>
      <sheetName val="Commercial perimeter 2010"/>
      <sheetName val="Base de Datos Pedidos Dolares"/>
      <sheetName val="Br"/>
      <sheetName val="Sheet"/>
      <sheetName val="EDC-DAS"/>
      <sheetName val="2005_JAN"/>
      <sheetName val="BASE DE DATOS"/>
      <sheetName val="ATT10-3"/>
      <sheetName val="ATT9"/>
      <sheetName val="ATT10-1"/>
      <sheetName val="GPW20-200"/>
      <sheetName val="H101(OK)"/>
      <sheetName val="ARP-G101"/>
      <sheetName val="ARP-U101"/>
      <sheetName val="ARP-U301"/>
      <sheetName val="E221"/>
      <sheetName val="Listes de Sélection"/>
      <sheetName val="Schedules - Balance Sheet"/>
      <sheetName val="Asset Balances"/>
      <sheetName val="Inputs"/>
      <sheetName val="P&amp;L"/>
      <sheetName val="Hoja1"/>
      <sheetName val="Sheet1"/>
      <sheetName val="SWDA"/>
      <sheetName val="exch rate 2003 2004"/>
      <sheetName val="E1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8.xml><?xml version="1.0" encoding="utf-8"?>
<externalLink xmlns="http://schemas.openxmlformats.org/spreadsheetml/2006/main">
  <externalBook xmlns:r="http://schemas.openxmlformats.org/officeDocument/2006/relationships" r:id="rId1">
    <sheetNames>
      <sheetName val="98NONMSA"/>
      <sheetName val="ATT9"/>
      <sheetName val="ATT10-1"/>
      <sheetName val="ATT10-3"/>
      <sheetName val="MACRO2"/>
      <sheetName val="BS Currencies"/>
      <sheetName val="IS Currencies"/>
      <sheetName val="SELECTION"/>
      <sheetName val="Base de Datos Pedidos Dolares"/>
      <sheetName val="Sheet"/>
      <sheetName val="ATT10_1"/>
      <sheetName val="ATT10_3"/>
      <sheetName val="ATT5"/>
      <sheetName val="Listes de Sélection"/>
      <sheetName val="CUB Scout"/>
      <sheetName val="EDC-DAS"/>
      <sheetName val="90-120"/>
      <sheetName val="Asset Balances"/>
      <sheetName val="Inputs"/>
      <sheetName val="P&amp;L"/>
      <sheetName val="편성 전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9.xml><?xml version="1.0" encoding="utf-8"?>
<externalLink xmlns="http://schemas.openxmlformats.org/spreadsheetml/2006/main">
  <externalBook xmlns:r="http://schemas.openxmlformats.org/officeDocument/2006/relationships" r:id="rId1">
    <sheetNames>
      <sheetName val="XXXXXX"/>
      <sheetName val="Exrate"/>
      <sheetName val="Mth-Vana2"/>
      <sheetName val="Ytd-Vana2"/>
      <sheetName val="Mth-Vana"/>
      <sheetName val="Ytd-Vana"/>
      <sheetName val="P&amp;L Carat"/>
      <sheetName val="Profit &amp; Loss"/>
      <sheetName val="Expenses"/>
      <sheetName val="Mgt Profit &amp; Loss"/>
      <sheetName val="Balance Sheet "/>
      <sheetName val="BS-Working"/>
      <sheetName val="Season-P&amp;L Full Year"/>
      <sheetName val="Season-Expense"/>
      <sheetName val="Season-P&amp;L"/>
      <sheetName val="Season-Expense Full Year"/>
      <sheetName val="NOWC"/>
      <sheetName val="Cash Flow "/>
      <sheetName val="Mth_Vana"/>
      <sheetName val="ATT10-3"/>
      <sheetName val="ATT9"/>
      <sheetName val="ATT10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</sheetDataSet>
  </externalBook>
</externalLink>
</file>

<file path=xl/externalLinks/externalLink60.xml><?xml version="1.0" encoding="utf-8"?>
<externalLink xmlns="http://schemas.openxmlformats.org/spreadsheetml/2006/main">
  <externalBook xmlns:r="http://schemas.openxmlformats.org/officeDocument/2006/relationships" r:id="rId1">
    <sheetNames>
      <sheetName val="UCL数据"/>
      <sheetName val="UCL图表"/>
      <sheetName val="Mth-Vana"/>
    </sheetNames>
    <sheetDataSet>
      <sheetData sheetId="0" refreshError="1"/>
      <sheetData sheetId="1"/>
      <sheetData sheetId="2" refreshError="1"/>
    </sheetDataSet>
  </externalBook>
</externalLink>
</file>

<file path=xl/externalLinks/externalLink61.xml><?xml version="1.0" encoding="utf-8"?>
<externalLink xmlns="http://schemas.openxmlformats.org/spreadsheetml/2006/main">
  <externalBook xmlns:r="http://schemas.openxmlformats.org/officeDocument/2006/relationships" r:id="rId1">
    <sheetNames>
      <sheetName val="Base SA 10 2003"/>
      <sheetName val="Creances en retard"/>
      <sheetName val="Provisions PR"/>
      <sheetName val="Dos non lié aff &amp; &lt; 100€"/>
      <sheetName val="CU5"/>
      <sheetName val="UCL数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2.xml><?xml version="1.0" encoding="utf-8"?>
<externalLink xmlns="http://schemas.openxmlformats.org/spreadsheetml/2006/main">
  <externalBook xmlns:r="http://schemas.openxmlformats.org/officeDocument/2006/relationships" r:id="rId1">
    <sheetNames>
      <sheetName val="BASE DE DATOS"/>
      <sheetName val="PEDIDOS"/>
      <sheetName val="FACTURACION"/>
      <sheetName val="REPREV.PED. SILVANA"/>
      <sheetName val="REPREV.PED. JOSE LUIS"/>
      <sheetName val="REPORTE RCM DEL MES"/>
      <sheetName val="PORTFOLIO 2000"/>
      <sheetName val="MARGENES"/>
      <sheetName val="STOCK POR ACTIVIDAD"/>
      <sheetName val="Prorrateo FC BCPS"/>
      <sheetName val="Stock puntual por mes"/>
      <sheetName val="ROTACION LENTA 1"/>
      <sheetName val="ROTACION LENTA 2"/>
      <sheetName val="DISTR. STOCK. VARIOS"/>
      <sheetName val="PERSONAL"/>
      <sheetName val="INVERSIONES"/>
      <sheetName val="COMPRAS"/>
      <sheetName val="BFR PUNTUAL =S="/>
      <sheetName val="BFR PROMEDIO =S="/>
      <sheetName val="COSTOS ESTRUCTURA p-NATURALEZA"/>
      <sheetName val="List"/>
      <sheetName val="Base de Datos Pedidos Dolares"/>
      <sheetName val="Listes"/>
      <sheetName val="EDP 09-2001"/>
      <sheetName val="Hoja1"/>
      <sheetName val="H1308"/>
      <sheetName val="Orders Fcst"/>
      <sheetName val="Ship Fcst"/>
      <sheetName val="Mth-Vana"/>
      <sheetName val="Start_up_checklist"/>
      <sheetName val="BS Currencies"/>
      <sheetName val="IS Currencies"/>
      <sheetName val="Entrants pour le métier élec"/>
      <sheetName val="Parameters"/>
      <sheetName val="UCL数据"/>
      <sheetName val="Spa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3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 summary"/>
      <sheetName val="Data"/>
      <sheetName val="pie chart"/>
      <sheetName val="COST VS DELTA SALES"/>
      <sheetName val="TTM VS DELTA SALES"/>
      <sheetName val="SALES BUBBLE"/>
      <sheetName val="information indicator"/>
      <sheetName val="INS resource"/>
      <sheetName val="CRDC resource chart"/>
      <sheetName val="CRDC resource details"/>
      <sheetName val="CRDC res pivot"/>
      <sheetName val="BASE DE 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64.xml><?xml version="1.0" encoding="utf-8"?>
<externalLink xmlns="http://schemas.openxmlformats.org/spreadsheetml/2006/main">
  <externalBook xmlns:r="http://schemas.openxmlformats.org/officeDocument/2006/relationships" r:id="rId1">
    <sheetNames>
      <sheetName val="検索953-1c"/>
      <sheetName val="BASE DE DATOS"/>
      <sheetName val="UCL数据"/>
    </sheetNames>
    <definedNames>
      <definedName name="sell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65.xml><?xml version="1.0" encoding="utf-8"?>
<externalLink xmlns="http://schemas.openxmlformats.org/spreadsheetml/2006/main">
  <externalBook xmlns:r="http://schemas.openxmlformats.org/officeDocument/2006/relationships" r:id="rId1">
    <sheetNames>
      <sheetName val="Détail Juridiques (2)"/>
      <sheetName val="Synthèse"/>
      <sheetName val="Détail Juridiques"/>
      <sheetName val="MANAGEMENT"/>
      <sheetName val="LEGAL"/>
      <sheetName val="CCO"/>
      <sheetName val="MGE_LEGAL"/>
      <sheetName val="MANAGEMENT_w_invalids"/>
      <sheetName val="ReportingEntities"/>
      <sheetName val="__"/>
      <sheetName val="_CountryCodes"/>
      <sheetName val="Décomptev2"/>
      <sheetName val="BASE DE DATOS"/>
      <sheetName val="Start_up_checklist"/>
      <sheetName val="Sheet1"/>
      <sheetName val="Listes"/>
      <sheetName val="tool_cost_EMS"/>
      <sheetName val="ATT10-3"/>
      <sheetName val="ATT9"/>
      <sheetName val="ATT10-1"/>
    </sheetNames>
    <definedNames>
      <definedName name="cmdSave"/>
      <definedName name="ConditionSelect"/>
      <definedName name="検索条件保存キャンセルボタン"/>
      <definedName name="検索条件選択キャンセルボタン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6.xml><?xml version="1.0" encoding="utf-8"?>
<externalLink xmlns="http://schemas.openxmlformats.org/spreadsheetml/2006/main">
  <externalBook xmlns:r="http://schemas.openxmlformats.org/officeDocument/2006/relationships" r:id="rId1">
    <sheetNames>
      <sheetName val="Détail des stocks hors vieil-F"/>
      <sheetName val="Analyse  dette par devise - F"/>
      <sheetName val="Investissements - F"/>
      <sheetName val="Résultat financier - F"/>
      <sheetName val="Coût de la dette HGroupe - F"/>
      <sheetName val="Synthèse des dot. aux prov. - F"/>
      <sheetName val="Résultat cession financier - F"/>
      <sheetName val="Cautions reçues"/>
      <sheetName val="Détail frais de R&amp;D - F"/>
      <sheetName val="MES filtres"/>
      <sheetName val="_CountryCodes"/>
      <sheetName val="Codes pays"/>
      <sheetName val="DSO by country"/>
      <sheetName val="BASE DE DATOS"/>
      <sheetName val="Annexes Keops non reprises"/>
      <sheetName val="time code"/>
      <sheetName val="KE"/>
      <sheetName val="OG Trade Receivables Values"/>
      <sheetName val="YTD OG Sales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7.xml><?xml version="1.0" encoding="utf-8"?>
<externalLink xmlns="http://schemas.openxmlformats.org/spreadsheetml/2006/main">
  <externalBook xmlns:r="http://schemas.openxmlformats.org/officeDocument/2006/relationships" r:id="rId1">
    <sheetNames>
      <sheetName val="Santana 1.2 P&amp;L"/>
      <sheetName val="Material Analysis"/>
      <sheetName val="Competitive analysis"/>
      <sheetName val="Quote Oct-02"/>
      <sheetName val="Santana HS IO"/>
      <sheetName val="Previous Santana 1.x"/>
      <sheetName val="Competitive analysis (2)"/>
      <sheetName val="Current Santana P-level Export"/>
      <sheetName val="Assumptions"/>
      <sheetName val="NRE PCBA 36K"/>
      <sheetName val="NRE_60K"/>
      <sheetName val="NRE_120K"/>
      <sheetName val="NRE Box"/>
      <sheetName val="Novo PBT"/>
      <sheetName val="ACB 4POLE PRO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68.xml><?xml version="1.0" encoding="utf-8"?>
<externalLink xmlns="http://schemas.openxmlformats.org/spreadsheetml/2006/main">
  <externalBook xmlns:r="http://schemas.openxmlformats.org/officeDocument/2006/relationships" r:id="rId1">
    <sheetNames>
      <sheetName val="READ ME"/>
      <sheetName val="EXAMPLE"/>
      <sheetName val="0 - INFORMATIONS"/>
      <sheetName val="1 - CHANGES_SALES"/>
      <sheetName val="2 - CHANGES_PURCHASES"/>
      <sheetName val="3 - SALES"/>
      <sheetName val="4 - DVC Margin"/>
      <sheetName val="5 -  MBC+SUPPORT FUNCTION COSTS"/>
      <sheetName val="6 - TECHNICAL COSTS"/>
      <sheetName val="7 - OTHER OPERATING ITEMS"/>
      <sheetName val="MBC and SFC by Function "/>
      <sheetName val="8 - P&amp;L CHECK"/>
      <sheetName val="TBC BY PROJECT"/>
      <sheetName val="HEADCOUNT BY FUNCTION"/>
      <sheetName val="STOCK"/>
      <sheetName val="CAPEX"/>
      <sheetName val="Données pour graphique"/>
      <sheetName val="Options"/>
      <sheetName val="ACB 4POLE PRO."/>
      <sheetName val="Sheet2"/>
      <sheetName val="Link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9.xml><?xml version="1.0" encoding="utf-8"?>
<externalLink xmlns="http://schemas.openxmlformats.org/spreadsheetml/2006/main">
  <externalBook xmlns:r="http://schemas.openxmlformats.org/officeDocument/2006/relationships" r:id="rId1">
    <sheetNames>
      <sheetName val="working(with mat'l cost)"/>
      <sheetName val="0 - INFORMATIONS"/>
    </sheetNames>
    <sheetDataSet>
      <sheetData sheetId="0" refreshError="1"/>
      <sheetData sheetId="1" refreshError="1"/>
    </sheetDataSet>
  </externalBook>
</externalLink>
</file>

<file path=xl/externalLinks/externalLink70.xml><?xml version="1.0" encoding="utf-8"?>
<externalLink xmlns="http://schemas.openxmlformats.org/spreadsheetml/2006/main">
  <externalBook xmlns:r="http://schemas.openxmlformats.org/officeDocument/2006/relationships" r:id="rId1">
    <sheetNames>
      <sheetName val="Projects data au 12-01-07"/>
      <sheetName val="Projects data"/>
      <sheetName val="Source"/>
      <sheetName val="Design_Abbrev"/>
      <sheetName val="TCD"/>
      <sheetName val="TCD indus"/>
      <sheetName val="TCD_Conso"/>
      <sheetName val="Modifs"/>
      <sheetName val="Gap"/>
      <sheetName val="Capa"/>
      <sheetName val="working(with mat'l cost)"/>
    </sheetNames>
    <sheetDataSet>
      <sheetData sheetId="0" refreshError="1"/>
      <sheetData sheetId="1" refreshError="1"/>
      <sheetData sheetId="2">
        <row r="2">
          <cell r="A2" t="str">
            <v>LVP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1.xml><?xml version="1.0" encoding="utf-8"?>
<externalLink xmlns="http://schemas.openxmlformats.org/spreadsheetml/2006/main">
  <externalBook xmlns:r="http://schemas.openxmlformats.org/officeDocument/2006/relationships" r:id="rId1">
    <sheetNames>
      <sheetName val="Project Info"/>
      <sheetName val="revolk"/>
      <sheetName val="Source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72.xml><?xml version="1.0" encoding="utf-8"?>
<externalLink xmlns="http://schemas.openxmlformats.org/spreadsheetml/2006/main">
  <externalBook xmlns:r="http://schemas.openxmlformats.org/officeDocument/2006/relationships" r:id="rId1">
    <sheetNames>
      <sheetName val="Project Info"/>
      <sheetName val="Test Breakout"/>
      <sheetName val="revolk"/>
      <sheetName val="0 - INFORMATIONS"/>
      <sheetName val="Source"/>
      <sheetName val="Mth-Vana"/>
    </sheetNames>
    <sheetDataSet>
      <sheetData sheetId="0" refreshError="1">
        <row r="30">
          <cell r="C30">
            <v>0.2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3.xml><?xml version="1.0" encoding="utf-8"?>
<externalLink xmlns="http://schemas.openxmlformats.org/spreadsheetml/2006/main">
  <externalBook xmlns:r="http://schemas.openxmlformats.org/officeDocument/2006/relationships" r:id="rId1">
    <sheetNames>
      <sheetName val="Modèle"/>
      <sheetName val="Project Info"/>
    </sheetNames>
    <sheetDataSet>
      <sheetData sheetId="0" refreshError="1"/>
      <sheetData sheetId="1" refreshError="1"/>
    </sheetDataSet>
  </externalBook>
</externalLink>
</file>

<file path=xl/externalLinks/externalLink74.xml><?xml version="1.0" encoding="utf-8"?>
<externalLink xmlns="http://schemas.openxmlformats.org/spreadsheetml/2006/main">
  <externalBook xmlns:r="http://schemas.openxmlformats.org/officeDocument/2006/relationships" r:id="rId1">
    <sheetNames>
      <sheetName val="Content"/>
      <sheetName val="Explanation"/>
      <sheetName val="Gross His Data"/>
      <sheetName val="Working days"/>
      <sheetName val="Commercial Events"/>
      <sheetName val="SWDA without ComEvents"/>
      <sheetName val="Seasonal Coef"/>
      <sheetName val="RF"/>
      <sheetName val="Feuil1"/>
      <sheetName val="SWDA data &amp; gap"/>
      <sheetName val="Modè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5.xml><?xml version="1.0" encoding="utf-8"?>
<externalLink xmlns="http://schemas.openxmlformats.org/spreadsheetml/2006/main">
  <externalBook xmlns:r="http://schemas.openxmlformats.org/officeDocument/2006/relationships" r:id="rId1">
    <sheetNames>
      <sheetName val="Equipment list(Qianbin)"/>
      <sheetName val="Content"/>
      <sheetName val="Feuil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76.xml><?xml version="1.0" encoding="utf-8"?>
<externalLink xmlns="http://schemas.openxmlformats.org/spreadsheetml/2006/main">
  <externalBook xmlns:r="http://schemas.openxmlformats.org/officeDocument/2006/relationships" r:id="rId1">
    <sheetNames>
      <sheetName val="ICI"/>
      <sheetName val="ICI final for bridge"/>
      <sheetName val="Sheet1"/>
      <sheetName val="ICI RECO FOR HFM"/>
      <sheetName val="ICI RECO FOR HFM (2)"/>
      <sheetName val="2007 RECO WITH INR"/>
      <sheetName val="2007 RECO SALES"/>
      <sheetName val="R&amp;D APOD RAJA"/>
      <sheetName val="EXPORT SALES HO"/>
      <sheetName val="EXPORT SALES AMBT"/>
      <sheetName val="EXPORT SALES HYD"/>
      <sheetName val="EXPORT SALES NASHIK"/>
      <sheetName val="Content"/>
      <sheetName val="Feuil1"/>
      <sheetName val="Link"/>
      <sheetName val="Importing"/>
      <sheetName val="Explanation"/>
      <sheetName val="Receivables Zones"/>
      <sheetName val="OG Sales with VAT"/>
      <sheetName val="Configur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7.xml><?xml version="1.0" encoding="utf-8"?>
<externalLink xmlns="http://schemas.openxmlformats.org/spreadsheetml/2006/main">
  <externalBook xmlns:r="http://schemas.openxmlformats.org/officeDocument/2006/relationships" r:id="rId1">
    <sheetNames>
      <sheetName val="OG Sales with VAT"/>
      <sheetName val="Receivables Zones"/>
      <sheetName val="Value"/>
      <sheetName val="Value by entity"/>
      <sheetName val="Graphs as per Intranet"/>
      <sheetName val="2007 RECO WITH IN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8.xml><?xml version="1.0" encoding="utf-8"?>
<externalLink xmlns="http://schemas.openxmlformats.org/spreadsheetml/2006/main">
  <externalBook xmlns:r="http://schemas.openxmlformats.org/officeDocument/2006/relationships" r:id="rId1">
    <sheetNames>
      <sheetName val="20 (not issued)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09"/>
      <sheetName val="08"/>
      <sheetName val="07"/>
      <sheetName val="06"/>
      <sheetName val="05"/>
      <sheetName val="04"/>
      <sheetName val="03"/>
      <sheetName val="02"/>
      <sheetName val="01"/>
      <sheetName val="Rev sheet"/>
      <sheetName val="Master"/>
      <sheetName val="IR Light Kit"/>
      <sheetName val="I Drive Motor Control 120V"/>
      <sheetName val="Receiver"/>
      <sheetName val="Transmitter (298453)"/>
      <sheetName val="Wall Station (298466)"/>
      <sheetName val="284512B  KEP2"/>
      <sheetName val="Master (2)"/>
      <sheetName val="RF Receiver CSL"/>
      <sheetName val="Receivables Zones"/>
      <sheetName val="OG Sales with V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/>
      <sheetData sheetId="30" refreshError="1"/>
      <sheetData sheetId="31" refreshError="1"/>
    </sheetDataSet>
  </externalBook>
</externalLink>
</file>

<file path=xl/externalLinks/externalLink79.xml><?xml version="1.0" encoding="utf-8"?>
<externalLink xmlns="http://schemas.openxmlformats.org/spreadsheetml/2006/main">
  <externalBook xmlns:r="http://schemas.openxmlformats.org/officeDocument/2006/relationships" r:id="rId1">
    <sheetNames>
      <sheetName val="検索953-1c"/>
      <sheetName val="Importing"/>
      <sheetName val="Explanation"/>
      <sheetName val="CCV analysis"/>
      <sheetName val="C1 Line Qual. Sample"/>
      <sheetName val="Shangha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80.xml><?xml version="1.0" encoding="utf-8"?>
<externalLink xmlns="http://schemas.openxmlformats.org/spreadsheetml/2006/main">
  <externalBook xmlns:r="http://schemas.openxmlformats.org/officeDocument/2006/relationships" r:id="rId1">
    <sheetNames>
      <sheetName val="APOD by Activity"/>
      <sheetName val="OG Sales"/>
      <sheetName val="EBIT vs "/>
      <sheetName val="Growth vs EBIT"/>
      <sheetName val="HMI"/>
      <sheetName val="Macro-Analysis - ok"/>
      <sheetName val="Sheet2"/>
      <sheetName val="APPENDIX"/>
      <sheetName val="Old Parité"/>
      <sheetName val="Sheet1"/>
      <sheetName val="HMI Activity"/>
    </sheetNames>
    <definedNames>
      <definedName name="ConditionSelect"/>
      <definedName name="検索条件選択キャンセルボタン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1.xml><?xml version="1.0" encoding="utf-8"?>
<externalLink xmlns="http://schemas.openxmlformats.org/spreadsheetml/2006/main">
  <externalBook xmlns:r="http://schemas.openxmlformats.org/officeDocument/2006/relationships" r:id="rId1">
    <sheetNames>
      <sheetName val="SIG_LANGUE"/>
      <sheetName val="SIG_VOCABLE"/>
      <sheetName val="stockage FC"/>
      <sheetName val="BALB"/>
      <sheetName val="BALR"/>
      <sheetName val="BALA"/>
      <sheetName val="OUVE"/>
      <sheetName val="OUVC"/>
      <sheetName val="MENU"/>
      <sheetName val="INTRO"/>
      <sheetName val="CTRL (2)"/>
      <sheetName val="LGK"/>
      <sheetName val="CTRL"/>
      <sheetName val="LG13"/>
      <sheetName val="LG14"/>
      <sheetName val="LG141"/>
      <sheetName val="LG15"/>
      <sheetName val="LG15BIS"/>
      <sheetName val="LG15BIS (2)"/>
      <sheetName val="LG16"/>
      <sheetName val="LG21"/>
      <sheetName val="LG22"/>
      <sheetName val="LG23"/>
      <sheetName val="LG24"/>
      <sheetName val="LG25"/>
      <sheetName val="LG26"/>
      <sheetName val="LG31"/>
      <sheetName val="LG31B"/>
      <sheetName val="LG33"/>
      <sheetName val="LG34"/>
      <sheetName val="LGPR"/>
      <sheetName val="LG101"/>
      <sheetName val="LG102"/>
      <sheetName val="LG110"/>
      <sheetName val="LG120"/>
      <sheetName val="LGINFOS"/>
      <sheetName val="LR1"/>
      <sheetName val="LR1bis"/>
      <sheetName val="LR2"/>
      <sheetName val="LR2 Bis"/>
      <sheetName val="LR3"/>
      <sheetName val="LR4"/>
      <sheetName val="LR4Bis"/>
      <sheetName val="LR5"/>
      <sheetName val="LR6"/>
      <sheetName val="LR7"/>
      <sheetName val="LR7 BisOld"/>
      <sheetName val="LR7 Bis1"/>
      <sheetName val="LR7 Bis2"/>
      <sheetName val="LR7 ter"/>
      <sheetName val="LR8"/>
      <sheetName val="LR9"/>
      <sheetName val="LR10"/>
      <sheetName val="LR10 (2)"/>
      <sheetName val="LR10 (3)"/>
      <sheetName val="LR11"/>
      <sheetName val="LR12new"/>
      <sheetName val="LR12"/>
      <sheetName val="LR13"/>
      <sheetName val="LR14"/>
      <sheetName val="LR15"/>
      <sheetName val="LR16"/>
      <sheetName val="LR17"/>
      <sheetName val="LT3B"/>
      <sheetName val="LT4"/>
      <sheetName val="LT4B"/>
      <sheetName val="LT5"/>
      <sheetName val="LT5A"/>
      <sheetName val="LT6"/>
      <sheetName val="LT6A"/>
      <sheetName val="LT7"/>
      <sheetName val="LT8A"/>
      <sheetName val="LT8B"/>
      <sheetName val="LGRKP"/>
      <sheetName val="DONNEES"/>
      <sheetName val="LANG"/>
      <sheetName val="ENTITY"/>
      <sheetName val="ENTITYb"/>
      <sheetName val="Original"/>
      <sheetName val="INDIC-06"/>
      <sheetName val="INDIC-04"/>
      <sheetName val="INDIC-08"/>
      <sheetName val="Synthèse"/>
      <sheetName val="Org"/>
      <sheetName val="Feb"/>
      <sheetName val="Minutes-follow up"/>
      <sheetName val="Sheet3"/>
      <sheetName val="Australie"/>
      <sheetName val="Canada"/>
      <sheetName val="Corée"/>
      <sheetName val="HongKong"/>
      <sheetName val="Inde"/>
      <sheetName val="Indonésie"/>
      <sheetName val="Japon"/>
      <sheetName val="Mexique"/>
      <sheetName val="NZelande"/>
      <sheetName val="Philippines"/>
      <sheetName val="SBLV"/>
      <sheetName val="SBMV"/>
      <sheetName val="Singapour"/>
      <sheetName val="SQD"/>
      <sheetName val="SSC"/>
      <sheetName val="SSPA"/>
      <sheetName val="Taiwan"/>
      <sheetName val="Thailande"/>
      <sheetName val="ts clients"/>
      <sheetName val="Vietnam"/>
      <sheetName val="distributors"/>
      <sheetName val="Setup"/>
      <sheetName val="Sum-07"/>
      <sheetName val="Comentarios"/>
      <sheetName val="PointNo.5"/>
      <sheetName val="stockage_FC"/>
      <sheetName val="CTRL_(2)"/>
      <sheetName val="LG15BIS_(2)"/>
      <sheetName val="LR2_Bis"/>
      <sheetName val="LR7_BisOld"/>
      <sheetName val="LR7_Bis1"/>
      <sheetName val="LR7_Bis2"/>
      <sheetName val="LR7_ter"/>
      <sheetName val="LR10_(2)"/>
      <sheetName val="LR10_(3)"/>
      <sheetName val="Minutes-follow_up"/>
      <sheetName val="IV-C sale ass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</sheetDataSet>
  </externalBook>
</externalLink>
</file>

<file path=xl/externalLinks/externalLink82.xml><?xml version="1.0" encoding="utf-8"?>
<externalLink xmlns="http://schemas.openxmlformats.org/spreadsheetml/2006/main">
  <externalBook xmlns:r="http://schemas.openxmlformats.org/officeDocument/2006/relationships" r:id="rId1">
    <sheetNames>
      <sheetName val="PPS-Summary"/>
      <sheetName val="Data"/>
      <sheetName val="Sheet1"/>
      <sheetName val="Stk-Trf"/>
      <sheetName val="Guidelines"/>
      <sheetName val="Receivables Zones"/>
      <sheetName val="OG Sales with VAT"/>
      <sheetName val="bom"/>
      <sheetName val="forex"/>
      <sheetName val="BASE DE DATOS"/>
      <sheetName val="Modèle"/>
      <sheetName val="exch rate 2003 2004"/>
      <sheetName val="Status Channel Financing"/>
      <sheetName val="Annexure VI"/>
      <sheetName val="PPS"/>
      <sheetName val="Link"/>
      <sheetName val="2007 RECO WITH INR"/>
      <sheetName val="INDEX"/>
      <sheetName val="Ref"/>
      <sheetName val="Q2 YTD OG Sales Analysis"/>
      <sheetName val="Q2 OG Trade Receivables"/>
      <sheetName val="ACB 4POLE PRO."/>
      <sheetName val="CCV analysis"/>
      <sheetName val="C1 Line Qual. Sample"/>
      <sheetName val="Entity List"/>
      <sheetName val="Ord-Input"/>
      <sheetName val="Pinv"/>
      <sheetName val="0 - Informations "/>
      <sheetName val="LANG"/>
      <sheetName val="OUVC"/>
      <sheetName val="A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3.xml><?xml version="1.0" encoding="utf-8"?>
<externalLink xmlns="http://schemas.openxmlformats.org/spreadsheetml/2006/main">
  <externalBook xmlns:r="http://schemas.openxmlformats.org/officeDocument/2006/relationships" r:id="rId1">
    <sheetNames>
      <sheetName val="0727-5％"/>
      <sheetName val="案件"/>
      <sheetName val="0723-5％"/>
      <sheetName val="0716-5％"/>
      <sheetName val="0611-5％削減依頼文"/>
      <sheetName val="0620案5％ (回収分)"/>
      <sheetName val="0611案2％"/>
      <sheetName val="0611案5％"/>
      <sheetName val="0611５％決定通知"/>
      <sheetName val="0604案"/>
      <sheetName val="0528案"/>
      <sheetName val="0522案"/>
      <sheetName val="INDIC-04"/>
      <sheetName val="INDIC-06"/>
      <sheetName val="INDIC-08"/>
      <sheetName val="Original"/>
      <sheetName val="Inv 6000"/>
      <sheetName val="Feb"/>
      <sheetName val="Org"/>
      <sheetName val="LANG"/>
      <sheetName val="OUVC"/>
      <sheetName val="Forex06"/>
      <sheetName val="BASE DE DATOS"/>
      <sheetName val="Sheet1"/>
      <sheetName val="2007 RECO WITH INR"/>
      <sheetName val="Australie"/>
      <sheetName val="Canada"/>
      <sheetName val="Corée"/>
      <sheetName val="HongKong"/>
      <sheetName val="Inde"/>
      <sheetName val="Indonésie"/>
      <sheetName val="Japon"/>
      <sheetName val="Mexique"/>
      <sheetName val="NZelande"/>
      <sheetName val="Philippines"/>
      <sheetName val="SBLV"/>
      <sheetName val="SBMV"/>
      <sheetName val="Singapour"/>
      <sheetName val="SQD"/>
      <sheetName val="SSC"/>
      <sheetName val="SSPA"/>
      <sheetName val="Taiwan"/>
      <sheetName val="Thailande"/>
      <sheetName val="ts clients"/>
      <sheetName val="Vietnam"/>
      <sheetName val="OUVE"/>
      <sheetName val="distributors"/>
      <sheetName val="REXL2TMB7"/>
      <sheetName val="Existing Asset"/>
      <sheetName val="New Repor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84.xml><?xml version="1.0" encoding="utf-8"?>
<externalLink xmlns="http://schemas.openxmlformats.org/spreadsheetml/2006/main">
  <externalBook xmlns:r="http://schemas.openxmlformats.org/officeDocument/2006/relationships" r:id="rId1">
    <sheetNames>
      <sheetName val="Plant summary"/>
      <sheetName val="MM"/>
      <sheetName val="MM-New building"/>
      <sheetName val="Dept"/>
      <sheetName val="IT"/>
      <sheetName val="Old Parité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85.xml><?xml version="1.0" encoding="utf-8"?>
<externalLink xmlns="http://schemas.openxmlformats.org/spreadsheetml/2006/main">
  <externalBook xmlns:r="http://schemas.openxmlformats.org/officeDocument/2006/relationships" r:id="rId1">
    <sheetNames>
      <sheetName val="XXXXXX"/>
      <sheetName val="Exrate"/>
      <sheetName val="Mth-Vana2"/>
      <sheetName val="Ytd-Vana2"/>
      <sheetName val="Mth-Vana"/>
      <sheetName val="Ytd-Vana"/>
      <sheetName val="P&amp;L Carat"/>
      <sheetName val="Profit &amp; Loss"/>
      <sheetName val="Expenses"/>
      <sheetName val="Mgt Profit &amp; Loss"/>
      <sheetName val="Balance Sheet "/>
      <sheetName val="BS-Working"/>
      <sheetName val="Season-P&amp;L Full Year"/>
      <sheetName val="Season-Expense"/>
      <sheetName val="Season-P&amp;L"/>
      <sheetName val="Season-Expense Full Year"/>
      <sheetName val="NOWC"/>
      <sheetName val="Cash Flow "/>
      <sheetName val="Mth_Vana"/>
      <sheetName val="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86.xml><?xml version="1.0" encoding="utf-8"?>
<externalLink xmlns="http://schemas.openxmlformats.org/spreadsheetml/2006/main">
  <externalBook xmlns:r="http://schemas.openxmlformats.org/officeDocument/2006/relationships" r:id="rId1">
    <sheetNames>
      <sheetName val="Portada"/>
      <sheetName val="M - 3"/>
      <sheetName val="M"/>
      <sheetName val="M + 1"/>
      <sheetName val="M + 2"/>
      <sheetName val="M + 3"/>
      <sheetName val="T2"/>
      <sheetName val="FIN AÑO"/>
      <sheetName val="Cuenta de Explotacion"/>
      <sheetName val="BFR"/>
      <sheetName val="EFFECTIFS"/>
      <sheetName val="ANAL-MB"/>
      <sheetName val="analisis_mb"/>
      <sheetName val="Meli_Indust"/>
      <sheetName val="MARTA"/>
      <sheetName val="90447"/>
      <sheetName val="analisis_mb 06"/>
      <sheetName val="analisis_mb 12"/>
      <sheetName val="OG Sales Values"/>
      <sheetName val="OG Trade Receivables"/>
      <sheetName val="Mth-Van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7.xml><?xml version="1.0" encoding="utf-8"?>
<externalLink xmlns="http://schemas.openxmlformats.org/spreadsheetml/2006/main">
  <externalBook xmlns:r="http://schemas.openxmlformats.org/officeDocument/2006/relationships" r:id="rId1">
    <sheetNames>
      <sheetName val="ETOP"/>
      <sheetName val="SOMMAIRE"/>
      <sheetName val="DOC11"/>
      <sheetName val="DOC12"/>
      <sheetName val="DOC21"/>
      <sheetName val="DOC22"/>
      <sheetName val="DOC23"/>
      <sheetName val="DOC24"/>
      <sheetName val="DOC25"/>
      <sheetName val="DOC26"/>
      <sheetName val="DOC31"/>
      <sheetName val="DOC32"/>
      <sheetName val="DOC33"/>
      <sheetName val="DOC34"/>
      <sheetName val="DOC35"/>
      <sheetName val="DOC36"/>
      <sheetName val="DOC37"/>
      <sheetName val="DOC38"/>
      <sheetName val="DOC39"/>
      <sheetName val="DOC310"/>
      <sheetName val="DOC311"/>
      <sheetName val="DOC312"/>
      <sheetName val="DOC313"/>
      <sheetName val="DOC41"/>
      <sheetName val="DOC42"/>
      <sheetName val="DOC43"/>
      <sheetName val="DOC44"/>
      <sheetName val="DOC51"/>
      <sheetName val="DOC52"/>
      <sheetName val="DOC53.0"/>
      <sheetName val="DOC53"/>
      <sheetName val="DOC54"/>
      <sheetName val="DOC55"/>
      <sheetName val="DOC61"/>
      <sheetName val="DOC62"/>
      <sheetName val="DOC63"/>
      <sheetName val="DOC71"/>
      <sheetName val="DOC80"/>
      <sheetName val="DOC81"/>
      <sheetName val="DOC82"/>
      <sheetName val="DOC83"/>
      <sheetName val="DOC84"/>
      <sheetName val="DOC85"/>
      <sheetName val="DOC86"/>
      <sheetName val="DOC87"/>
      <sheetName val="DOC88"/>
      <sheetName val="Anexo"/>
      <sheetName val="Hoja1"/>
      <sheetName val="ANAL-MB"/>
      <sheetName val="Parameters"/>
      <sheetName val="Inv 6000"/>
      <sheetName val="1994XLS"/>
      <sheetName val="Mth-Vana"/>
      <sheetName val="V"/>
      <sheetName val="Input"/>
      <sheetName val="compo ata1"/>
      <sheetName val="Dividend (Annex19)-FINAL"/>
      <sheetName val="DOC53_0"/>
      <sheetName val="Inv_6000"/>
      <sheetName val="Importing"/>
      <sheetName val="Explanation"/>
      <sheetName val="R2BU-Retrieve"/>
      <sheetName val="Perimeter"/>
      <sheetName val="DIN"/>
      <sheetName val="DPO"/>
      <sheetName val="DSO"/>
      <sheetName val="2.0 ORDER all segment"/>
      <sheetName val="Graphs on aggregate"/>
      <sheetName val="2.1 ORDER corrected"/>
      <sheetName val="Coalmine"/>
      <sheetName val="Supp Funct Perm"/>
      <sheetName val="Sheet1"/>
      <sheetName val="Details"/>
      <sheetName val="Parameter"/>
      <sheetName val="OG Sales Values"/>
      <sheetName val="OG Trade Receivables"/>
      <sheetName val="DOC53_01"/>
      <sheetName val="Inv_60001"/>
      <sheetName val="compo_ata1"/>
      <sheetName val="Dividend_(Annex19)-FINAL"/>
      <sheetName val="2_0_ORDER_all_segment"/>
      <sheetName val="Graphs_on_aggregate"/>
      <sheetName val="2_1_ORDER_corrected"/>
      <sheetName val="Supp_Funct_Perm"/>
      <sheetName val="OG_Sales_Values"/>
      <sheetName val="OG_Trade_Receivables"/>
      <sheetName val="Retrieve"/>
      <sheetName val="Data"/>
      <sheetName val="Liste"/>
      <sheetName val="Retrieve Graphs"/>
      <sheetName val="DRAFT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</sheetDataSet>
  </externalBook>
</externalLink>
</file>

<file path=xl/externalLinks/externalLink88.xml><?xml version="1.0" encoding="utf-8"?>
<externalLink xmlns="http://schemas.openxmlformats.org/spreadsheetml/2006/main">
  <externalBook xmlns:r="http://schemas.openxmlformats.org/officeDocument/2006/relationships" r:id="rId1">
    <sheetNames>
      <sheetName val="MES originale"/>
      <sheetName val="Stock interne PR Am"/>
      <sheetName val="Pb MES"/>
      <sheetName val="Ecart C R"/>
      <sheetName val="Aberlour"/>
      <sheetName val="Campbell"/>
      <sheetName val="Jacob's Creek"/>
      <sheetName val="Jameson"/>
      <sheetName val="Havana"/>
      <sheetName val="Paddy"/>
      <sheetName val="WT"/>
      <sheetName val="Récap. Marques"/>
      <sheetName val="MES filtres"/>
      <sheetName val="Ecriture"/>
      <sheetName val="Distrib. synthèse"/>
      <sheetName val="prod. synthèse"/>
      <sheetName val="prod. détail"/>
      <sheetName val="Dubonnet"/>
      <sheetName val="Feuil3"/>
      <sheetName val="MES filtres (2)"/>
      <sheetName val="DSO by country"/>
      <sheetName val="Mth-Vana"/>
      <sheetName val="-"/>
      <sheetName val="Parameters"/>
      <sheetName val="ANAL-MB"/>
      <sheetName val="OG Trade Receivables Values"/>
      <sheetName val="YTD OG Sales Analysis"/>
      <sheetName val="1994XLS"/>
      <sheetName val="Sheet1"/>
      <sheetName val="MES0600"/>
      <sheetName val="DOC34"/>
      <sheetName val="mcb"/>
      <sheetName val="Org"/>
      <sheetName val="Ord-Input"/>
      <sheetName val="Valeurs"/>
      <sheetName val="Days"/>
      <sheetName val="definition"/>
      <sheetName val="Sheet3"/>
      <sheetName val="current"/>
      <sheetName val="MES_originale"/>
      <sheetName val="Stock_interne_PR_Am"/>
      <sheetName val="Pb_MES"/>
      <sheetName val="Ecart_C_R"/>
      <sheetName val="Jacob's_Creek"/>
      <sheetName val="Récap__Marques"/>
      <sheetName val="MES_filtres"/>
      <sheetName val="Distrib__synthèse"/>
      <sheetName val="prod__synthèse"/>
      <sheetName val="prod__détail"/>
      <sheetName val="MES_filtres_(2)"/>
      <sheetName val="DSO_by_country"/>
      <sheetName val="OG_Trade_Receivables_Values"/>
      <sheetName val="YTD_OG_Sales_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89.xml><?xml version="1.0" encoding="utf-8"?>
<externalLink xmlns="http://schemas.openxmlformats.org/spreadsheetml/2006/main">
  <externalBook xmlns:r="http://schemas.openxmlformats.org/officeDocument/2006/relationships" r:id="rId1">
    <sheetNames>
      <sheetName val="Conso Financials Forecast"/>
      <sheetName val="Conso Financials Forecast (2)"/>
      <sheetName val="Orders Graph PFX (2)"/>
      <sheetName val="Orders Forecast"/>
      <sheetName val="OG Sales Graph PFX (3)"/>
      <sheetName val="OG Sales Forecast"/>
      <sheetName val="Total Sales Forecast"/>
      <sheetName val="GM Forecast"/>
      <sheetName val="SFC Forecast"/>
      <sheetName val="EBIT Forecast"/>
      <sheetName val="Capital Employed"/>
      <sheetName val="MES filtres"/>
      <sheetName val="-"/>
      <sheetName val="DSO by country"/>
      <sheetName val="Sheet1"/>
      <sheetName val="ANAL-MB"/>
      <sheetName val="Inv 6000"/>
      <sheetName val="Mth-Vana"/>
      <sheetName val="time code"/>
      <sheetName val="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0.xml><?xml version="1.0" encoding="utf-8"?>
<externalLink xmlns="http://schemas.openxmlformats.org/spreadsheetml/2006/main">
  <externalBook xmlns:r="http://schemas.openxmlformats.org/officeDocument/2006/relationships" r:id="rId1">
    <sheetNames>
      <sheetName val="SAPfile"/>
      <sheetName val="INDIC-04"/>
      <sheetName val="INDIC-08"/>
      <sheetName val="1994XL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1.xml><?xml version="1.0" encoding="utf-8"?>
<externalLink xmlns="http://schemas.openxmlformats.org/spreadsheetml/2006/main">
  <externalBook xmlns:r="http://schemas.openxmlformats.org/officeDocument/2006/relationships" r:id="rId1">
    <sheetNames>
      <sheetName val="Entity List"/>
      <sheetName val="Welcome"/>
      <sheetName val="EOY07-P&amp;L(06rate)"/>
      <sheetName val="EOY07-P&amp;L(Neutr Rate)"/>
      <sheetName val="EOY07-P&amp;L(LOC-before Elim)"/>
      <sheetName val="AOC-entity"/>
      <sheetName val="Inventory (Entity)"/>
      <sheetName val="AOC Zoom"/>
      <sheetName val="AOC Period"/>
      <sheetName val="AOC SUM"/>
      <sheetName val="Net Productivity"/>
      <sheetName val="DVC Productivity wo RM"/>
      <sheetName val="Negotiation"/>
      <sheetName val="RM Inflation"/>
      <sheetName val="Localization"/>
      <sheetName val="Internationlization"/>
      <sheetName val="OutSourcing"/>
      <sheetName val="QVE"/>
      <sheetName val="Freight-in"/>
      <sheetName val="Labor"/>
      <sheetName val="Labor Rate"/>
      <sheetName val="Labor Efficiency"/>
      <sheetName val="Transfer"/>
      <sheetName val="Transfer Positive"/>
      <sheetName val="Transfer - TP"/>
      <sheetName val="Transportation"/>
      <sheetName val="others"/>
      <sheetName val="P&amp;L Period"/>
      <sheetName val="P&amp;L-APOD IND"/>
      <sheetName val="P&amp;L-BY ZONE"/>
      <sheetName val="Sales"/>
      <sheetName val="Sales by Nature"/>
      <sheetName val="DVC Margin"/>
      <sheetName val="DVC Margin%"/>
      <sheetName val="DVC&amp;MBC(APOD IND)"/>
      <sheetName val="MBC"/>
      <sheetName val="Oper.Cost"/>
      <sheetName val="Cost by Nature (APOD IND)"/>
      <sheetName val="Inventory (APOD IND))"/>
      <sheetName val="Inventory (HKIDC)"/>
      <sheetName val="Inventory (Entity-YTD)"/>
      <sheetName val="DIN (Rolling12m-entity)"/>
      <sheetName val="OG AP (Rolling12m-entity)"/>
      <sheetName val="CAPEX"/>
      <sheetName val="P&amp;L(China IND)"/>
      <sheetName val="P&amp;L-(China entity)"/>
      <sheetName val="AOC Period (CHINA IND)"/>
      <sheetName val="Inventory (CHINA IND)"/>
      <sheetName val="P&amp;L(INDIA IND)"/>
      <sheetName val="P&amp;L-(INDIA Entity)"/>
      <sheetName val="Inventory (INDIA IND)"/>
      <sheetName val="P&amp;L(SEA IND)"/>
      <sheetName val="P&amp;L-(SEA Entity)"/>
      <sheetName val="Inventory (SEA IND)"/>
      <sheetName val="Entity_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92.xml><?xml version="1.0" encoding="utf-8"?>
<externalLink xmlns="http://schemas.openxmlformats.org/spreadsheetml/2006/main">
  <externalBook xmlns:r="http://schemas.openxmlformats.org/officeDocument/2006/relationships" r:id="rId1">
    <sheetNames>
      <sheetName val="AOC"/>
      <sheetName val="AOC Graphic"/>
      <sheetName val="元データβ"/>
      <sheetName val="製品一覧Ver2"/>
      <sheetName val="予定一覧Ver2"/>
      <sheetName val="所属"/>
      <sheetName val="担当者名"/>
      <sheetName val="#REF!"/>
      <sheetName val="Entity List"/>
      <sheetName val="Entity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</sheetDataSet>
  </externalBook>
</externalLink>
</file>

<file path=xl/externalLinks/externalLink93.xml><?xml version="1.0" encoding="utf-8"?>
<externalLink xmlns="http://schemas.openxmlformats.org/spreadsheetml/2006/main">
  <externalBook xmlns:r="http://schemas.openxmlformats.org/officeDocument/2006/relationships" r:id="rId1">
    <sheetNames>
      <sheetName val="Net AR"/>
      <sheetName val="Overdue"/>
      <sheetName val="ratio"/>
      <sheetName val="Table"/>
      <sheetName val="Entity_List"/>
      <sheetName val="mcb"/>
      <sheetName val="FUELOTH"/>
      <sheetName val="Entity List"/>
      <sheetName val="ER1"/>
      <sheetName val="Paramètres"/>
      <sheetName val="FURNACE FUEL"/>
      <sheetName val="Variance Summary"/>
      <sheetName val="Parameters"/>
      <sheetName val="Mth-Vana"/>
      <sheetName val="-"/>
      <sheetName val="1994XLS"/>
      <sheetName val="definition"/>
      <sheetName val="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94.xml><?xml version="1.0" encoding="utf-8"?>
<externalLink xmlns="http://schemas.openxmlformats.org/spreadsheetml/2006/main">
  <externalBook xmlns:r="http://schemas.openxmlformats.org/officeDocument/2006/relationships" r:id="rId1">
    <sheetNames>
      <sheetName val="Lasagnes aux 3 fromages italien"/>
      <sheetName val="Conseils_Utilisation"/>
      <sheetName val="Coûts_Distribution"/>
      <sheetName val="P&amp;L"/>
      <sheetName val="Dégrad CA avr 05"/>
      <sheetName val="Dégrad CA oct 05"/>
      <sheetName val="Volumes Dyson"/>
      <sheetName val="listes"/>
      <sheetName val="codes PF"/>
      <sheetName val="Curency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>
        <row r="1">
          <cell r="G1" t="str">
            <v>Somme  Assort mixte Nems autres Coupe</v>
          </cell>
        </row>
      </sheetData>
      <sheetData sheetId="8" refreshError="1"/>
      <sheetData sheetId="9" refreshError="1"/>
    </sheetDataSet>
  </externalBook>
</externalLink>
</file>

<file path=xl/externalLinks/externalLink95.xml><?xml version="1.0" encoding="utf-8"?>
<externalLink xmlns="http://schemas.openxmlformats.org/spreadsheetml/2006/main">
  <externalBook xmlns:r="http://schemas.openxmlformats.org/officeDocument/2006/relationships" r:id="rId1">
    <sheetNames>
      <sheetName val="XXXXXX"/>
      <sheetName val="Exrate"/>
      <sheetName val="Mth-Vana2"/>
      <sheetName val="Ytd-Vana2"/>
      <sheetName val="Mth-Vana"/>
      <sheetName val="Ytd-Vana"/>
      <sheetName val="P&amp;L Carat"/>
      <sheetName val="Profit &amp; Loss"/>
      <sheetName val="Expenses"/>
      <sheetName val="Mgt Profit &amp; Loss"/>
      <sheetName val="Balance Sheet "/>
      <sheetName val="BS-Working"/>
      <sheetName val="Season-P&amp;L Full Year"/>
      <sheetName val="Season-Expense"/>
      <sheetName val="Season-P&amp;L"/>
      <sheetName val="Season-Expense Full Year"/>
      <sheetName val="NOWC"/>
      <sheetName val="Cash Flow "/>
      <sheetName val="Days"/>
      <sheetName val="lis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6.xml><?xml version="1.0" encoding="utf-8"?>
<externalLink xmlns="http://schemas.openxmlformats.org/spreadsheetml/2006/main">
  <externalBook xmlns:r="http://schemas.openxmlformats.org/officeDocument/2006/relationships" r:id="rId1">
    <sheetNames>
      <sheetName val="Feuil1"/>
      <sheetName val="Feuil2"/>
      <sheetName val="Feuil3"/>
      <sheetName val="Mth-Vana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7.xml><?xml version="1.0" encoding="utf-8"?>
<externalLink xmlns="http://schemas.openxmlformats.org/spreadsheetml/2006/main">
  <externalBook xmlns:r="http://schemas.openxmlformats.org/officeDocument/2006/relationships" r:id="rId1">
    <sheetNames>
      <sheetName val="検索953-1c"/>
      <sheetName val="Orders Fcst"/>
      <sheetName val="Ship Fcst"/>
      <sheetName val="EX RAT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8.xml><?xml version="1.0" encoding="utf-8"?>
<externalLink xmlns="http://schemas.openxmlformats.org/spreadsheetml/2006/main">
  <externalBook xmlns:r="http://schemas.openxmlformats.org/officeDocument/2006/relationships" r:id="rId1">
    <sheetNames>
      <sheetName val="Pedidos Pesos"/>
      <sheetName val="Compp"/>
      <sheetName val="grfpp"/>
      <sheetName val="Facturación Pesos"/>
      <sheetName val="Comfp"/>
      <sheetName val="grfp"/>
      <sheetName val="AOC"/>
      <sheetName val="Base de Datos Fact. pesos"/>
      <sheetName val="Base de Datos Pedidos pesos"/>
      <sheetName val="Pedidos Real + RPFA $$"/>
      <sheetName val="Facturacion Real + RPFA $$"/>
      <sheetName val="Margenes Actual Pesos"/>
      <sheetName val="Margenes RF Peso"/>
      <sheetName val="REAL + RF"/>
      <sheetName val="RPFA"/>
      <sheetName val="Margenes A-1 en Pesos"/>
      <sheetName val="Margenes A-2 en Pesos"/>
      <sheetName val="Promedios moviles P"/>
      <sheetName val="Promedios moviles F"/>
      <sheetName val="COMENTARIOS"/>
      <sheetName val="Pedidos Ventas"/>
    </sheetNames>
    <definedNames>
      <definedName name="検索条件保存キャンセルボタン"/>
      <definedName name="検索条件選択キャンセルボタン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9.xml><?xml version="1.0" encoding="utf-8"?>
<externalLink xmlns="http://schemas.openxmlformats.org/spreadsheetml/2006/main">
  <externalBook xmlns:r="http://schemas.openxmlformats.org/officeDocument/2006/relationships" r:id="rId1">
    <sheetNames>
      <sheetName val="Explanation"/>
      <sheetName val="Gross His Data"/>
      <sheetName val="RF Sans Swda"/>
      <sheetName val="Modif"/>
      <sheetName val="His2004"/>
      <sheetName val="His2005"/>
      <sheetName val="His2006"/>
      <sheetName val="Working days"/>
      <sheetName val="Commercial Events"/>
      <sheetName val="Seasonal Coef"/>
      <sheetName val="Importing"/>
      <sheetName val="BASE"/>
      <sheetName val="Sans Normalisation"/>
      <sheetName val="Gap"/>
      <sheetName val="SWDA"/>
      <sheetName val="RF"/>
      <sheetName val="comparison"/>
      <sheetName val="Content"/>
      <sheetName val="Feuil1"/>
      <sheetName val="In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00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  <sheetName val="Hoja2"/>
      <sheetName val="Hoja3"/>
      <sheetName val="Input"/>
      <sheetName val="Ref"/>
      <sheetName val="Forex06"/>
      <sheetName val="Sheet1"/>
      <sheetName val="2.0 ORDER all segment"/>
      <sheetName val="Graphs on aggregate"/>
      <sheetName val="2.1 ORDER corrected"/>
      <sheetName val="Orders Fcst"/>
      <sheetName val="Ship Fcst"/>
      <sheetName val="Paramètres"/>
      <sheetName val="Q2 YTD OG Sales Analysis"/>
      <sheetName val="Q2 OG Trade Receivables"/>
      <sheetName val="exch rate 2003 2004"/>
      <sheetName val="ARP-G101"/>
      <sheetName val="ARP-U101"/>
      <sheetName val="ARP-U301"/>
      <sheetName val="E221"/>
      <sheetName val="Friedman"/>
      <sheetName val="KruskalWallis"/>
      <sheetName val="MannWhitney"/>
      <sheetName val="OneSampleSignTest"/>
      <sheetName val="OneSampleWilcoxon"/>
      <sheetName val="PairedSamplesSignTest"/>
      <sheetName val="PairedSamplesWilcoxon"/>
      <sheetName val="Importing"/>
      <sheetName val="Explanation"/>
      <sheetName val="Parameter"/>
      <sheetName val="TASA DE SERVICIO M9"/>
      <sheetName val="Fx 2010.03"/>
      <sheetName val="Fx 2010.05 "/>
      <sheetName val="HELIOS Table of exchange rates"/>
      <sheetName val="list"/>
      <sheetName val="2003 egyébktg"/>
      <sheetName val="Summary"/>
      <sheetName val="Great China"/>
      <sheetName val="Headcount"/>
      <sheetName val="Hong Kong"/>
      <sheetName val="Labor Cost Graph"/>
      <sheetName val="MBC by Dept."/>
      <sheetName val="MBC by Nature"/>
      <sheetName val="Mainland China"/>
      <sheetName val="OG Margin by activity"/>
      <sheetName val="SFC by Dept."/>
      <sheetName val="SFC by Nature"/>
      <sheetName val="SFC Graph 2011"/>
      <sheetName val="Control_List"/>
      <sheetName val="2_0_ORDER_all_segment"/>
      <sheetName val="Graphs_on_aggregate"/>
      <sheetName val="2_1_ORDER_corrected"/>
      <sheetName val="Orders_Fcst"/>
      <sheetName val="Ship_Fcst"/>
      <sheetName val="Q2_YTD_OG_Sales_Analysis"/>
      <sheetName val="Q2_OG_Trade_Receivables"/>
      <sheetName val="exch_rate_2003_2004"/>
      <sheetName val="bs"/>
      <sheetName val="L"/>
      <sheetName val="资产负债表汇编"/>
      <sheetName val="Financials"/>
      <sheetName val="Fin Statements"/>
      <sheetName val="Forex"/>
      <sheetName val="X FILES -Summary"/>
      <sheetName val="ProC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101.xml><?xml version="1.0" encoding="utf-8"?>
<externalLink xmlns="http://schemas.openxmlformats.org/spreadsheetml/2006/main">
  <externalBook xmlns:r="http://schemas.openxmlformats.org/officeDocument/2006/relationships" r:id="rId1">
    <sheetNames>
      <sheetName val="Project follow up"/>
      <sheetName val="Summary"/>
      <sheetName val="References"/>
      <sheetName val="Marketing forecast"/>
      <sheetName val="DWX_20050606"/>
      <sheetName val="DWX_20050508"/>
      <sheetName val="00998545A_ZX"/>
      <sheetName val="00998546A_ZX"/>
      <sheetName val="IDI Vs Lonza_spec"/>
      <sheetName val="995093A E-205"/>
      <sheetName val="995093A 46-16 HS 2"/>
      <sheetName val="Basic info"/>
      <sheetName val="Saving forecast"/>
      <sheetName val="Working Capital increased"/>
      <sheetName val="detail BOM cost Analysis"/>
      <sheetName val="Inv. forecast"/>
      <sheetName val="ROI - dpi1"/>
      <sheetName val="Basic info (2)"/>
      <sheetName val="Saving forecast (2)"/>
      <sheetName val="Working Capital increased (2)"/>
      <sheetName val="detail BOM cost Analysis (2)"/>
      <sheetName val="Inv. forecast (2)"/>
      <sheetName val="ROI - dpi1 (2)"/>
      <sheetName val="Basic info (3)"/>
      <sheetName val="Saving forecast (3)"/>
      <sheetName val="Working Capital increased (3)"/>
      <sheetName val="detail BOM cost Analysis  (3)"/>
      <sheetName val="Inv. forecast (3)"/>
      <sheetName val="ROI - dpi1 (3)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0">
          <cell r="C10">
            <v>9.7560975609756101E-2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10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recious Moments"/>
      <sheetName val="Cat 2004"/>
      <sheetName val="2004"/>
      <sheetName val="detail BOM cost Analysis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103.xml><?xml version="1.0" encoding="utf-8"?>
<externalLink xmlns="http://schemas.openxmlformats.org/spreadsheetml/2006/main">
  <externalBook xmlns:r="http://schemas.openxmlformats.org/officeDocument/2006/relationships" r:id="rId1">
    <sheetNames>
      <sheetName val="Index"/>
      <sheetName val="OS.OP Graph Directions"/>
      <sheetName val="Dates"/>
      <sheetName val="SUMTEST"/>
      <sheetName val="GSNA "/>
      <sheetName val="OS-GSNA"/>
      <sheetName val="OP-GSNA"/>
      <sheetName val="AOC"/>
      <sheetName val="GSNA AOC GRAPHS"/>
      <sheetName val="BC Graph"/>
      <sheetName val="CORECONTG"/>
      <sheetName val="OS-US"/>
      <sheetName val="OP-US"/>
      <sheetName val="US AOC GRAPHS"/>
      <sheetName val="CANADA"/>
      <sheetName val="OS-CAN"/>
      <sheetName val="OP-Can"/>
      <sheetName val="CANADA AOC GRAPHS  "/>
      <sheetName val="MEXICO"/>
      <sheetName val="OS-MEX"/>
      <sheetName val="OP-Mex"/>
      <sheetName val="Mexico AOC GRAPHS "/>
      <sheetName val="Base Costs"/>
      <sheetName val="TOTAL SALES"/>
      <sheetName val="TOTAL"/>
      <sheetName val="HOURLY"/>
      <sheetName val="SALARY"/>
      <sheetName val="CORE"/>
      <sheetName val="CONTINGENCY"/>
      <sheetName val="ELIMS"/>
      <sheetName val="ELIMS-"/>
      <sheetName val="RETRIEVE HYPERION DATA"/>
      <sheetName val="Hoja1"/>
      <sheetName val="20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4.xml><?xml version="1.0" encoding="utf-8"?>
<externalLink xmlns="http://schemas.openxmlformats.org/spreadsheetml/2006/main">
  <externalBook xmlns:r="http://schemas.openxmlformats.org/officeDocument/2006/relationships" r:id="rId1">
    <sheetNames>
      <sheetName val="PR孔"/>
      <sheetName val="外"/>
      <sheetName val="HOURLY"/>
      <sheetName val="Base Costs"/>
    </sheet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105.xml><?xml version="1.0" encoding="utf-8"?>
<externalLink xmlns="http://schemas.openxmlformats.org/spreadsheetml/2006/main">
  <externalBook xmlns:r="http://schemas.openxmlformats.org/officeDocument/2006/relationships" r:id="rId1">
    <sheetNames>
      <sheetName val="Santana 1.x P&amp;L"/>
      <sheetName val="Santana 1.x Materials Quote"/>
      <sheetName val="ASSUMPTIONS"/>
      <sheetName val="PR孔"/>
      <sheetName val="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06.xml><?xml version="1.0" encoding="utf-8"?>
<externalLink xmlns="http://schemas.openxmlformats.org/spreadsheetml/2006/main">
  <externalBook xmlns:r="http://schemas.openxmlformats.org/officeDocument/2006/relationships" r:id="rId1">
    <sheetNames>
      <sheetName val="OG Sales Including VAT"/>
      <sheetName val="OG Trade Receivables"/>
      <sheetName val="OG Sales Values"/>
      <sheetName val="DSO"/>
      <sheetName val="Graphs as per Intranet"/>
      <sheetName val="Importing"/>
      <sheetName val="Explanation"/>
      <sheetName val="ASSUMP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07.xml><?xml version="1.0" encoding="utf-8"?>
<externalLink xmlns="http://schemas.openxmlformats.org/spreadsheetml/2006/main">
  <externalBook xmlns:r="http://schemas.openxmlformats.org/officeDocument/2006/relationships" r:id="rId1">
    <sheetNames>
      <sheetName val="simulationEBIT300604"/>
      <sheetName val=" Synthesis"/>
      <sheetName val="Quantity"/>
      <sheetName val="Premium market qty"/>
      <sheetName val="Upper core market qty"/>
      <sheetName val="Mix"/>
      <sheetName val="Avg Price &amp; TO"/>
      <sheetName val="Market"/>
      <sheetName val="ACB 4POLE PRO."/>
      <sheetName val="OG Sales Values"/>
      <sheetName val="OG Trade Receivables"/>
      <sheetName val="Mth-Vana"/>
      <sheetName val="index"/>
      <sheetName val="network"/>
      <sheetName val="TE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8.xml><?xml version="1.0" encoding="utf-8"?>
<externalLink xmlns="http://schemas.openxmlformats.org/spreadsheetml/2006/main">
  <externalBook xmlns:r="http://schemas.openxmlformats.org/officeDocument/2006/relationships" r:id="rId1">
    <sheetNames>
      <sheetName val="新库"/>
      <sheetName val="换换加1612"/>
      <sheetName val="pri966"/>
      <sheetName val="price967"/>
      <sheetName val="PR10"/>
      <sheetName val="pr11"/>
      <sheetName val="PRI968"/>
      <sheetName val="969PRI"/>
      <sheetName val=" Synthesi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9.xml><?xml version="1.0" encoding="utf-8"?>
<externalLink xmlns="http://schemas.openxmlformats.org/spreadsheetml/2006/main">
  <externalBook xmlns:r="http://schemas.openxmlformats.org/officeDocument/2006/relationships" r:id="rId1">
    <sheetNames>
      <sheetName val="NRE's"/>
      <sheetName val="INPUTS"/>
      <sheetName val="INPUTS-Specials"/>
      <sheetName val="OUTPUTS"/>
      <sheetName val="OUTPUTS-Override"/>
      <sheetName val=" P &amp; L"/>
      <sheetName val="P&amp;LDetail"/>
      <sheetName val="LaborDetail"/>
      <sheetName val="MaterialDetail"/>
      <sheetName val="WarrantyDetail"/>
      <sheetName val="REPORTING "/>
      <sheetName val="Sign Off and Approval Form"/>
      <sheetName val="Tables"/>
      <sheetName val="Modif Log"/>
      <sheetName val="外"/>
    </sheetNames>
    <sheetDataSet>
      <sheetData sheetId="0" refreshError="1"/>
      <sheetData sheetId="1">
        <row r="28">
          <cell r="A28">
            <v>10</v>
          </cell>
        </row>
      </sheetData>
      <sheetData sheetId="2" refreshError="1"/>
      <sheetData sheetId="3">
        <row r="63">
          <cell r="A63">
            <v>50</v>
          </cell>
        </row>
      </sheetData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>
        <row r="198">
          <cell r="A198">
            <v>29</v>
          </cell>
        </row>
      </sheetData>
      <sheetData sheetId="13" refreshError="1"/>
      <sheetData sheetId="14" refreshError="1"/>
    </sheetDataSet>
  </externalBook>
</externalLink>
</file>

<file path=xl/externalLinks/externalLink110.xml><?xml version="1.0" encoding="utf-8"?>
<externalLink xmlns="http://schemas.openxmlformats.org/spreadsheetml/2006/main">
  <externalBook xmlns:r="http://schemas.openxmlformats.org/officeDocument/2006/relationships" r:id="rId1">
    <sheetNames>
      <sheetName val="0 - Menu"/>
      <sheetName val="1 - Tables"/>
      <sheetName val="Synthesis Cum Constant Struct"/>
      <sheetName val="Synthesis Cumulated"/>
      <sheetName val="Contribution to Sales"/>
      <sheetName val="Contribution to EBIT"/>
      <sheetName val="Main Companies Spot"/>
      <sheetName val="Main Companies Cumulated"/>
      <sheetName val="Zone Total Sales 12Q Curr"/>
      <sheetName val="Zone Total Sales 12Q EUR"/>
      <sheetName val="Zone Sales OG &amp; IG 12Q Curr"/>
      <sheetName val="Zone EBIT 12Q Curr"/>
      <sheetName val="Zone EBIT 12Q EUR"/>
      <sheetName val="Zone GM 12Q Curr"/>
      <sheetName val="Zone GM 12Q EUR"/>
      <sheetName val="Zone SFC 12Q Curr"/>
      <sheetName val="Zone SFC 12Q EUR"/>
      <sheetName val="2 - Graphs"/>
      <sheetName val="3 - Data"/>
      <sheetName val="TO Basic Analysis S"/>
      <sheetName val="TO Basic Analysis C"/>
      <sheetName val="TO Analysis QPQ"/>
      <sheetName val="Synthese Target 2004"/>
      <sheetName val="Synthese Target 2004 Sent"/>
      <sheetName val="CE Analysis QPQ Sep 03"/>
      <sheetName val="OG TO Analysis QPQ"/>
      <sheetName val="EBIT Basic Analysis S"/>
      <sheetName val="EBIT Basic Analysis C"/>
      <sheetName val="EBIT Analysis QPQ"/>
      <sheetName val="GM Basic Analysis S"/>
      <sheetName val="GM Basic Analysis C"/>
      <sheetName val="GM Analysis QPQ"/>
      <sheetName val="DVC Analysis QPQ"/>
      <sheetName val="SFC Basic Analysis S"/>
      <sheetName val="SFC Basic Analysis C"/>
      <sheetName val="SFC Analysis QPQ"/>
      <sheetName val="CF Analysis QPQ"/>
      <sheetName val="CE Analysis QPQ"/>
      <sheetName val="FA Analysis QPQ"/>
      <sheetName val="OWC Analysis QPQ"/>
      <sheetName val="Inventory Analysis QPQ"/>
      <sheetName val="OG Receivables Analysis QPQ"/>
      <sheetName val="IG Receivables Analysis QPQ"/>
      <sheetName val="Currencies"/>
      <sheetName val="Digital 2003 &amp; 2004"/>
      <sheetName val="4 - Parameters"/>
      <sheetName val="Carat Parameters"/>
      <sheetName val="Carat Extraction Test"/>
      <sheetName val="Qs"/>
      <sheetName val="Synthese Finale - HMI Only"/>
      <sheetName val="EBIT Per Year Per Synergy"/>
      <sheetName val="Sales Per Year Per Synergy"/>
      <sheetName val="OG Sales Values"/>
      <sheetName val="OG Trade Receivables"/>
      <sheetName val="Mth-Vana"/>
      <sheetName val=" Synthesis"/>
      <sheetName val="Sheet1"/>
      <sheetName val="V"/>
      <sheetName val="Detail Nonomura S4~S5(Dies)"/>
      <sheetName val="index"/>
      <sheetName val="network"/>
      <sheetName val="TEST"/>
      <sheetName val="Sheet2"/>
      <sheetName val="ACB 4POLE PRO."/>
      <sheetName val="Hoja1"/>
      <sheetName val="HOURLY"/>
      <sheetName val="Base Costs"/>
      <sheetName val="外"/>
      <sheetName val="INPUTS"/>
      <sheetName val="OUTPUTS"/>
      <sheetName val="Tables"/>
      <sheetName val="ABC-CQD"/>
      <sheetName val="ABC-PDC"/>
      <sheetName val="SZFIN"/>
      <sheetName val="SZHRA"/>
      <sheetName val="SZMIS"/>
      <sheetName val="SZPPD"/>
      <sheetName val="SZPUR"/>
      <sheetName val="SZRDD"/>
      <sheetName val="SZSCM"/>
      <sheetName val="UTCET"/>
      <sheetName val="DVC-100"/>
      <sheetName val="DVC-103"/>
      <sheetName val="DVC-104"/>
      <sheetName val="MBC-ASM"/>
      <sheetName val="MBC-COM"/>
      <sheetName val="MBC-CTM"/>
      <sheetName val="MBC-Eng"/>
      <sheetName val="MBC-Fin"/>
      <sheetName val="MBC-GM"/>
      <sheetName val="MBC-HR"/>
      <sheetName val="MBC-IDT"/>
      <sheetName val="MBC-LGT"/>
      <sheetName val="MBC-MIS"/>
      <sheetName val="MBC-MLD"/>
      <sheetName val="MBC-PUR"/>
      <sheetName val="MBC-QMD"/>
      <sheetName val="MBC-TLG"/>
      <sheetName val="MBC-TM"/>
      <sheetName val="MBC-TRD"/>
      <sheetName val="MBC-WH"/>
      <sheetName val="Supplier plant level  Wankio"/>
      <sheetName val="ANAL-MB"/>
      <sheetName val="MPPtoXLS"/>
      <sheetName val="Front"/>
      <sheetName val="PL_SBU"/>
      <sheetName val="Drivers"/>
      <sheetName val="listes_déroulantes"/>
      <sheetName val="Risk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</sheetDataSet>
  </externalBook>
</externalLink>
</file>

<file path=xl/externalLinks/externalLink111.xml><?xml version="1.0" encoding="utf-8"?>
<externalLink xmlns="http://schemas.openxmlformats.org/spreadsheetml/2006/main">
  <externalBook xmlns:r="http://schemas.openxmlformats.org/officeDocument/2006/relationships" r:id="rId1">
    <sheetNames>
      <sheetName val="Industrial deployment"/>
      <sheetName val="Project opening Sheet"/>
      <sheetName val="Project management plan"/>
      <sheetName val="action plan"/>
      <sheetName val="Currencie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112.xml><?xml version="1.0" encoding="utf-8"?>
<externalLink xmlns="http://schemas.openxmlformats.org/spreadsheetml/2006/main">
  <externalBook xmlns:r="http://schemas.openxmlformats.org/officeDocument/2006/relationships" r:id="rId1">
    <sheetNames>
      <sheetName val="LR11BIS-IAS39"/>
      <sheetName val="Currencies"/>
      <sheetName val="Mth-Vana"/>
      <sheetName val="LAM"/>
      <sheetName val="MV"/>
      <sheetName val="#REF"/>
      <sheetName val="listes_déroulantes"/>
      <sheetName val="Detail indus"/>
      <sheetName val="OG Sales Values"/>
      <sheetName val="OG Trade Receivables"/>
      <sheetName val="MES filtres"/>
      <sheetName val="Input"/>
      <sheetName val="HOURLY"/>
      <sheetName val="Base Costs"/>
      <sheetName val="2005_JAN"/>
      <sheetName val=" Synthesis"/>
      <sheetName val="95PREM"/>
      <sheetName val="Listes de Sélection"/>
      <sheetName val="AOC data"/>
      <sheetName val="V"/>
      <sheetName val="Kurs"/>
      <sheetName val="_CountryCodes"/>
      <sheetName val="index"/>
      <sheetName val="network"/>
      <sheetName val="TEST"/>
      <sheetName val="Industrial deployment"/>
      <sheetName val="ABC-CQD"/>
      <sheetName val="HCS"/>
      <sheetName val="ABC-PDC"/>
      <sheetName val="SZFIN"/>
      <sheetName val="SZHRA"/>
      <sheetName val="SZMIS"/>
      <sheetName val="SZPPD"/>
      <sheetName val="SZPUR"/>
      <sheetName val="SZRDD"/>
      <sheetName val="SZSCM"/>
      <sheetName val="UTCET"/>
      <sheetName val="DVC-100"/>
      <sheetName val="DVC-103"/>
      <sheetName val="DVC-104"/>
      <sheetName val="MBC-ASM"/>
      <sheetName val="MBC-COM"/>
      <sheetName val="MBC-CTM"/>
      <sheetName val="MBC-Eng"/>
      <sheetName val="MBC-Fin"/>
      <sheetName val="MBC-GM"/>
      <sheetName val="MBC-HR"/>
      <sheetName val="MBC-IDT"/>
      <sheetName val="MBC-LGT"/>
      <sheetName val="MBC-MIS"/>
      <sheetName val="MBC-MLD"/>
      <sheetName val="MBC-PUR"/>
      <sheetName val="MBC-QMD"/>
      <sheetName val="MBC-TLG"/>
      <sheetName val="MBC-TM"/>
      <sheetName val="MBC-TRD"/>
      <sheetName val="MBC-WH"/>
      <sheetName val="SC4327B"/>
      <sheetName val="Hoja1"/>
      <sheetName val="Synthèse"/>
      <sheetName val="Con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13.xml><?xml version="1.0" encoding="utf-8"?>
<externalLink xmlns="http://schemas.openxmlformats.org/spreadsheetml/2006/main">
  <externalBook xmlns:r="http://schemas.openxmlformats.org/officeDocument/2006/relationships" r:id="rId1">
    <sheetNames>
      <sheetName val="Planning"/>
      <sheetName val="Liste"/>
      <sheetName val="mfgquote"/>
    </sheetNames>
    <sheetDataSet>
      <sheetData sheetId="0"/>
      <sheetData sheetId="1" refreshError="1"/>
      <sheetData sheetId="2" refreshError="1"/>
    </sheetDataSet>
  </externalBook>
</externalLink>
</file>

<file path=xl/externalLinks/externalLink114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Labor_time"/>
      <sheetName val="Surface_labor_jigs"/>
      <sheetName val="Equipment"/>
      <sheetName val="Toolings"/>
      <sheetName val="AutoLine"/>
      <sheetName val="Process"/>
      <sheetName val="Lis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5.xml><?xml version="1.0" encoding="utf-8"?>
<externalLink xmlns="http://schemas.openxmlformats.org/spreadsheetml/2006/main">
  <externalBook xmlns:r="http://schemas.openxmlformats.org/officeDocument/2006/relationships" r:id="rId1">
    <sheetNames>
      <sheetName val="重2000.4"/>
      <sheetName val="重点Sony.4"/>
      <sheetName val="实绩报告2000.6"/>
      <sheetName val="实绩报告 2000.3.(2)"/>
      <sheetName val="实绩报告 2000.3.(3)"/>
      <sheetName val="实绩报告 2000.3.(4)"/>
      <sheetName val="实绩报告 2000.4"/>
      <sheetName val="实绩报告2000.4.(2)"/>
      <sheetName val="实绩报告2000.4.(3)"/>
      <sheetName val="实绩报告2000.4(4)"/>
      <sheetName val="实绩报告 2000.5"/>
      <sheetName val="实绩报告2000.5.(2)"/>
      <sheetName val="实绩报告2000.5.(3)"/>
      <sheetName val="实绩报告2000.5.(4)"/>
      <sheetName val="SONY"/>
      <sheetName val="连络书"/>
      <sheetName val="连络书 (2)"/>
      <sheetName val="实绩报告 2000.2"/>
      <sheetName val="实绩报告 2000.2.(2)"/>
      <sheetName val="实绩报告 2000.2.(3)"/>
      <sheetName val="实绩报告 2000.2.(4)"/>
      <sheetName val="实绩报告 2000.2.(5)"/>
      <sheetName val="Sheet1"/>
      <sheetName val="实绩报告 2000.1"/>
      <sheetName val="实绩报告 2000.1.(2)"/>
      <sheetName val="实绩报告2000.6（2）"/>
      <sheetName val="实绩报告2000.6（4）"/>
      <sheetName val="实绩报告2000.6（6）"/>
      <sheetName val="实绩报告2000.6（5）"/>
      <sheetName val="实绩报告2000.6（3）"/>
      <sheetName val="外"/>
      <sheetName val="PR孔"/>
      <sheetName val="B0003外"/>
      <sheetName val="B0003孔"/>
      <sheetName val="B0002外"/>
      <sheetName val="B0002孔 "/>
      <sheetName val="B0001外"/>
      <sheetName val="B0001孔 "/>
      <sheetName val="B9912外  "/>
      <sheetName val="B9912孔  "/>
      <sheetName val="B9911外   "/>
      <sheetName val="B9911孔   "/>
      <sheetName val="B9910外  "/>
      <sheetName val="B9910孔  "/>
      <sheetName val="B999外     "/>
      <sheetName val="B999孔    "/>
      <sheetName val="B998外    "/>
      <sheetName val="B998孔    "/>
      <sheetName val="B997外    "/>
      <sheetName val="B997孔   "/>
      <sheetName val="制作"/>
      <sheetName val="计画预测"/>
      <sheetName val="加工注意事项"/>
      <sheetName val="经费削减"/>
      <sheetName val="作业技能标准"/>
      <sheetName val="Sheet2"/>
      <sheetName val="不良"/>
      <sheetName val="待处理"/>
      <sheetName val="目标"/>
      <sheetName val="削费"/>
      <sheetName val="削减目标"/>
      <sheetName val="99.11冲压损耗表"/>
      <sheetName val="99成本下降目标"/>
      <sheetName val="Sheet8"/>
      <sheetName val="技能一级名单 "/>
      <sheetName val="2000目标"/>
      <sheetName val="2000目标 (2)"/>
      <sheetName val="技能一级考核通过名单 (2)"/>
      <sheetName val="连络书 (3)"/>
      <sheetName val="Sheet4"/>
      <sheetName val="华美会议"/>
      <sheetName val="实绩报告2000.6（6） (2)"/>
      <sheetName val="实绩报告2000.6（6） (3)"/>
      <sheetName val="实绩报告2000.7（1）"/>
      <sheetName val="实绩报告2000.7(2)"/>
      <sheetName val="实绩报告2000.7(3)"/>
      <sheetName val="实绩报告2000.7(4)"/>
      <sheetName val="实绩报告2000.7(5)"/>
      <sheetName val="实绩报告2000.7(6)"/>
      <sheetName val="实绩报告样（1）"/>
      <sheetName val="实绩报告样（2）"/>
      <sheetName val="实绩报告样（3）"/>
      <sheetName val="实绩报告Ñù(4)"/>
      <sheetName val="实绩报告Ñù(5)"/>
      <sheetName val="实绩报告Ñù(6)"/>
      <sheetName val="YPL-13材料试作件"/>
      <sheetName val="批量加工"/>
      <sheetName val="型修情况"/>
      <sheetName val="品质异常"/>
      <sheetName val="型修情况 (2)"/>
      <sheetName val="浜松向"/>
      <sheetName val="Sheet3 (2)"/>
      <sheetName val="辛田向"/>
      <sheetName val="Sheet3"/>
      <sheetName val="实绩报告8月"/>
      <sheetName val="实绩报告8月（2）"/>
      <sheetName val="实绩报告8月(3)"/>
      <sheetName val="实绩报告8月(4)"/>
      <sheetName val="实绩报告8月(5)"/>
      <sheetName val="实绩报告8月(6)"/>
      <sheetName val="price96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 refreshError="1"/>
    </sheetDataSet>
  </externalBook>
</externalLink>
</file>

<file path=xl/externalLinks/externalLink116.xml><?xml version="1.0" encoding="utf-8"?>
<externalLink xmlns="http://schemas.openxmlformats.org/spreadsheetml/2006/main">
  <externalBook xmlns:r="http://schemas.openxmlformats.org/officeDocument/2006/relationships" r:id="rId1">
    <sheetNames>
      <sheetName val="pri966"/>
      <sheetName val="price967"/>
      <sheetName val="PR10"/>
      <sheetName val="pr11"/>
      <sheetName val="新库"/>
      <sheetName val="换换加1612"/>
      <sheetName val="PRI968"/>
      <sheetName val="969PRI"/>
      <sheetName val="#REF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7.xml><?xml version="1.0" encoding="utf-8"?>
<externalLink xmlns="http://schemas.openxmlformats.org/spreadsheetml/2006/main">
  <externalBook xmlns:r="http://schemas.openxmlformats.org/officeDocument/2006/relationships" r:id="rId1">
    <sheetNames>
      <sheetName val="Table of Contents"/>
      <sheetName val="P&amp;L_Cumm_Short-Adj"/>
      <sheetName val="P&amp;L_Cumm_Short"/>
      <sheetName val="P&amp;L_Spot_Short"/>
      <sheetName val="P&amp;L_Cumm"/>
      <sheetName val="P&amp;L_Spot"/>
      <sheetName val="CE Spot"/>
      <sheetName val="TSEL_Cumm_PL"/>
      <sheetName val="TSEL_Spot_PL"/>
      <sheetName val="TSEL_BGA_Cumm_PL"/>
      <sheetName val="TSEL_BGA_Spot_PL"/>
      <sheetName val="TSEL_GM"/>
      <sheetName val="TSEL_BS"/>
      <sheetName val="TSEL_CE"/>
      <sheetName val="TSEL_BGA_CE"/>
      <sheetName val="TSEL_Cost_By_Nature"/>
      <sheetName val="TSEL_IBC"/>
      <sheetName val="TSEL_SFC"/>
      <sheetName val="Carat Extraction Test"/>
      <sheetName val="Headcount"/>
      <sheetName val="Headcount Graph"/>
      <sheetName val="TSEL_FEB"/>
      <sheetName val="Sheet2"/>
      <sheetName val="TB_TSEL_Mar"/>
      <sheetName val="TB_APR_TSEL"/>
      <sheetName val="TSEL_APR_BC"/>
      <sheetName val="TSEL_May03"/>
      <sheetName val="CC_PB_May2003"/>
      <sheetName val="CC_MAY2003"/>
      <sheetName val="TB_June2003"/>
      <sheetName val="PB_CC"/>
      <sheetName val="CC_Jun03"/>
      <sheetName val="TB_July"/>
      <sheetName val="Sheet1"/>
      <sheetName val="TSEL_Aug_2003"/>
      <sheetName val="PB_Aug"/>
      <sheetName val="Sheet4"/>
      <sheetName val="TSEL_Sep_2003"/>
      <sheetName val="CC_Sep"/>
      <sheetName val="TSELSep"/>
      <sheetName val="TSELOct"/>
      <sheetName val="Sheet5"/>
      <sheetName val="TSEL_Oct_2003"/>
      <sheetName val="CC_PB_Oct"/>
      <sheetName val="CC_Oct"/>
      <sheetName val="TSEL_Nov_2003"/>
      <sheetName val="CC_PB_Nov"/>
      <sheetName val="CC_Nov"/>
      <sheetName val="TSB_Dec_2003"/>
      <sheetName val="TSB_BS"/>
      <sheetName val="TSB_PL"/>
      <sheetName val="PB_Dec"/>
      <sheetName val="CC_Dec"/>
      <sheetName val="TSEL_GM (2)"/>
      <sheetName val="TSEL_Dec_2003"/>
      <sheetName val="PR964"/>
      <sheetName val="PR962"/>
      <sheetName val="PR965"/>
      <sheetName val="2004(OG+TOSH)"/>
      <sheetName val="LAM"/>
      <sheetName val="Step1.1"/>
      <sheetName val="LISTE"/>
      <sheetName val="Statement of OPs"/>
      <sheetName val="2004_BUDGET_OG(STL)"/>
      <sheetName val="Forex Datas"/>
      <sheetName val="link to SFC"/>
      <sheetName val="Données"/>
      <sheetName val="Data"/>
      <sheetName val="Retrieve"/>
      <sheetName val="Input"/>
      <sheetName val="Currencies"/>
      <sheetName val="listes deroulantes"/>
      <sheetName val="#REF!"/>
      <sheetName val="param"/>
      <sheetName val=" Synthe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118.xml><?xml version="1.0" encoding="utf-8"?>
<externalLink xmlns="http://schemas.openxmlformats.org/spreadsheetml/2006/main">
  <externalBook xmlns:r="http://schemas.openxmlformats.org/officeDocument/2006/relationships" r:id="rId1">
    <sheetNames>
      <sheetName val="#REF"/>
      <sheetName val="Table of Contents"/>
      <sheetName val="1a"/>
      <sheetName val="1日目（2月22日・和泉事業所大会議室）"/>
      <sheetName val="2日目（2月23日・南港大会議室＋研修室予定）"/>
      <sheetName val="2004_BUDGET_OG(STL)"/>
      <sheetName val="Statement of OPs"/>
      <sheetName val="param"/>
      <sheetName val="BSC SVP"/>
      <sheetName val="2004(OG+TOSH)"/>
      <sheetName val="Forex Datas"/>
      <sheetName val="LISTE"/>
      <sheetName val="WELCOME"/>
      <sheetName val="Step1.1"/>
      <sheetName val="Corée"/>
      <sheetName val="Canada"/>
      <sheetName val="HongKong"/>
      <sheetName val="Indonésie"/>
      <sheetName val="Inde"/>
      <sheetName val="Japon"/>
      <sheetName val="Mexique"/>
      <sheetName val="NZelande"/>
      <sheetName val="Philippines"/>
      <sheetName val="PR964"/>
      <sheetName val="PR962"/>
      <sheetName val="PR965"/>
      <sheetName val="M02B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19.xml><?xml version="1.0" encoding="utf-8"?>
<externalLink xmlns="http://schemas.openxmlformats.org/spreadsheetml/2006/main">
  <externalBook xmlns:r="http://schemas.openxmlformats.org/officeDocument/2006/relationships" r:id="rId1">
    <sheetNames>
      <sheetName val="MACRO2"/>
      <sheetName val="REQ"/>
    </sheetNames>
    <definedNames>
      <definedName name="Macro4"/>
    </definedNames>
    <sheetDataSet>
      <sheetData sheetId="0" refreshError="1"/>
      <sheetData sheetId="1" refreshError="1"/>
    </sheetDataSet>
  </externalBook>
</externalLink>
</file>

<file path=xl/externalLinks/externalLink120.xml><?xml version="1.0" encoding="utf-8"?>
<externalLink xmlns="http://schemas.openxmlformats.org/spreadsheetml/2006/main">
  <externalBook xmlns:r="http://schemas.openxmlformats.org/officeDocument/2006/relationships" r:id="rId1">
    <sheetNames>
      <sheetName val="1BIS"/>
      <sheetName val="INDIC-01"/>
      <sheetName val="INDIC-02"/>
      <sheetName val="INDIC-03"/>
      <sheetName val="INDIC-04"/>
      <sheetName val="INDIC-05"/>
      <sheetName val="INDIC-06"/>
      <sheetName val="INDIC-07"/>
      <sheetName val="INDIC-08"/>
      <sheetName val="INDIC-09"/>
      <sheetName val="INDIC-10"/>
      <sheetName val="INDIC-11"/>
      <sheetName val="INDIC-12"/>
      <sheetName val="INDIC-13"/>
      <sheetName val="INDIC-14"/>
      <sheetName val="INDIC-15"/>
      <sheetName val="INDIC- 16"/>
      <sheetName val="INDIC-17"/>
      <sheetName val="INDIC-18"/>
      <sheetName val="INDIC-19"/>
      <sheetName val="INDIC-20"/>
      <sheetName val="INDIC-21"/>
      <sheetName val="INDIC-22"/>
      <sheetName val="INDIC-23"/>
      <sheetName val="INDIC-24"/>
      <sheetName val="01 T"/>
      <sheetName val="03 "/>
      <sheetName val="PR96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21.xml><?xml version="1.0" encoding="utf-8"?>
<externalLink xmlns="http://schemas.openxmlformats.org/spreadsheetml/2006/main">
  <externalBook xmlns:r="http://schemas.openxmlformats.org/officeDocument/2006/relationships" r:id="rId1">
    <sheetNames>
      <sheetName val="TOC"/>
      <sheetName val="Set Up"/>
      <sheetName val="Glossary"/>
      <sheetName val="QTD vs last Forecast"/>
      <sheetName val="YTD performance "/>
      <sheetName val="Fcst Submission (N)"/>
      <sheetName val="Fcst Submission (N+1)"/>
      <sheetName val="Target Gap"/>
      <sheetName val="Backlog_1"/>
      <sheetName val="Orders by activity"/>
      <sheetName val="YTD(N) AOC"/>
      <sheetName val="RF(N) AOC"/>
      <sheetName val="RF(N+1) AOC"/>
      <sheetName val="Price"/>
      <sheetName val="Productivity"/>
      <sheetName val="Base Costs"/>
      <sheetName val="Major BC investments"/>
      <sheetName val="Capital Spend (N)"/>
      <sheetName val="Capital Spend (N+1)"/>
      <sheetName val="Working Capital (N)"/>
      <sheetName val="Working Captial (N+1)"/>
      <sheetName val="Growth Ambition"/>
      <sheetName val="Potential Sales"/>
      <sheetName val="CCO P&amp;L"/>
      <sheetName val="Cash-Flow"/>
      <sheetName val="Restructuring Plans"/>
      <sheetName val="Backlog2"/>
      <sheetName val="SWDA"/>
      <sheetName val="New² -&gt;"/>
      <sheetName val="EOD"/>
      <sheetName val="NAOD"/>
      <sheetName val="IOD"/>
      <sheetName val="APOD"/>
      <sheetName val="CPCS"/>
      <sheetName val="POWER"/>
      <sheetName val="TAC"/>
      <sheetName val="G&amp;I"/>
      <sheetName val="Services"/>
      <sheetName val="Automation"/>
      <sheetName val="YangTSE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122.xml><?xml version="1.0" encoding="utf-8"?>
<externalLink xmlns="http://schemas.openxmlformats.org/spreadsheetml/2006/main">
  <externalBook xmlns:r="http://schemas.openxmlformats.org/officeDocument/2006/relationships" r:id="rId1">
    <sheetNames>
      <sheetName val="Reveiw&amp;Approval"/>
      <sheetName val="PR dashboard"/>
      <sheetName val="Glossary"/>
      <sheetName val="Link"/>
      <sheetName val="SWDA"/>
      <sheetName val="D1.2 COF모듈자재 입출재고 (B급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123.xml><?xml version="1.0" encoding="utf-8"?>
<externalLink xmlns="http://schemas.openxmlformats.org/spreadsheetml/2006/main">
  <externalBook xmlns:r="http://schemas.openxmlformats.org/officeDocument/2006/relationships" r:id="rId1">
    <sheetNames>
      <sheetName val="BASE DE DATOS"/>
      <sheetName val="PEDIDOS"/>
      <sheetName val="FACTURACION"/>
      <sheetName val="REPREV.PED. SILVANA"/>
      <sheetName val="REPREV.PED. JOSE LUIS"/>
      <sheetName val="REPORTE RCM DEL MES"/>
      <sheetName val="PORTFOLIO 2000"/>
      <sheetName val="MARGENES"/>
      <sheetName val="STOCK POR ACTIVIDAD"/>
      <sheetName val="Stock puntual por mes"/>
      <sheetName val="ROTACION LENTA 1"/>
      <sheetName val="ROTACION LENTA 2"/>
      <sheetName val="DISTR. STOCK. VARIOS"/>
      <sheetName val="PERSONAL"/>
      <sheetName val="INVERSIONES"/>
      <sheetName val="COMPRAS"/>
      <sheetName val="BFR PUNTUAL =S="/>
      <sheetName val="BFR PROMEDIO =S="/>
      <sheetName val="COSTOS ESTRUCTURA p-NATURALEZA"/>
      <sheetName val="SWDA"/>
      <sheetName val="Q2 YTD OG Sales Analysis"/>
      <sheetName val="Q2 OG Trade Receivables"/>
      <sheetName val="Listes"/>
      <sheetName val="INDIC-04"/>
      <sheetName val="INDIC-08"/>
      <sheetName val="2004(OG+TOSH)"/>
      <sheetName val="Link"/>
      <sheetName val="List"/>
      <sheetName val="Data"/>
      <sheetName val="Retrieve"/>
      <sheetName val="BASE_DE_DATOS"/>
      <sheetName val="REPREV_PED__SILVANA"/>
      <sheetName val="REPREV_PED__JOSE_LUIS"/>
      <sheetName val="REPORTE_RCM_DEL_MES"/>
      <sheetName val="PORTFOLIO_2000"/>
      <sheetName val="STOCK_POR_ACTIVIDAD"/>
      <sheetName val="Stock_puntual_por_mes"/>
      <sheetName val="ROTACION_LENTA_1"/>
      <sheetName val="ROTACION_LENTA_2"/>
      <sheetName val="DISTR__STOCK__VARIOS"/>
      <sheetName val="BFR_PUNTUAL_=S="/>
      <sheetName val="BFR_PROMEDIO_=S="/>
      <sheetName val="COSTOS_ESTRUCTURA_p-NATURALEZA"/>
      <sheetName val="Q2_YTD_OG_Sales_Analysis"/>
      <sheetName val="Q2_OG_Trade_Receivables"/>
      <sheetName val="Ranking T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124.xml><?xml version="1.0" encoding="utf-8"?>
<externalLink xmlns="http://schemas.openxmlformats.org/spreadsheetml/2006/main">
  <externalBook xmlns:r="http://schemas.openxmlformats.org/officeDocument/2006/relationships" r:id="rId1">
    <sheetNames>
      <sheetName val="Cost breakdown"/>
      <sheetName val="Valid Quotation Checklist"/>
      <sheetName val="BOM"/>
      <sheetName val="AML"/>
      <sheetName val="Process Flow chart"/>
      <sheetName val="Valid Quotation Checklist_Exple"/>
      <sheetName val="BASE DE DATO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25.xml><?xml version="1.0" encoding="utf-8"?>
<externalLink xmlns="http://schemas.openxmlformats.org/spreadsheetml/2006/main">
  <externalBook xmlns:r="http://schemas.openxmlformats.org/officeDocument/2006/relationships" r:id="rId1">
    <sheetNames>
      <sheetName val="Index"/>
      <sheetName val="Delta Analysis"/>
      <sheetName val="Specification &amp; Working Captial"/>
      <sheetName val="AOC"/>
      <sheetName val="BS YTD'05"/>
      <sheetName val="PL Month'05"/>
      <sheetName val="Target2005"/>
      <sheetName val="BS YTD'04"/>
      <sheetName val="PL Month'04"/>
      <sheetName val="Target2004"/>
      <sheetName val="Fcst 04'06"/>
      <sheetName val="BS YTD-2003"/>
      <sheetName val="PL YTD-2003"/>
      <sheetName val="Balance Sheet-2005"/>
      <sheetName val="Cost summary"/>
      <sheetName val="Income Statement-2005"/>
      <sheetName val="Graph"/>
      <sheetName val="Fcst 05'06"/>
      <sheetName val="jan-cash"/>
      <sheetName val="feb-cash"/>
      <sheetName val="feb-Apr"/>
      <sheetName val="Cashflow'05"/>
      <sheetName val="Logistic Cost"/>
      <sheetName val="Logistic exp05"/>
      <sheetName val="S_PMC"/>
      <sheetName val="Valid Quotation Checklist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126.xml><?xml version="1.0" encoding="utf-8"?>
<externalLink xmlns="http://schemas.openxmlformats.org/spreadsheetml/2006/main">
  <externalBook xmlns:r="http://schemas.openxmlformats.org/officeDocument/2006/relationships" r:id="rId1">
    <sheetNames>
      <sheetName val="SELECTION"/>
      <sheetName val="EDC-DAS"/>
      <sheetName val="物料入库流水"/>
      <sheetName val="物料出库流水"/>
      <sheetName val="BASE DE DATOS"/>
      <sheetName val="Commercial perimeter 2010"/>
      <sheetName val="SWDA"/>
      <sheetName val="2005_JAN"/>
      <sheetName val="Mth-Vana"/>
      <sheetName val="INDIC-04"/>
      <sheetName val="Cover"/>
      <sheetName val="Lookup"/>
      <sheetName val="Index"/>
      <sheetName val="1994XLS"/>
      <sheetName val="Entity List"/>
      <sheetName val="ARP-U501"/>
      <sheetName val="SUMMARY"/>
      <sheetName val="Control Panel"/>
      <sheetName val="Valid Quotation Checklist"/>
      <sheetName val="ESID"/>
      <sheetName val="設備投資20万円以上"/>
      <sheetName val="Tables"/>
      <sheetName val="INPUTS"/>
      <sheetName val="LaborDetail"/>
      <sheetName val="MaterialDetail"/>
      <sheetName val="P&amp;LDetail"/>
      <sheetName val="REPORTING "/>
      <sheetName val="INPUTS-Specials"/>
      <sheetName val="LIST"/>
      <sheetName val="Trial balance"/>
      <sheetName val="PR961"/>
      <sheetName val="link"/>
      <sheetName val="Parameters"/>
      <sheetName val="De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27.xml><?xml version="1.0" encoding="utf-8"?>
<externalLink xmlns="http://schemas.openxmlformats.org/spreadsheetml/2006/main">
  <externalBook xmlns:r="http://schemas.openxmlformats.org/officeDocument/2006/relationships" r:id="rId1">
    <sheetNames>
      <sheetName val="外"/>
      <sheetName val="做做玩玩"/>
      <sheetName val="外2"/>
      <sheetName val="PR孔2"/>
      <sheetName val="Sheet1"/>
      <sheetName val="00外"/>
      <sheetName val="00孔"/>
      <sheetName val="材料调查"/>
      <sheetName val="Sheet3"/>
      <sheetName val="Sheet2"/>
      <sheetName val="材料汇总(1)"/>
      <sheetName val="材料汇总(2)"/>
      <sheetName val="PR孔"/>
      <sheetName val="SELE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</sheetDataSet>
  </externalBook>
</externalLink>
</file>

<file path=xl/externalLinks/externalLink128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GP"/>
      <sheetName val="ABT"/>
      <sheetName val="PLC"/>
      <sheetName val="SMT"/>
      <sheetName val="DIP"/>
      <sheetName val="TEST"/>
      <sheetName val="出荷"/>
      <sheetName val="炉前检查"/>
      <sheetName val="PLC周直行率"/>
      <sheetName val="Rep"/>
      <sheetName val="Date"/>
      <sheetName val="外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29.xml><?xml version="1.0" encoding="utf-8"?>
<externalLink xmlns="http://schemas.openxmlformats.org/spreadsheetml/2006/main">
  <externalBook xmlns:r="http://schemas.openxmlformats.org/officeDocument/2006/relationships" r:id="rId1">
    <sheetNames>
      <sheetName val="Tot Bus Rev"/>
      <sheetName val="TBR per Div"/>
      <sheetName val="Act v's Bud"/>
      <sheetName val="Actual"/>
      <sheetName val="Data"/>
      <sheetName val="Feuil3"/>
      <sheetName val="SELECTION"/>
      <sheetName val="SWDA"/>
      <sheetName val="EDC-DAS"/>
      <sheetName val="BASE DE DATOS"/>
      <sheetName val="SWDA data &amp; gap"/>
      <sheetName val="RF"/>
      <sheetName val="List"/>
      <sheetName val="2004_BUDGET_OG(STL)"/>
      <sheetName val="Commercial perimeter 2010"/>
      <sheetName val="Modèle"/>
      <sheetName val="INDIC-04"/>
      <sheetName val="INDIC-08"/>
      <sheetName val="Date"/>
      <sheetName val="外"/>
      <sheetName val="YangTSE6"/>
      <sheetName val="468"/>
      <sheetName val="param"/>
      <sheetName val="Read Me &amp; Parame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30.xml><?xml version="1.0" encoding="utf-8"?>
<externalLink xmlns="http://schemas.openxmlformats.org/spreadsheetml/2006/main">
  <externalBook xmlns:r="http://schemas.openxmlformats.org/officeDocument/2006/relationships" r:id="rId1">
    <sheetNames>
      <sheetName val="Purchases FWJ"/>
      <sheetName val="ニッセイ入力画面"/>
      <sheetName val="SELECTION"/>
      <sheetName val=" Synthesis"/>
      <sheetName val="Sheet1"/>
      <sheetName val="Commercial perimeter 2010"/>
      <sheetName val="NEGARA"/>
      <sheetName val="Inv 6000"/>
      <sheetName val="INDIC-08"/>
      <sheetName val="INDIC-04"/>
      <sheetName val="Rekap A"/>
      <sheetName val="SWDA"/>
      <sheetName val="DPME"/>
      <sheetName val="Synthèse"/>
      <sheetName val="CFCA"/>
      <sheetName val="data"/>
      <sheetName val="WSSL of FG 9月"/>
      <sheetName val="Page"/>
      <sheetName val="DVC PV-NPV working hours"/>
      <sheetName val="NEE"/>
      <sheetName val="welcome"/>
      <sheetName val="time code"/>
      <sheetName val="Orders Fcst"/>
      <sheetName val="Ship Fcst"/>
      <sheetName val="PRR"/>
      <sheetName val="List"/>
      <sheetName val="外"/>
      <sheetName val="Lignes"/>
      <sheetName val="Projets"/>
      <sheetName val="Intaccrual"/>
      <sheetName val="SBU"/>
      <sheetName val="Sheet2"/>
      <sheetName val="Purchases_FWJ"/>
      <sheetName val="_Synthesis"/>
      <sheetName val="Inv_6000"/>
      <sheetName val="Commercial_perimeter_2010"/>
      <sheetName val="Rekap_A"/>
      <sheetName val="DVC_PV-NPV_working_hours"/>
      <sheetName val="ACB_4POLE_PRO_"/>
      <sheetName val="logistics"/>
      <sheetName val="Temp DVC"/>
      <sheetName val="SUMMARY"/>
      <sheetName val="Hourly rate"/>
      <sheetName val="effectiveness"/>
      <sheetName val="FD-SELV--DPMe"/>
      <sheetName val="FCST_OC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131.xml><?xml version="1.0" encoding="utf-8"?>
<externalLink xmlns="http://schemas.openxmlformats.org/spreadsheetml/2006/main">
  <externalBook xmlns:r="http://schemas.openxmlformats.org/officeDocument/2006/relationships" r:id="rId1">
    <sheetNames>
      <sheetName val="HPU's"/>
      <sheetName val="Test Breakout"/>
      <sheetName val="INPUTS"/>
      <sheetName val="Tables"/>
      <sheetName val="OUTPUTS"/>
      <sheetName val="MaterialDetail"/>
      <sheetName val="LaborDetail"/>
      <sheetName val="OUTPUTS-Override"/>
      <sheetName val="P&amp;LDetail"/>
      <sheetName val="INPUTS-Specials"/>
      <sheetName val="WarrantyDetail"/>
      <sheetName val="Purchases FWJ"/>
      <sheetName val="ニッセイ入力画面"/>
      <sheetName val="List"/>
      <sheetName val="Step1.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2.xml><?xml version="1.0" encoding="utf-8"?>
<externalLink xmlns="http://schemas.openxmlformats.org/spreadsheetml/2006/main">
  <externalBook xmlns:r="http://schemas.openxmlformats.org/officeDocument/2006/relationships" r:id="rId1">
    <sheetNames>
      <sheetName val="000000"/>
      <sheetName val="Contents"/>
      <sheetName val="Sch 1A"/>
      <sheetName val="Sch 1B"/>
      <sheetName val="Sch 1C"/>
      <sheetName val="Sch 1D"/>
      <sheetName val="Sch 2A"/>
      <sheetName val="Sch 2B"/>
      <sheetName val="Sch 2C"/>
      <sheetName val="Sch 2D"/>
      <sheetName val="Sch 2E"/>
      <sheetName val="Sch 3A"/>
      <sheetName val="Sch 3B"/>
      <sheetName val="Sch 3C"/>
      <sheetName val="Sch 4A"/>
      <sheetName val="Sch 4B"/>
      <sheetName val="Sch 4C"/>
      <sheetName val="Sch 5"/>
      <sheetName val="Sch 6"/>
      <sheetName val="OUVC"/>
      <sheetName val="Test Breako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3.xml><?xml version="1.0" encoding="utf-8"?>
<externalLink xmlns="http://schemas.openxmlformats.org/spreadsheetml/2006/main">
  <externalBook xmlns:r="http://schemas.openxmlformats.org/officeDocument/2006/relationships" r:id="rId1">
    <sheetNames>
      <sheetName val="ADN-EDP"/>
      <sheetName val="ADN-Activ."/>
      <sheetName val="ADN-EDPmes"/>
      <sheetName val="ADN-Canales"/>
      <sheetName val="ADN-Clientes"/>
      <sheetName val="ADN-Cualitativo"/>
      <sheetName val="ADN-Gastos"/>
      <sheetName val="EDP-Bud03"/>
      <sheetName val="Comentarios"/>
      <sheetName val="Contents"/>
      <sheetName val="BALANCE"/>
      <sheetName val="EDC-DAS"/>
      <sheetName val="BASE DE DATOS"/>
      <sheetName val="SWDA"/>
      <sheetName val="DOC34"/>
      <sheetName val="Page"/>
      <sheetName val="IN-Q103"/>
      <sheetName val="调整后帐龄及明细表"/>
      <sheetName val="Link"/>
      <sheetName val="INDIC-04"/>
      <sheetName val="Sheet1"/>
      <sheetName val="Sheet6"/>
      <sheetName val="Sheet2"/>
      <sheetName val="Sheet5"/>
      <sheetName val="Source"/>
      <sheetName val="ADN-Activ_"/>
      <sheetName val="BASE_DE_DATOS"/>
      <sheetName val="B520"/>
      <sheetName val="ORDERS Essbase POV List"/>
      <sheetName val="Purchases FWJ"/>
      <sheetName val="ROP-RS"/>
      <sheetName val="Commercial perimeter 2010"/>
      <sheetName val="Test Breakout"/>
      <sheetName val="ニッセイ入力画面"/>
      <sheetName val="設備投資20万円以上"/>
      <sheetName val="Key figures by PL RU"/>
      <sheetName val="OW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34.xml><?xml version="1.0" encoding="utf-8"?>
<externalLink xmlns="http://schemas.openxmlformats.org/spreadsheetml/2006/main">
  <externalBook xmlns:r="http://schemas.openxmlformats.org/officeDocument/2006/relationships" r:id="rId1">
    <sheetNames>
      <sheetName val="Help"/>
      <sheetName val="Project CIS"/>
      <sheetName val="Project PDL"/>
      <sheetName val="Quotation 10 june"/>
      <sheetName val="Check List (2)"/>
      <sheetName val="Gant chart"/>
      <sheetName val="Synth Gant Chart"/>
      <sheetName val="Part procurement"/>
      <sheetName val="projected qty's"/>
      <sheetName val="Layout"/>
      <sheetName val="Quotation 26 sept"/>
      <sheetName val="PDL dimmer Gantt chart"/>
      <sheetName val="Schedule"/>
      <sheetName val="Resources"/>
      <sheetName val="Localization"/>
      <sheetName val="OUV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5.xml><?xml version="1.0" encoding="utf-8"?>
<externalLink xmlns="http://schemas.openxmlformats.org/spreadsheetml/2006/main">
  <externalBook xmlns:r="http://schemas.openxmlformats.org/officeDocument/2006/relationships" r:id="rId1">
    <sheetNames>
      <sheetName val="automation"/>
      <sheetName val="WELCOME"/>
      <sheetName val="Monthly Mgt. Letter"/>
      <sheetName val="Flash Report 1 (month)"/>
      <sheetName val="Flash Report 2 (YTD &amp; Dp)"/>
      <sheetName val="Flash Report 3 (graphics)"/>
      <sheetName val="Dp_trend"/>
      <sheetName val="Backlog Report"/>
      <sheetName val="Fin. P&amp;L (monthly)"/>
      <sheetName val="Fin. P&amp;L (quarterly)"/>
      <sheetName val="Forecast Quality"/>
      <sheetName val="Financial graphics"/>
      <sheetName val="RCO Yearly P&amp;L"/>
      <sheetName val="P&amp;L per Entity"/>
      <sheetName val="JV Direct Costs"/>
      <sheetName val="Opg. Costs by nature"/>
      <sheetName val="JV Inventories"/>
      <sheetName val="INV. @ SECI &amp; SSC"/>
      <sheetName val="OG Receivables"/>
      <sheetName val="CARAT Quality"/>
      <sheetName val="Group Balance Sheet"/>
      <sheetName val="CAPEX Committed"/>
      <sheetName val="Headcount"/>
      <sheetName val="db._Orders &amp; Backlog"/>
      <sheetName val="db._Orders FRCT"/>
      <sheetName val="db._actual P&amp;L"/>
      <sheetName val="db._P&amp;L FRCT"/>
      <sheetName val="db._Working Capital"/>
      <sheetName val="db._CAPEX &amp; Hdc"/>
      <sheetName val="RCO_db."/>
      <sheetName val="Quotation 10 ju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36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Cost1(FullProcess)"/>
      <sheetName val="Cost2(SubcontractPCBA)"/>
      <sheetName val="Cost_analysis"/>
      <sheetName val="RM_analysis"/>
      <sheetName val="Material"/>
      <sheetName val="Labor_time"/>
      <sheetName val="Surface_labor_jigs"/>
      <sheetName val="Depreciation"/>
      <sheetName val="Equipment"/>
      <sheetName val="Toolings"/>
      <sheetName val="AutoLine"/>
      <sheetName val="Process"/>
      <sheetName val="TransitionLaborExpense"/>
      <sheetName val="Forecast"/>
      <sheetName val="WELCO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7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 and Notes"/>
      <sheetName val="Supplier Info"/>
      <sheetName val="Part Number Quote"/>
      <sheetName val="BOM Galway"/>
      <sheetName val="BOM PI-India"/>
      <sheetName val="BOM Nancy"/>
      <sheetName val="BOM Power Sys"/>
      <sheetName val="BOM BIFFI"/>
      <sheetName val="BOM Westlock"/>
      <sheetName val="current"/>
      <sheetName val="tool_cost_jabil"/>
      <sheetName val="Legend"/>
      <sheetName val="Material"/>
      <sheetName val="WELCOME"/>
      <sheetName val="Minutes-follow up"/>
      <sheetName val="`06 Staf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8.xml><?xml version="1.0" encoding="utf-8"?>
<externalLink xmlns="http://schemas.openxmlformats.org/spreadsheetml/2006/main">
  <externalBook xmlns:r="http://schemas.openxmlformats.org/officeDocument/2006/relationships" r:id="rId1">
    <sheetNames>
      <sheetName val="PB Pricing"/>
      <sheetName val="Part list"/>
      <sheetName val="201598-A"/>
      <sheetName val="980-548-C"/>
      <sheetName val="980-549-E"/>
      <sheetName val="980-597-B"/>
      <sheetName val="980-610-E"/>
      <sheetName val="980-657-E"/>
      <sheetName val="201447-A(AL1912A01)"/>
      <sheetName val="204630-A(AL1912E01)"/>
      <sheetName val="920-00734-A"/>
      <sheetName val="AL2012A16"/>
      <sheetName val="AL2012E16"/>
      <sheetName val="980-786-G"/>
      <sheetName val="980-908-G"/>
      <sheetName val="980-911-F(CG1001A05)"/>
      <sheetName val="980-911-F(CG1001E05)"/>
      <sheetName val="980-942-J"/>
      <sheetName val="980-944-J"/>
      <sheetName val="980-739-J2"/>
      <sheetName val="980-740-J2"/>
      <sheetName val="980-845-J2"/>
      <sheetName val="980-846-J2"/>
      <sheetName val="980-790-C"/>
      <sheetName val="980-791-C"/>
      <sheetName val="980-792-C"/>
      <sheetName val="980-793-D"/>
      <sheetName val="980-794-C"/>
      <sheetName val="980-906-C"/>
      <sheetName val="980-01096-E"/>
      <sheetName val="980-742-K"/>
      <sheetName val="980-741-M"/>
      <sheetName val="303657-A"/>
      <sheetName val="303658-A"/>
      <sheetName val="303659-A"/>
      <sheetName val="303660-A"/>
      <sheetName val="108281"/>
      <sheetName val="108285"/>
      <sheetName val="108714"/>
      <sheetName val="108822"/>
      <sheetName val="110347"/>
      <sheetName val="111066"/>
      <sheetName val="111067"/>
      <sheetName val="111095"/>
      <sheetName val="111658"/>
      <sheetName val="111865"/>
      <sheetName val="111866"/>
      <sheetName val="112260"/>
      <sheetName val="112877-00"/>
      <sheetName val="112877-08"/>
      <sheetName val="112877-16"/>
      <sheetName val="112877-32"/>
      <sheetName val="112891-00"/>
      <sheetName val="112891-08"/>
      <sheetName val="112891-16"/>
      <sheetName val="112891-32"/>
      <sheetName val="113034"/>
      <sheetName val="113121"/>
      <sheetName val="113242"/>
      <sheetName val="113251"/>
      <sheetName val="113259"/>
      <sheetName val="113448"/>
      <sheetName val="113448(US)"/>
      <sheetName val="113457"/>
      <sheetName val="113457(US)"/>
      <sheetName val="113647"/>
      <sheetName val="114009"/>
      <sheetName val="114009(US)"/>
      <sheetName val="114013"/>
      <sheetName val="114013(US)"/>
      <sheetName val="114017"/>
      <sheetName val="114922-A"/>
      <sheetName val="114931-A"/>
      <sheetName val="114936-A"/>
      <sheetName val="114936(US)"/>
      <sheetName val="115982-A"/>
      <sheetName val="116343-B"/>
      <sheetName val="116345-B"/>
      <sheetName val="116346-B"/>
      <sheetName val="116347-B"/>
      <sheetName val="116348-B"/>
      <sheetName val="116350-B"/>
      <sheetName val="116351-B"/>
      <sheetName val="116352-B"/>
      <sheetName val="118628-A"/>
      <sheetName val="118628-A(US)"/>
      <sheetName val="300319-A"/>
      <sheetName val="300326-A"/>
      <sheetName val="109357"/>
      <sheetName val="107287"/>
      <sheetName val="107868"/>
      <sheetName val="107944"/>
      <sheetName val="108211"/>
      <sheetName val="s-107977"/>
      <sheetName val="109356"/>
      <sheetName val="110097"/>
      <sheetName val="110242"/>
      <sheetName val="110749"/>
      <sheetName val="111690"/>
      <sheetName val="112499"/>
      <sheetName val="112511"/>
      <sheetName val="112809"/>
      <sheetName val="112842-00"/>
      <sheetName val="112842-08"/>
      <sheetName val="112842-16"/>
      <sheetName val="112842-32"/>
      <sheetName val="113289"/>
      <sheetName val="114556-A"/>
      <sheetName val="920-437-B"/>
      <sheetName val="920-439-B"/>
      <sheetName val="920-440-B"/>
      <sheetName val="920-478-B"/>
      <sheetName val="920-527-E"/>
      <sheetName val="920-484-G"/>
      <sheetName val="920-528-D"/>
      <sheetName val="920-558-D"/>
      <sheetName val="920-581-E"/>
      <sheetName val="920-587-A"/>
      <sheetName val="920-609-E"/>
      <sheetName val="920-610-C"/>
      <sheetName val="920-614-L"/>
      <sheetName val="920-00655-F"/>
      <sheetName val="920-00662-F"/>
      <sheetName val="960-11865-A"/>
      <sheetName val="960-11866-A"/>
      <sheetName val="960-12260-A"/>
      <sheetName val="920-481-E"/>
      <sheetName val="920-482-F"/>
      <sheetName val="920-471-E"/>
      <sheetName val="960-463-C"/>
      <sheetName val="920-487-C"/>
      <sheetName val="920-540-E"/>
      <sheetName val="960-465-C"/>
      <sheetName val="920-550-C"/>
      <sheetName val="960-464-C"/>
      <sheetName val="920-219-G"/>
      <sheetName val="920-255-B"/>
      <sheetName val="920-270-B"/>
      <sheetName val="920-332-F"/>
      <sheetName val="920-218-F"/>
      <sheetName val="920-217-E"/>
      <sheetName val="920-289-E"/>
      <sheetName val="112050"/>
      <sheetName val="s-112057"/>
      <sheetName val="s-112055"/>
      <sheetName val="112051"/>
      <sheetName val="s-110674"/>
      <sheetName val="110675"/>
      <sheetName val="113745"/>
      <sheetName val="113812"/>
      <sheetName val="111787"/>
      <sheetName val="201219-A"/>
      <sheetName val="50023"/>
      <sheetName val="BOMROLL"/>
      <sheetName val="Summary"/>
      <sheetName val="Module1"/>
      <sheetName val="BOM Power Sys"/>
      <sheetName val="BOM Westlock"/>
      <sheetName val="BOM BIFFI"/>
      <sheetName val="BOM Galway"/>
      <sheetName val="BOM Nancy"/>
      <sheetName val="BOM PI-Indi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139.xml><?xml version="1.0" encoding="utf-8"?>
<externalLink xmlns="http://schemas.openxmlformats.org/spreadsheetml/2006/main">
  <externalBook xmlns:r="http://schemas.openxmlformats.org/officeDocument/2006/relationships" r:id="rId1">
    <sheetNames>
      <sheetName val="automation"/>
      <sheetName val="WELCOME"/>
      <sheetName val="Monthly Mgt. Letter"/>
      <sheetName val="Flash Report 1 (month)"/>
      <sheetName val="Flash Report 2 (YTD &amp; Dp)"/>
      <sheetName val="Flash Report 3 (graphics)"/>
      <sheetName val="DP Trend"/>
      <sheetName val="Backlog Report"/>
      <sheetName val="Fin. P&amp;L (monthly)"/>
      <sheetName val="Fin. P&amp;L (quarterly)"/>
      <sheetName val="Forecast Quality"/>
      <sheetName val="RCO Yearly P&amp;L"/>
      <sheetName val="P&amp;L per Entity"/>
      <sheetName val="JV Direct Costs"/>
      <sheetName val="Opg. Costs by nature"/>
      <sheetName val="JV Inventories"/>
      <sheetName val="INV. @ SECI &amp; SSC"/>
      <sheetName val="OG Receivables"/>
      <sheetName val="CARAT Quality"/>
      <sheetName val="Group Balance Sheet"/>
      <sheetName val="CAPEX Committed"/>
      <sheetName val="Headcount"/>
      <sheetName val="Financial graphics"/>
      <sheetName val="db._Orders &amp; Backlog"/>
      <sheetName val="db._Orders FRCT"/>
      <sheetName val="db._actual P&amp;L"/>
      <sheetName val="db._P&amp;L FRCT"/>
      <sheetName val="db._Working Capital"/>
      <sheetName val="db._CAPEX &amp; Hdc"/>
      <sheetName val="RCO_db."/>
      <sheetName val="Minutes-follow up"/>
      <sheetName val="L"/>
      <sheetName val="BOMROLL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40.xml><?xml version="1.0" encoding="utf-8"?>
<externalLink xmlns="http://schemas.openxmlformats.org/spreadsheetml/2006/main">
  <externalBook xmlns:r="http://schemas.openxmlformats.org/officeDocument/2006/relationships" r:id="rId1">
    <sheetNames>
      <sheetName val="YTD vs Apr "/>
      <sheetName val="Chart"/>
      <sheetName val="YTD - Act vs BR Apr"/>
      <sheetName val="YTD - Act vs BR Jan"/>
      <sheetName val="YTD vs Jan Frct"/>
      <sheetName val="EOY Jan vs Jul"/>
      <sheetName val="EOY- BR Jul Vs BR Jan"/>
      <sheetName val="Jul vs Apr EOY"/>
      <sheetName val="EOY BR Jul vs BR Apr"/>
      <sheetName val="Entity List"/>
      <sheetName val="Summary"/>
      <sheetName val="China Productivity"/>
      <sheetName val="Target-BRApr"/>
      <sheetName val="BR versions By Entity"/>
      <sheetName val="Productivity Analysis"/>
      <sheetName val="Russell Jul Frct"/>
      <sheetName val="China Productivity db"/>
      <sheetName val="APOD report"/>
      <sheetName val="WELCOME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141.xml><?xml version="1.0" encoding="utf-8"?>
<externalLink xmlns="http://schemas.openxmlformats.org/spreadsheetml/2006/main">
  <externalBook xmlns:r="http://schemas.openxmlformats.org/officeDocument/2006/relationships" r:id="rId1">
    <sheetNames>
      <sheetName val="USER_Choice"/>
      <sheetName val="PAHA2005_Target"/>
      <sheetName val="PRT"/>
      <sheetName val="PRT new"/>
      <sheetName val="Criterions"/>
      <sheetName val="STARS 2005"/>
      <sheetName val="Graphs"/>
      <sheetName val="Feuil1"/>
      <sheetName val="Spot_Index_Budget"/>
      <sheetName val="Spot_Index_Forecast"/>
      <sheetName val="Spot_Index_Realization"/>
      <sheetName val="Jul vs Apr EO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42.xml><?xml version="1.0" encoding="utf-8"?>
<externalLink xmlns="http://schemas.openxmlformats.org/spreadsheetml/2006/main">
  <externalBook xmlns:r="http://schemas.openxmlformats.org/officeDocument/2006/relationships" r:id="rId1">
    <sheetNames>
      <sheetName val="ListeProjetATraiter"/>
      <sheetName val="ExploitEOD"/>
      <sheetName val="ExploitNAOD"/>
      <sheetName val="ExploitAPOD"/>
      <sheetName val="Exploit2IOD"/>
      <sheetName val="ExploitP&amp;T"/>
      <sheetName val="ExploitC&amp;M"/>
      <sheetName val="ExploitS&amp;P"/>
      <sheetName val="ExploitB&amp;A"/>
      <sheetName val="ExploitCST"/>
      <sheetName val="ExploitTRF"/>
      <sheetName val="Savings&amp;Hours"/>
      <sheetName val="états"/>
      <sheetName val="PlantList"/>
      <sheetName val="HourBalance"/>
      <sheetName val="Criter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B3" t="str">
            <v>??</v>
          </cell>
        </row>
      </sheetData>
      <sheetData sheetId="14"/>
      <sheetData sheetId="15" refreshError="1"/>
    </sheetDataSet>
  </externalBook>
</externalLink>
</file>

<file path=xl/externalLinks/externalLink14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Target 2004"/>
      <sheetName val="Mie exit"/>
      <sheetName val="Nagoya"/>
      <sheetName val="Izumi Otsu"/>
      <sheetName val="Others"/>
      <sheetName val="Pre Target 2004"/>
      <sheetName val="TSEL_salaries_2004"/>
      <sheetName val="Summary"/>
      <sheetName val="Sakata tender (2)"/>
      <sheetName val="Recuritment"/>
      <sheetName val="Sakata tender"/>
      <sheetName val="SAP amotization"/>
      <sheetName val="Promotion AD"/>
      <sheetName val="Points"/>
      <sheetName val="Menu"/>
      <sheetName val="By_Group-Nature"/>
      <sheetName val="By_Group-Cumm"/>
      <sheetName val="By_Branch-Cumm"/>
      <sheetName val="By_Dept Nature-Cumm"/>
      <sheetName val="Mie-Cumm"/>
      <sheetName val="By_Dept-Cumm"/>
      <sheetName val="By_Dept-spot"/>
      <sheetName val="TOTAL"/>
      <sheetName val="FACMGT"/>
      <sheetName val="QCTRL"/>
      <sheetName val="LOGTSB"/>
      <sheetName val="RD"/>
      <sheetName val="LOGSE"/>
      <sheetName val="QUALSE"/>
      <sheetName val="QUALSUN"/>
      <sheetName val="INCOINS"/>
      <sheetName val="TECHSUP"/>
      <sheetName val="HELP"/>
      <sheetName val="MKTG"/>
      <sheetName val="SALADM"/>
      <sheetName val="COMM"/>
      <sheetName val="SALSPE"/>
      <sheetName val="SGBD"/>
      <sheetName val="TOKBR"/>
      <sheetName val="NAGBR"/>
      <sheetName val="OSABR"/>
      <sheetName val="DIR"/>
      <sheetName val="FAM"/>
      <sheetName val="CCR"/>
      <sheetName val="HR"/>
      <sheetName val="MIS"/>
      <sheetName val="ACC"/>
      <sheetName val="PB_Jan"/>
      <sheetName val="PB_Feb"/>
      <sheetName val="New COA"/>
      <sheetName val="Cost Centers Architecture"/>
      <sheetName val="By_Dept-Constant2003"/>
      <sheetName val="By_Dept-adj"/>
      <sheetName val="By_Dept-Current2003"/>
      <sheetName val="Add costs"/>
      <sheetName val="Ikoka"/>
      <sheetName val="Mie leased assets"/>
      <sheetName val="WELCOME"/>
      <sheetName val="Masters"/>
      <sheetName val="PlantList"/>
      <sheetName val="Separation"/>
      <sheetName val="D"/>
      <sheetName val="Retrieve Activity YTD ROY YE"/>
      <sheetName val="Retrieve Activity by Month"/>
      <sheetName val="CCO GM total"/>
      <sheetName val="PM0 2009"/>
      <sheetName val="Legend"/>
      <sheetName val="REQDELTA"/>
      <sheetName val="BOM Power Sys"/>
      <sheetName val="BOM Westlock"/>
      <sheetName val="BOM BIFFI"/>
      <sheetName val="BOM Galway"/>
      <sheetName val="BOM Nancy"/>
      <sheetName val="BOM PI-India"/>
      <sheetName val="Jul vs Apr EOY"/>
      <sheetName val="Ass.Sheet"/>
      <sheetName val="P&amp;LDetail"/>
      <sheetName val="PERSIAPAN"/>
      <sheetName val="UTILITAS"/>
      <sheetName val="Annual Planner (Optional)"/>
      <sheetName val="workarea."/>
      <sheetName val="week num"/>
      <sheetName val="Retrieve By Act &amp; by Country"/>
      <sheetName val="Retrieve By Act &amp; by Countr L2"/>
      <sheetName val="pole summary"/>
      <sheetName val="Criterions"/>
      <sheetName val="X FILES -Summary"/>
      <sheetName val="ProC Summary"/>
      <sheetName val="Mth-Vana"/>
      <sheetName val="Plant"/>
      <sheetName val="RawData-Draft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 refreshError="1"/>
      <sheetData sheetId="49" refreshError="1"/>
      <sheetData sheetId="50"/>
      <sheetData sheetId="51" refreshError="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144.xml><?xml version="1.0" encoding="utf-8"?>
<externalLink xmlns="http://schemas.openxmlformats.org/spreadsheetml/2006/main">
  <externalBook xmlns:r="http://schemas.openxmlformats.org/officeDocument/2006/relationships" r:id="rId1">
    <sheetNames>
      <sheetName val="**_x0000__x0000_"/>
      <sheetName val="pldt"/>
      <sheetName val="G1512-10"/>
      <sheetName val="G1512-20"/>
      <sheetName val="G1279-10"/>
      <sheetName val="Summary-External"/>
      <sheetName val="Quote Summary - Internal"/>
      <sheetName val="NRE"/>
      <sheetName val="    "/>
      <sheetName val="executive summary"/>
      <sheetName val="Quote summary"/>
      <sheetName val="Pricing (3)"/>
      <sheetName val="Pricing (2)"/>
      <sheetName val="Pricing"/>
      <sheetName val="work center summary"/>
      <sheetName val="stdtime"/>
      <sheetName val="Pricing(1)"/>
      <sheetName val="Pricing(3)"/>
      <sheetName val="Pricing(4)"/>
      <sheetName val="#REF"/>
      <sheetName val="#REF!"/>
      <sheetName val="Points"/>
      <sheetName val="__"/>
      <sheetName val="**_x005f_x0000__x005f_x0000_"/>
      <sheetName val="Currencies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 refreshError="1"/>
      <sheetData sheetId="22"/>
      <sheetData sheetId="23" refreshError="1"/>
      <sheetData sheetId="24" refreshError="1"/>
    </sheetDataSet>
  </externalBook>
</externalLink>
</file>

<file path=xl/externalLinks/externalLink145.xml><?xml version="1.0" encoding="utf-8"?>
<externalLink xmlns="http://schemas.openxmlformats.org/spreadsheetml/2006/main">
  <externalBook xmlns:r="http://schemas.openxmlformats.org/officeDocument/2006/relationships" r:id="rId1">
    <sheetNames>
      <sheetName val="Project Info"/>
      <sheetName val="SWDA data &amp; gap"/>
      <sheetName val="RF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46.xml><?xml version="1.0" encoding="utf-8"?>
<externalLink xmlns="http://schemas.openxmlformats.org/spreadsheetml/2006/main">
  <externalBook xmlns:r="http://schemas.openxmlformats.org/officeDocument/2006/relationships" r:id="rId1">
    <sheetNames>
      <sheetName val="Project Info"/>
      <sheetName val="PHA comp"/>
      <sheetName val="wk29 Fcst"/>
      <sheetName val="This Q3 Fcst Deltas"/>
      <sheetName val="This Q3 Fcst Absolutes"/>
      <sheetName val="This Q4 Fcst Deltas"/>
      <sheetName val="This Q4 Fcst Absolutes"/>
      <sheetName val="Selected BS"/>
      <sheetName val="AR"/>
      <sheetName val="AP"/>
      <sheetName val="Invy"/>
      <sheetName val="CTC"/>
      <sheetName val="SWDA data &amp; gap"/>
      <sheetName val="RF"/>
    </sheetNames>
    <sheetDataSet>
      <sheetData sheetId="0" refreshError="1">
        <row r="19">
          <cell r="C19">
            <v>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47.xml><?xml version="1.0" encoding="utf-8"?>
<externalLink xmlns="http://schemas.openxmlformats.org/spreadsheetml/2006/main">
  <externalBook xmlns:r="http://schemas.openxmlformats.org/officeDocument/2006/relationships" r:id="rId1">
    <sheetNames>
      <sheetName val="0 - Menu"/>
      <sheetName val="1 - Tables"/>
      <sheetName val="Summary NEA Zone Spot"/>
      <sheetName val="Summary NEA Zone Cumul"/>
      <sheetName val="PM Japan &amp; Korea Spot"/>
      <sheetName val="PM Japan &amp; Korea Cumul"/>
      <sheetName val="YEF Zone - Local Curr"/>
      <sheetName val="YEF Zone - EUR"/>
      <sheetName val="Synthesis Zone 5Q Activity Q"/>
      <sheetName val="Synthesis Zone + CM 5Q Hier Q"/>
      <sheetName val="Synthesis CM 5Q Hier Q"/>
      <sheetName val="Synthesis Zone 5Q Activity Y"/>
      <sheetName val="Synthesis Zone + CM 5Q Hier Y"/>
      <sheetName val="Synthesis CM 5Q Hier Q Y"/>
      <sheetName val="Digital Spot"/>
      <sheetName val="Digital Cumul"/>
      <sheetName val="YEF Digital - Local Curr"/>
      <sheetName val="YEF Digital - EUR"/>
      <sheetName val="2 - Graphs"/>
      <sheetName val="Graphs Hier MPM Spot"/>
      <sheetName val="Graphs Hier MPM Cum"/>
      <sheetName val="Graphs CM MPM Spot"/>
      <sheetName val="Graphs CM MPM Cum"/>
      <sheetName val="Graphs Hier QPQ"/>
      <sheetName val="Graphs CM QPQ"/>
      <sheetName val="Contribution to Zone QPQ Act"/>
      <sheetName val="Contribution to Zone QPQ Entity"/>
      <sheetName val="Contribution to Digital QPQ"/>
      <sheetName val="Graph Hier Zone"/>
      <sheetName val="Graph NEA CM"/>
      <sheetName val="Graph Hier Zone Q"/>
      <sheetName val="Graph NEA CM Q"/>
      <sheetName val="Contribution CM JP"/>
      <sheetName val="Contribution CM KR"/>
      <sheetName val="Contribution CM JP Q"/>
      <sheetName val="Contribution CM KR Q"/>
      <sheetName val="3 - Data"/>
      <sheetName val="Tables Graphs"/>
      <sheetName val="Order Intake Digital S&amp;C"/>
      <sheetName val="Order Intake Digital JK S&amp;C"/>
      <sheetName val="Order Intake Digital EIA"/>
      <sheetName val="Detail 5Q Zone Activity"/>
      <sheetName val="Order Intake Hier Act QPQ"/>
      <sheetName val="Order Intake Hier S"/>
      <sheetName val="Order Intake Hier C"/>
      <sheetName val="Order Intake Hier PM JK S&amp;C"/>
      <sheetName val="Order Intake Hier Act A-2 S"/>
      <sheetName val="Order Intake Hier Act A-1 S"/>
      <sheetName val="Order Intake Hier Act Bud S"/>
      <sheetName val="Order Intake Hier Act Real S"/>
      <sheetName val="Order Intake Hier Act A-2 C"/>
      <sheetName val="Order Intake Hier Act A-1 C"/>
      <sheetName val="Order Intake Hier Act Bud S C"/>
      <sheetName val="Order Intake Hier Act Real C"/>
      <sheetName val="Order Intake PM S"/>
      <sheetName val="Order Intake PM C"/>
      <sheetName val="4 - Parameters"/>
      <sheetName val="Carat Parameters"/>
      <sheetName val="Carat Extraction Test"/>
      <sheetName val="Carat Extraction Test Filtres"/>
      <sheetName val="Qs"/>
      <sheetName val="Old Table Quarterly ML Zone"/>
      <sheetName val="New Table Q ML Japan EUR"/>
      <sheetName val="New Table Q ML Japan EUR 2"/>
      <sheetName val="New Table Q ML Japan JPY"/>
      <sheetName val="New Table Q ML Japan JPY 2"/>
      <sheetName val="Order Intake Japan Hier Act QPQ"/>
      <sheetName val="SWDA data &amp; gap"/>
      <sheetName val="RF"/>
      <sheetName val="Sheet1"/>
      <sheetName val="Coding"/>
      <sheetName val="PointNo.5"/>
      <sheetName val="Definition PCB RSX"/>
      <sheetName val="95PREM"/>
      <sheetName val="Points"/>
      <sheetName val="KPI Offer Quality Index"/>
      <sheetName val="Project Info"/>
      <sheetName val="Contents"/>
      <sheetName val="time code"/>
      <sheetName val="CBP4S5D"/>
      <sheetName val="UMC"/>
      <sheetName val="Source"/>
      <sheetName val="Backup"/>
      <sheetName val="Q2 YTD OG Sales Analysis"/>
      <sheetName val="Q2 OG Trade Receivables"/>
      <sheetName val="CURYTDSetting"/>
      <sheetName val="WELCOME"/>
      <sheetName val="General Aspects"/>
      <sheetName val="Financial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</sheetDataSet>
  </externalBook>
</externalLink>
</file>

<file path=xl/externalLinks/externalLink148.xml><?xml version="1.0" encoding="utf-8"?>
<externalLink xmlns="http://schemas.openxmlformats.org/spreadsheetml/2006/main">
  <externalBook xmlns:r="http://schemas.openxmlformats.org/officeDocument/2006/relationships" r:id="rId1">
    <sheetNames>
      <sheetName val="Mfg cost reduction  cost b up"/>
      <sheetName val="16A CVD matl-DTA"/>
      <sheetName val="16A parts cost &amp; investment DTA"/>
      <sheetName val="Bimetal Support"/>
      <sheetName val="Shielding"/>
      <sheetName val="Fixed Contact"/>
      <sheetName val="shunt lr"/>
      <sheetName val="Arc plate"/>
      <sheetName val="Bimetal Support HR nsk"/>
      <sheetName val="input connector lr PS"/>
      <sheetName val="shunt lr PS"/>
      <sheetName val="shunt HR"/>
      <sheetName val="input connector lr"/>
      <sheetName val="output connector hr"/>
      <sheetName val="input connector HR"/>
      <sheetName val="Moving Contact LR"/>
      <sheetName val="Interplex Output connector"/>
      <sheetName val="Interplex Moving Contact LR"/>
      <sheetName val="moving contact"/>
      <sheetName val="Saving (2)"/>
      <sheetName val="Saving"/>
      <sheetName val="Sheet1 (2)"/>
      <sheetName val="6Amps"/>
      <sheetName val="63A Feb-Cost"/>
      <sheetName val="Master sheet Drawing (2)"/>
      <sheetName val="C60 parts list"/>
      <sheetName val="Frame"/>
      <sheetName val="moving core"/>
      <sheetName val="fixed core"/>
      <sheetName val="Arc pl hldr costing"/>
      <sheetName val="Arc Chute assy cost"/>
      <sheetName val="Ref"/>
      <sheetName val="Carat Parameters"/>
      <sheetName val="Q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</sheetDataSet>
  </externalBook>
</externalLink>
</file>

<file path=xl/externalLinks/externalLink149.xml><?xml version="1.0" encoding="utf-8"?>
<externalLink xmlns="http://schemas.openxmlformats.org/spreadsheetml/2006/main">
  <externalBook xmlns:r="http://schemas.openxmlformats.org/officeDocument/2006/relationships" r:id="rId1">
    <sheetNames>
      <sheetName val="OG Sales Including VAT"/>
      <sheetName val="OG Receivables"/>
      <sheetName val="YTD OG Sales Analysis"/>
      <sheetName val="OG Trade Receivables Values"/>
      <sheetName val="DSO"/>
      <sheetName val="DSO Analysis"/>
      <sheetName val="DSO by country"/>
      <sheetName val="RéaliséGlobal"/>
      <sheetName val="Inv 6000"/>
      <sheetName val="Comentarios"/>
      <sheetName val="RA05631"/>
      <sheetName val="var indus"/>
      <sheetName val="Receivables Zones"/>
      <sheetName val="OG Sales with VAT"/>
      <sheetName val="DOC34"/>
      <sheetName val="Hoja1"/>
      <sheetName val="ANAL-MB"/>
      <sheetName val="Parameters"/>
      <sheetName val="1994XLS"/>
      <sheetName val="Carat Parameters"/>
      <sheetName val="Qs"/>
      <sheetName val="Mth-Vana"/>
      <sheetName val="Forex Datas"/>
      <sheetName val="REEL avril"/>
      <sheetName val="BOM HP3000"/>
      <sheetName val="TAG subassy"/>
      <sheetName val="EX RATE"/>
      <sheetName val="curr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50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Sum"/>
      <sheetName val="BOMA"/>
      <sheetName val="BOMB"/>
      <sheetName val="BOMC"/>
      <sheetName val="PRICE"/>
      <sheetName val="Sum-07"/>
      <sheetName val="OG Trade Receivables Values"/>
      <sheetName val="YTD OG Sales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51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Cost1(FullProcess)"/>
      <sheetName val="Analysis"/>
      <sheetName val="Cost2(SubcontractPCBA)"/>
      <sheetName val="Cost_analysis"/>
      <sheetName val="RM_analysis"/>
      <sheetName val="Material"/>
      <sheetName val="Labor_time"/>
      <sheetName val="Surface_labor_jigs"/>
      <sheetName val="Depreciation"/>
      <sheetName val="Equipment"/>
      <sheetName val="Toolings"/>
      <sheetName val="AutoLine"/>
      <sheetName val="Process"/>
      <sheetName val="TransitionLaborExpense"/>
      <sheetName val="Forecast"/>
      <sheetName val="calc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</sheetDataSet>
  </externalBook>
</externalLink>
</file>

<file path=xl/externalLinks/externalLink152.xml><?xml version="1.0" encoding="utf-8"?>
<externalLink xmlns="http://schemas.openxmlformats.org/spreadsheetml/2006/main">
  <externalBook xmlns:r="http://schemas.openxmlformats.org/officeDocument/2006/relationships" r:id="rId1">
    <sheetNames>
      <sheetName val="SAPBEXqueries"/>
      <sheetName val="SAPBEXfilters"/>
      <sheetName val="Feuil1"/>
      <sheetName val="Synthèse"/>
      <sheetName val="ts clients"/>
      <sheetName val="SSPA"/>
      <sheetName val="SBLV"/>
      <sheetName val="SSC"/>
      <sheetName val="SBMV"/>
      <sheetName val="Thailande"/>
      <sheetName val="Indonésie"/>
      <sheetName val="Inde"/>
      <sheetName val="Philippines"/>
      <sheetName val="Singapour"/>
      <sheetName val="Taiwan"/>
      <sheetName val="Japon"/>
      <sheetName val="Corée"/>
      <sheetName val="HongKong"/>
      <sheetName val="Vietnam"/>
      <sheetName val="Australie"/>
      <sheetName val="NZelande"/>
      <sheetName val="Canada"/>
      <sheetName val="SQD"/>
      <sheetName val="Mexique"/>
      <sheetName val="Feuil3"/>
      <sheetName val="Possible Scenar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53.xml><?xml version="1.0" encoding="utf-8"?>
<externalLink xmlns="http://schemas.openxmlformats.org/spreadsheetml/2006/main">
  <externalBook xmlns:r="http://schemas.openxmlformats.org/officeDocument/2006/relationships" r:id="rId1">
    <sheetNames>
      <sheetName val="Cumsale"/>
      <sheetName val="REV-Act.Dest"/>
      <sheetName val="REV-Nature"/>
      <sheetName val="Ord-Input"/>
      <sheetName val="Balsht"/>
      <sheetName val="Sales"/>
      <sheetName val="Vat-ratio"/>
      <sheetName val="Seg-TO-CCV"/>
      <sheetName val="SEG"/>
      <sheetName val="Indlcost"/>
      <sheetName val="TLCPM-TR"/>
      <sheetName val="Comlcost"/>
      <sheetName val="Triphurcation "/>
      <sheetName val="Tech-coml-Admn-Cost"/>
      <sheetName val="Expenses"/>
      <sheetName val="Trial"/>
      <sheetName val="RECPT"/>
      <sheetName val="BTPMARGING"/>
      <sheetName val="Exportcvd"/>
      <sheetName val="Nepal"/>
      <sheetName val="Energy"/>
      <sheetName val="IDLAB"/>
      <sheetName val="Indl-indicator"/>
      <sheetName val="Warranty cost"/>
      <sheetName val="STKSCRAP"/>
      <sheetName val="STKSRAP-02"/>
      <sheetName val="stkorg"/>
      <sheetName val="Stocksheet"/>
      <sheetName val="LVP-AFS-Tesys"/>
      <sheetName val="CVD-Report"/>
      <sheetName val="stkcard"/>
      <sheetName val="Cost-variance"/>
      <sheetName val="Mix-Variance"/>
      <sheetName val="Sales&amp;Qty"/>
      <sheetName val="Net-TO-OG-IG"/>
      <sheetName val="2007 RECO WITH INR"/>
      <sheetName val="P&amp;L YTD"/>
      <sheetName val="Ref"/>
      <sheetName val="BASE"/>
      <sheetName val="p'raim"/>
      <sheetName val="RéaliséGlobal"/>
      <sheetName val="Canada"/>
      <sheetName val="HongKong"/>
      <sheetName val="Indonésie"/>
      <sheetName val="Inde"/>
      <sheetName val="Japon"/>
      <sheetName val="Corée"/>
      <sheetName val="Mexique"/>
      <sheetName val="NZelande"/>
      <sheetName val="Philipp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154.xml><?xml version="1.0" encoding="utf-8"?>
<externalLink xmlns="http://schemas.openxmlformats.org/spreadsheetml/2006/main">
  <externalBook xmlns:r="http://schemas.openxmlformats.org/officeDocument/2006/relationships" r:id="rId1">
    <sheetNames>
      <sheetName val="TB_June2003"/>
      <sheetName val="Sheet1"/>
      <sheetName val="OG Trade Receivables Values"/>
      <sheetName val="YTD OG Sales Analysis"/>
      <sheetName val="Ord-Input"/>
      <sheetName val=""/>
      <sheetName val="Feb"/>
      <sheetName val="p'raim"/>
      <sheetName val="Sales Trend"/>
      <sheetName val="P&amp;L YTD"/>
      <sheetName val="Sales"/>
      <sheetName val="Minutes-follow up"/>
      <sheetName val="Possible Scenario"/>
      <sheetName val="RA05631"/>
      <sheetName val="Données"/>
      <sheetName val="DSO June 2007 23 07 07"/>
      <sheetName val="mcb"/>
      <sheetName val="EXPORT"/>
      <sheetName val="Canada"/>
      <sheetName val="HongKong"/>
      <sheetName val="Indonésie"/>
      <sheetName val="Inde"/>
      <sheetName val="Japon"/>
      <sheetName val="Mexique"/>
      <sheetName val="NZelande"/>
      <sheetName val="Philippines"/>
      <sheetName val="BASE"/>
      <sheetName val="Ref"/>
      <sheetName val="ニッセイ入力画面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55.xml><?xml version="1.0" encoding="utf-8"?>
<externalLink xmlns="http://schemas.openxmlformats.org/spreadsheetml/2006/main">
  <externalBook xmlns:r="http://schemas.openxmlformats.org/officeDocument/2006/relationships" r:id="rId1">
    <sheetNames>
      <sheetName val="LR11BIS-IAS39"/>
      <sheetName val="Conso_webforms_IAS39"/>
      <sheetName val="Mth-Vana"/>
      <sheetName val="Feb"/>
      <sheetName val="Trad I"/>
      <sheetName val="Break down adjustments"/>
      <sheetName val="Ord-Input"/>
      <sheetName val="Input"/>
      <sheetName val="RA05631"/>
      <sheetName val="p'raim"/>
      <sheetName val="P&amp;L YTD"/>
      <sheetName val="DSO June 2007 23 07 07"/>
      <sheetName val="summ"/>
      <sheetName val="BOM HP3000"/>
      <sheetName val="TAG subassy"/>
      <sheetName val="OG Sales fct"/>
      <sheetName val="PlantList"/>
      <sheetName val="RéaliséGlobal"/>
      <sheetName val="-"/>
    </sheetNames>
    <definedNames>
      <definedName name="shif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56.xml><?xml version="1.0" encoding="utf-8"?>
<externalLink xmlns="http://schemas.openxmlformats.org/spreadsheetml/2006/main">
  <externalBook xmlns:r="http://schemas.openxmlformats.org/officeDocument/2006/relationships" r:id="rId1">
    <sheetNames>
      <sheetName val="Project card"/>
      <sheetName val="Project follow up sheet"/>
      <sheetName val="Project management plan"/>
      <sheetName val="Project schedule"/>
      <sheetName val="Step validation"/>
      <sheetName val="Check list"/>
      <sheetName val="Investment&amp;expense"/>
      <sheetName val="Investment&amp;expense (2)"/>
      <sheetName val="Action plan follow up"/>
      <sheetName val="Forecast"/>
      <sheetName val="BOM of  C1-C2_A1"/>
      <sheetName val="Commercial refs "/>
      <sheetName val="CCV analysis"/>
      <sheetName val="PPEP for PCBA"/>
      <sheetName val="Layout"/>
      <sheetName val="MTM"/>
      <sheetName val="Variants per family"/>
      <sheetName val="KPI (assumptions)"/>
      <sheetName val="Training Plan (2)"/>
      <sheetName val="Training Plan"/>
      <sheetName val="Training program"/>
      <sheetName val="Team training(competency)"/>
      <sheetName val="C1 Line Qual. Sample"/>
      <sheetName val="C2 Line Qual. Sample"/>
      <sheetName val="Spare parts"/>
      <sheetName val="CP tool quotation"/>
      <sheetName val="Training Plan (3)"/>
      <sheetName val="Summary of bud. increas"/>
      <sheetName val="Power Ind. support fee"/>
      <sheetName val="Training report (Chen SW)"/>
      <sheetName val="Translation list"/>
      <sheetName val="SIL parts purchasing"/>
      <sheetName val="Received doc. (Test&amp;main)"/>
      <sheetName val="Task of line setup &amp; Qual."/>
      <sheetName val="Line acceptance criteria"/>
      <sheetName val="Investment&amp;expense (3)"/>
      <sheetName val="SL"/>
      <sheetName val="Stock coverage"/>
      <sheetName val="output"/>
      <sheetName val="fcst"/>
      <sheetName val="Prod cost Analysis Mold SS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57.xml><?xml version="1.0" encoding="utf-8"?>
<externalLink xmlns="http://schemas.openxmlformats.org/spreadsheetml/2006/main">
  <externalBook xmlns:r="http://schemas.openxmlformats.org/officeDocument/2006/relationships" r:id="rId1">
    <sheetNames>
      <sheetName val="Cover Page"/>
      <sheetName val="Summary"/>
      <sheetName val="Mgt Sum"/>
      <sheetName val="Returns"/>
      <sheetName val="Kicker Calculation"/>
      <sheetName val="Shareholders"/>
      <sheetName val="Management"/>
      <sheetName val="MGT SHR"/>
      <sheetName val="Champagne SA"/>
      <sheetName val="Vensy"/>
      <sheetName val="Tarama-Prince egor"/>
      <sheetName val="Guéraçague"/>
      <sheetName val="P&amp;L"/>
      <sheetName val="Barclays"/>
      <sheetName val="Seasonality"/>
      <sheetName val="Ratios"/>
      <sheetName val="Taxes"/>
      <sheetName val="HoldCo"/>
      <sheetName val="Mezz Returns"/>
      <sheetName val="Debt Schedules"/>
      <sheetName val="CF"/>
      <sheetName val="BS"/>
      <sheetName val="Work Cap"/>
      <sheetName val="WCLine"/>
      <sheetName val="Depreciation"/>
      <sheetName val="Model Input"/>
      <sheetName val="Assumptions"/>
      <sheetName val="Model Log"/>
      <sheetName val="Fees"/>
      <sheetName val="Value An"/>
      <sheetName val="Periodisation"/>
      <sheetName val="Entry Mult"/>
      <sheetName val="BS Adj"/>
      <sheetName val="Reconciliation"/>
      <sheetName val="Return Sensitivities"/>
      <sheetName val="IPO"/>
      <sheetName val="Check"/>
      <sheetName val="Comps"/>
      <sheetName val="Trans Stru"/>
      <sheetName val="modèleavril"/>
      <sheetName val="Link"/>
      <sheetName val="Pinv"/>
      <sheetName val="Input"/>
      <sheetName val="Sum"/>
      <sheetName val="exch rate 2003 2004"/>
      <sheetName val="Commercial perimeter 2010"/>
      <sheetName val="Prod cost Analysis Mold SSIC"/>
      <sheetName val="Conn. Lib"/>
      <sheetName val="C1 Line Qual. Sample"/>
      <sheetName val="ROP-RS"/>
      <sheetName val="Entity List"/>
      <sheetName val="DSO by country"/>
      <sheetName val="lab norge"/>
      <sheetName val="synthèse"/>
      <sheetName val="détail 29-6"/>
      <sheetName val="Orders Fcst"/>
      <sheetName val="Ship Fcst"/>
      <sheetName val="Mth-Vana"/>
      <sheetName val="Cover_Page"/>
      <sheetName val="Mgt_Sum"/>
      <sheetName val="Kicker_Calculation"/>
      <sheetName val="MGT_SHR"/>
      <sheetName val="Champagne_SA"/>
      <sheetName val="Tarama-Prince_egor"/>
      <sheetName val="Mezz_Returns"/>
      <sheetName val="Debt_Schedules"/>
      <sheetName val="Work_Cap"/>
      <sheetName val="Model_Input"/>
      <sheetName val="Model_Log"/>
      <sheetName val="Value_An"/>
      <sheetName val="Entry_Mult"/>
      <sheetName val="BS_Adj"/>
      <sheetName val="Return_Sensitivities"/>
      <sheetName val="Trans_Stru"/>
      <sheetName val="exch_rate_2003_2004"/>
      <sheetName val="Prod_cost_Analysis_Mold_SSIC"/>
      <sheetName val="Commercial_perimeter_2010"/>
      <sheetName val="Conn__Lib"/>
      <sheetName val="C1_Line_Qual__Sample"/>
      <sheetName val="DSO_by_country"/>
      <sheetName val="Entity_List"/>
      <sheetName val="Orders_Fcst"/>
      <sheetName val="Ship_Fcst"/>
      <sheetName val="lab_no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158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Sum"/>
      <sheetName val="BOM-170106"/>
      <sheetName val="BOM-A"/>
      <sheetName val="BOM-B"/>
      <sheetName val="price"/>
      <sheetName val="Qty&amp;Dep"/>
      <sheetName val="Costelement"/>
      <sheetName val="Valueaddition"/>
      <sheetName val="boma"/>
      <sheetName val="bom"/>
      <sheetName val="Summ"/>
      <sheetName val="Summary"/>
      <sheetName val="exch rate 2003 2004"/>
      <sheetName val="Variance"/>
      <sheetName val="Sum-07"/>
      <sheetName val="Commercial perimeter 2010"/>
      <sheetName val="Pinv"/>
      <sheetName val="Ass.Sheet"/>
      <sheetName val="Conn. Lib"/>
      <sheetName val="Prod cost Analysis Mold SSIC"/>
      <sheetName val="Entity List"/>
      <sheetName val="Sheet1"/>
      <sheetName val="MES filtres"/>
      <sheetName val="C1 Line Qual. Sample"/>
      <sheetName val="DVC-ACTIVA-170106-Ver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59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Sum-07"/>
      <sheetName val="BOM080207"/>
      <sheetName val="BOMB"/>
      <sheetName val="BOMC"/>
      <sheetName val="BOMD"/>
      <sheetName val="Price"/>
      <sheetName val="Sheet1"/>
      <sheetName val="Sheet2"/>
      <sheetName val="Assets"/>
      <sheetName val="KS200C"/>
      <sheetName val="Su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0.xml><?xml version="1.0" encoding="utf-8"?>
<externalLink xmlns="http://schemas.openxmlformats.org/spreadsheetml/2006/main">
  <externalBook xmlns:r="http://schemas.openxmlformats.org/officeDocument/2006/relationships" r:id="rId1">
    <sheetNames>
      <sheetName val="automation"/>
      <sheetName val="WELCOME"/>
      <sheetName val="Monthly Mgt. Letter"/>
      <sheetName val="Flash Report 1 (month)"/>
      <sheetName val="Flash Report 2 (YTD &amp; Dp)"/>
      <sheetName val="Flash Report 3 (graphics)"/>
      <sheetName val="DP Trend"/>
      <sheetName val="Backlog Report"/>
      <sheetName val="Fin. P&amp;L (monthly)"/>
      <sheetName val="Fin. P&amp;L (quarterly)"/>
      <sheetName val="Forecast Quality"/>
      <sheetName val="RCO Yearly P&amp;L"/>
      <sheetName val="Financial graphics"/>
      <sheetName val="P&amp;L per Entity"/>
      <sheetName val="Opg. Costs by nature"/>
      <sheetName val="JV Direct Costs"/>
      <sheetName val="JV Inventories"/>
      <sheetName val="INV. @ SECI &amp; SSC"/>
      <sheetName val="OG Receivables"/>
      <sheetName val="CARAT Quality"/>
      <sheetName val="Group Balance Sheet"/>
      <sheetName val="CAPEX Committed"/>
      <sheetName val="Headcount"/>
      <sheetName val="db._Orders &amp; Backlog"/>
      <sheetName val="db._Orders FRCT"/>
      <sheetName val="db._actual P&amp;L"/>
      <sheetName val="db._P&amp;L FRCT"/>
      <sheetName val="db._Working Capital"/>
      <sheetName val="db._CAPEX &amp; Hdc"/>
      <sheetName val="RCO_db."/>
      <sheetName val="SECI AD"/>
      <sheetName val="IA BR"/>
      <sheetName val="Summ"/>
    </sheetNames>
    <sheetDataSet>
      <sheetData sheetId="0"/>
      <sheetData sheetId="1">
        <row r="5">
          <cell r="H5">
            <v>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61.xml><?xml version="1.0" encoding="utf-8"?>
<externalLink xmlns="http://schemas.openxmlformats.org/spreadsheetml/2006/main">
  <externalBook xmlns:r="http://schemas.openxmlformats.org/officeDocument/2006/relationships" r:id="rId1">
    <sheetNames>
      <sheetName val="EDC97"/>
      <sheetName val="ZONA"/>
      <sheetName val="AGENCIA"/>
      <sheetName val="MERCADOS"/>
      <sheetName val="CLIENTELA"/>
      <sheetName val="COMPETENCIA"/>
      <sheetName val="ACCIONES1"/>
      <sheetName val="ACCIONES2"/>
      <sheetName val="ACCIONES3"/>
      <sheetName val="Hoja1"/>
      <sheetName val="Hoja2"/>
      <sheetName val="Hoja3"/>
      <sheetName val="DOC34"/>
      <sheetName val="cost1"/>
      <sheetName val="Summary"/>
      <sheetName val="Prod cost Analysis Mold SSIC"/>
      <sheetName val="Summ"/>
      <sheetName val="ANAL-MB"/>
      <sheetName val="Comentarios"/>
      <sheetName val="Inv 6000"/>
      <sheetName val="WELCOME"/>
      <sheetName val="lab norge"/>
      <sheetName val="ROS97"/>
      <sheetName val="Rate"/>
      <sheetName val="1994XLS"/>
      <sheetName val="Prod_cost_Analysis_Mold_SSIC"/>
      <sheetName val="EurotoolsXRates"/>
      <sheetName val="working(with mat'l cost)"/>
      <sheetName val="BD"/>
      <sheetName val="Sum-07"/>
      <sheetName val="ABP06 rates"/>
      <sheetName val="Costs"/>
      <sheetName val="Price"/>
      <sheetName val="SV"/>
      <sheetName val="TD"/>
      <sheetName val="Existing Asset"/>
      <sheetName val="AREVA TD"/>
      <sheetName val="Paramètres"/>
      <sheetName val="Prod_cost_Analysis_Mold_SSIC1"/>
      <sheetName val="Inv_6000"/>
      <sheetName val="lab_norge"/>
      <sheetName val="Existing_Asset"/>
      <sheetName val="ABP06_rates"/>
      <sheetName val="IN-Q103"/>
      <sheetName val="Sum"/>
      <sheetName val="SC-MM"/>
      <sheetName val="RO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2.xml><?xml version="1.0" encoding="utf-8"?>
<externalLink xmlns="http://schemas.openxmlformats.org/spreadsheetml/2006/main">
  <externalBook xmlns:r="http://schemas.openxmlformats.org/officeDocument/2006/relationships" r:id="rId1">
    <sheetNames>
      <sheetName val="Variance"/>
      <sheetName val="Sheet1 (2)"/>
      <sheetName val="Total"/>
      <sheetName val="June"/>
      <sheetName val="May"/>
      <sheetName val="April"/>
      <sheetName val="Notes"/>
      <sheetName val="Sheet4"/>
      <sheetName val="Sales"/>
      <sheetName val="Export"/>
      <sheetName val="Sheet1"/>
      <sheetName val="Production orders"/>
      <sheetName val="MBC"/>
      <sheetName val="RM6"/>
      <sheetName val="Rm6 "/>
      <sheetName val="Rn2c"/>
      <sheetName val="COGS"/>
      <sheetName val="Sheet1 (3)"/>
      <sheetName val="Sheet1 (4)"/>
      <sheetName val="Executive"/>
      <sheetName val="lab nor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externalLinks/externalLink163.xml><?xml version="1.0" encoding="utf-8"?>
<externalLink xmlns="http://schemas.openxmlformats.org/spreadsheetml/2006/main">
  <externalBook xmlns:r="http://schemas.openxmlformats.org/officeDocument/2006/relationships" r:id="rId1">
    <sheetNames>
      <sheetName val="pst145wf 21 Nov 01"/>
      <sheetName val="Variance"/>
      <sheetName val="exch rate 2003 2004"/>
      <sheetName val="Source"/>
      <sheetName val="lab norge"/>
      <sheetName val="Liste Depense"/>
      <sheetName val="Sum"/>
      <sheetName val="Sheet1"/>
      <sheetName val="401100"/>
      <sheetName val="Sum-07"/>
      <sheetName val="Pinv"/>
      <sheetName val="EDC97"/>
      <sheetName val="CC"/>
      <sheetName val="TAG subassy"/>
      <sheetName val="pst145wf21nov01"/>
      <sheetName val="detail"/>
      <sheetName val="Summary"/>
      <sheetName val="Signature she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64.xml><?xml version="1.0" encoding="utf-8"?>
<externalLink xmlns="http://schemas.openxmlformats.org/spreadsheetml/2006/main">
  <externalBook xmlns:r="http://schemas.openxmlformats.org/officeDocument/2006/relationships" r:id="rId1">
    <sheetNames>
      <sheetName val="nomenclature"/>
      <sheetName val="Quantités C2"/>
      <sheetName val="Suivi des Modifs"/>
      <sheetName val="Synthèse"/>
      <sheetName val="EDC-DAS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165.xml><?xml version="1.0" encoding="utf-8"?>
<externalLink xmlns="http://schemas.openxmlformats.org/spreadsheetml/2006/main">
  <externalBook xmlns:r="http://schemas.openxmlformats.org/officeDocument/2006/relationships" r:id="rId1">
    <sheetNames>
      <sheetName val="Help"/>
      <sheetName val="Project"/>
      <sheetName val="Product costs"/>
      <sheetName val="dmh and cma consumption"/>
      <sheetName val="Invest &amp; exp"/>
      <sheetName val="detail BOM cost Analysis"/>
    </sheetNames>
    <sheetDataSet>
      <sheetData sheetId="0" refreshError="1"/>
      <sheetData sheetId="1" refreshError="1"/>
      <sheetData sheetId="2">
        <row r="37">
          <cell r="W37">
            <v>10.005000000000001</v>
          </cell>
        </row>
      </sheetData>
      <sheetData sheetId="3"/>
      <sheetData sheetId="4"/>
      <sheetData sheetId="5" refreshError="1"/>
    </sheetDataSet>
  </externalBook>
</externalLink>
</file>

<file path=xl/externalLinks/externalLink166.xml><?xml version="1.0" encoding="utf-8"?>
<externalLink xmlns="http://schemas.openxmlformats.org/spreadsheetml/2006/main">
  <externalBook xmlns:r="http://schemas.openxmlformats.org/officeDocument/2006/relationships" r:id="rId1">
    <sheetNames>
      <sheetName val="SPB &amp; pricesUSD"/>
      <sheetName val="SPB &amp; prices-Euro"/>
      <sheetName val="SPB&amp;prices5%USD"/>
      <sheetName val="SPB&amp;prices5%USD July"/>
      <sheetName val="OLDPrices"/>
      <sheetName val="SCH TSIJ"/>
      <sheetName val="SCH STIE"/>
      <sheetName val="SCE"/>
      <sheetName val="Product co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167.xml><?xml version="1.0" encoding="utf-8"?>
<externalLink xmlns="http://schemas.openxmlformats.org/spreadsheetml/2006/main">
  <externalBook xmlns:r="http://schemas.openxmlformats.org/officeDocument/2006/relationships" r:id="rId1">
    <sheetNames>
      <sheetName val="TDYNimage"/>
      <sheetName val="Missing"/>
      <sheetName val="TDYN-tech-fam"/>
      <sheetName val="TDYN-fam"/>
      <sheetName val="Data07-09-18"/>
      <sheetName val="Tables"/>
      <sheetName val="BDusine"/>
      <sheetName val="TDYN-surface"/>
      <sheetName val="Hors MDB2006"/>
      <sheetName val="SPB &amp; pricesUSD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M1">
            <v>1</v>
          </cell>
        </row>
      </sheetData>
      <sheetData sheetId="7"/>
      <sheetData sheetId="8"/>
      <sheetData sheetId="9" refreshError="1"/>
    </sheetDataSet>
  </externalBook>
</externalLink>
</file>

<file path=xl/externalLinks/externalLink168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Synthesis"/>
      <sheetName val="Summary"/>
      <sheetName val="Price"/>
      <sheetName val="CostBOM"/>
      <sheetName val="Mold_Parts"/>
      <sheetName val="BDusine"/>
    </sheetNames>
    <sheetDataSet>
      <sheetData sheetId="0"/>
      <sheetData sheetId="1"/>
      <sheetData sheetId="2"/>
      <sheetData sheetId="3" refreshError="1"/>
      <sheetData sheetId="4"/>
      <sheetData sheetId="5"/>
      <sheetData sheetId="6" refreshError="1"/>
    </sheetDataSet>
  </externalBook>
</externalLink>
</file>

<file path=xl/externalLinks/externalLink169.xml><?xml version="1.0" encoding="utf-8"?>
<externalLink xmlns="http://schemas.openxmlformats.org/spreadsheetml/2006/main">
  <externalBook xmlns:r="http://schemas.openxmlformats.org/officeDocument/2006/relationships" r:id="rId1">
    <sheetNames>
      <sheetName val="Legend"/>
      <sheetName val="Cost"/>
      <sheetName val="Depreciation"/>
      <sheetName val="Tp"/>
      <sheetName val="Consumables"/>
      <sheetName val="Material"/>
      <sheetName val="WPF_material"/>
      <sheetName val="Process time"/>
      <sheetName val="Labor_time"/>
      <sheetName val="ManpowerPlan"/>
      <sheetName val="Surface_labor_jigs"/>
      <sheetName val="Invest"/>
      <sheetName val="Mold"/>
      <sheetName val="ProductionManagementSystem"/>
      <sheetName val="Equipment"/>
      <sheetName val="Qualification"/>
      <sheetName val="TransitionExpense"/>
      <sheetName val="Toolings"/>
      <sheetName val="PCBA_expense"/>
      <sheetName val="Process"/>
      <sheetName val="History&amp;Forecast"/>
      <sheetName val="Pric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170.xml><?xml version="1.0" encoding="utf-8"?>
<externalLink xmlns="http://schemas.openxmlformats.org/spreadsheetml/2006/main">
  <externalBook xmlns:r="http://schemas.openxmlformats.org/officeDocument/2006/relationships" r:id="rId1">
    <sheetNames>
      <sheetName val="SFC_fct"/>
      <sheetName val="SFC"/>
      <sheetName val="KPI"/>
      <sheetName val="MAP"/>
      <sheetName val="P&amp;L"/>
      <sheetName val="nutshell (YTD)"/>
      <sheetName val="Inv Days_split Clipsal"/>
      <sheetName val="Quarter Trend"/>
      <sheetName val="RGA"/>
      <sheetName val="DVC Structure"/>
      <sheetName val="Forex exposure"/>
      <sheetName val="IG seller impact"/>
      <sheetName val="CME_200503"/>
      <sheetName val="Impact by country"/>
      <sheetName val="Graphs"/>
      <sheetName val="Ebit by zone (RF)"/>
      <sheetName val="Comm cost"/>
      <sheetName val="Avg DSO"/>
      <sheetName val="Fct accuracy"/>
      <sheetName val="Fct accuracy_data"/>
      <sheetName val="backlog_v3"/>
      <sheetName val="by key countries"/>
      <sheetName val="DSO chart"/>
      <sheetName val="MAP_target"/>
      <sheetName val="price increase"/>
      <sheetName val="R&amp;D"/>
      <sheetName val="Ebit by zone"/>
      <sheetName val="non-secured graph"/>
      <sheetName val="forecasts"/>
      <sheetName val="cash flow by mth"/>
      <sheetName val="cash flow by mth_BR"/>
      <sheetName val="OG Trade Receivables Values"/>
      <sheetName val="YTD OG Sales Analysis"/>
      <sheetName val="Param"/>
      <sheetName val="SPB &amp; pricesUSD"/>
      <sheetName val="EDC-DAS"/>
      <sheetName val="CMA"/>
      <sheetName val="Source-New"/>
      <sheetName val="Front"/>
      <sheetName val="RéaliséGlobal"/>
      <sheetName val="Lege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71.xml><?xml version="1.0" encoding="utf-8"?>
<externalLink xmlns="http://schemas.openxmlformats.org/spreadsheetml/2006/main">
  <externalBook xmlns:r="http://schemas.openxmlformats.org/officeDocument/2006/relationships" r:id="rId1">
    <sheetNames>
      <sheetName val="layout"/>
      <sheetName val="label printing&amp;picking control"/>
      <sheetName val=" label pasting&amp; PCBA ASSEM "/>
      <sheetName val=" COVER ASSEM "/>
      <sheetName val="final assembly"/>
      <sheetName val="work bench design(packing)"/>
      <sheetName val="UPDATED BOM "/>
      <sheetName val="cycle time "/>
      <sheetName val="CME_2005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72.xml><?xml version="1.0" encoding="utf-8"?>
<externalLink xmlns="http://schemas.openxmlformats.org/spreadsheetml/2006/main">
  <externalBook xmlns:r="http://schemas.openxmlformats.org/officeDocument/2006/relationships" r:id="rId1">
    <sheetNames>
      <sheetName val="Bimetal Support HR nsk"/>
      <sheetName val="input connector lr PS"/>
      <sheetName val="shunt lr PS"/>
      <sheetName val="shunt lr"/>
      <sheetName val="shunt HR"/>
      <sheetName val="input connector lr"/>
      <sheetName val="Arc plate"/>
      <sheetName val="output connector hr"/>
      <sheetName val="input connector HR"/>
      <sheetName val="Fixed Contact"/>
      <sheetName val="Moving Contact LR"/>
      <sheetName val="Interplex Output connector"/>
      <sheetName val="Interplex Moving Contact LR"/>
      <sheetName val="moving contact"/>
      <sheetName val="Saving (2)"/>
      <sheetName val="Saving"/>
      <sheetName val="Sheet1 (2)"/>
      <sheetName val="6Amps"/>
      <sheetName val="63A Feb-Cost"/>
      <sheetName val="Master sheet Drawing (2)"/>
      <sheetName val="C60 parts list"/>
      <sheetName val="Frame"/>
      <sheetName val="Bimetal Support"/>
      <sheetName val="Shielding"/>
      <sheetName val="moving core"/>
      <sheetName val="fixed core"/>
      <sheetName val="Arc pl hldr costing"/>
      <sheetName val="Arc Chute assy cost"/>
      <sheetName val="bom"/>
      <sheetName val="forex"/>
      <sheetName val="cycle time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73.xml><?xml version="1.0" encoding="utf-8"?>
<externalLink xmlns="http://schemas.openxmlformats.org/spreadsheetml/2006/main">
  <externalBook xmlns:r="http://schemas.openxmlformats.org/officeDocument/2006/relationships" r:id="rId1">
    <sheetNames>
      <sheetName val="Shares Acquisition Costs"/>
      <sheetName val="Variation Actual - Previous Val"/>
      <sheetName val="Shares Acquisition Costs vs. BP"/>
      <sheetName val="Synthese Finale"/>
      <sheetName val="Synthese Finale - HMI Only"/>
      <sheetName val="EBIT Per Year Per Synergy"/>
      <sheetName val="Sales Per Year Per Synergy"/>
      <sheetName val="Summary before after"/>
      <sheetName val="DCF PRO Final - conso 12"/>
      <sheetName val="Basic Plan 12 (before divst)"/>
      <sheetName val="Add RM &amp; DMC 12"/>
      <sheetName val="Less RM &amp; DMC 12"/>
      <sheetName val="Hypothesis Final - Basic"/>
      <sheetName val="Basic Plan 3 (before divst)"/>
      <sheetName val=" sales by geog"/>
      <sheetName val="Reserves"/>
      <sheetName val="Free Cash Flow at 42% tax rate"/>
      <sheetName val="DCF PRO Final - conso 03 "/>
      <sheetName val="DCF PRO Final - RM &amp; DMC (+) 03"/>
      <sheetName val="DCF PRO Final - RM &amp; DMC (-) 03"/>
      <sheetName val="Mix Final"/>
      <sheetName val="Depreciation Final"/>
      <sheetName val="Check"/>
      <sheetName val="Mix Jap - Exp Destination Mkt"/>
      <sheetName val="DCF PRO V. Pro PRESBOARD"/>
      <sheetName val="Hypothesis V. Pro"/>
      <sheetName val="Mix V. Pro"/>
      <sheetName val="Comparison AUT-CI-PRO"/>
      <sheetName val="DCF PRO Opti"/>
      <sheetName val="DCF Model - Empty"/>
      <sheetName val="Hypothesis Opti"/>
      <sheetName val="Mix Opti"/>
      <sheetName val="Consolidated Sales Pro 02"/>
      <sheetName val="Valo Pro NA"/>
      <sheetName val="Valo Pro &quot;Adjusted&quot;"/>
      <sheetName val="PL Pro Detailed"/>
      <sheetName val="Depreciation V. Pro"/>
      <sheetName val="Actionnariat"/>
      <sheetName val="DCF PRO Std"/>
      <sheetName val="DCF PRO Std Immo"/>
      <sheetName val="Hypothesis Std"/>
      <sheetName val="Depreciation Std"/>
      <sheetName val="Mix Std"/>
      <sheetName val="Synthesis EBIT Historic"/>
      <sheetName val="Synth. EBIT Historic EUR"/>
      <sheetName val="Synthesis EBIT Act Mkt Std"/>
      <sheetName val="Dilu Pessi"/>
      <sheetName val="DCF PRO Pessi"/>
      <sheetName val="Hypothesis Pessi"/>
      <sheetName val="Mix Pessi"/>
      <sheetName val="Depreciation Pessi"/>
      <sheetName val="Dilu Opti"/>
      <sheetName val="Depreciation Opti"/>
      <sheetName val="EV"/>
      <sheetName val="P and L"/>
      <sheetName val="Simplified BS"/>
      <sheetName val="EBIT"/>
      <sheetName val="Income"/>
      <sheetName val="Fixed assets"/>
      <sheetName val="BS-assets"/>
      <sheetName val="BS-liabilities"/>
      <sheetName val="Debts 2"/>
      <sheetName val="FCF BS"/>
      <sheetName val="FCF"/>
      <sheetName val="FCF MJPY"/>
      <sheetName val="CE"/>
      <sheetName val="Capex per CF retraite"/>
      <sheetName val="Capex per BS"/>
      <sheetName val="CashFlow"/>
      <sheetName val="Retained Earnings"/>
      <sheetName val="Leases"/>
      <sheetName val="Cash flow per AA"/>
      <sheetName val="Facilities"/>
      <sheetName val="Debt"/>
      <sheetName val="Shareholders"/>
      <sheetName val="Capex par CF retraite 1"/>
      <sheetName val="Employees"/>
      <sheetName val="Graph IRR 2"/>
      <sheetName val="Synthesis"/>
      <sheetName val="Terminal Values"/>
      <sheetName val="Hypothesis Scenarios"/>
      <sheetName val="Results FCF"/>
      <sheetName val="Results EV"/>
      <sheetName val="RPFA Total 2002"/>
      <sheetName val="Dilu Std"/>
      <sheetName val="Dilu Std Hors GW"/>
      <sheetName val="Résumé Dilution Std"/>
      <sheetName val="Fading"/>
      <sheetName val="WACC - EBIT Sensitivity"/>
      <sheetName val="Synergies"/>
      <sheetName val="IRR"/>
      <sheetName val="Graph IRR"/>
      <sheetName val="Dilu V. Pro"/>
      <sheetName val="Questions"/>
      <sheetName val="Conso Liab"/>
      <sheetName val="Conso Assets"/>
      <sheetName val="Conso Ebit"/>
      <sheetName val="CME_200503"/>
      <sheetName val="EDC-DAS"/>
      <sheetName val="CCO Gross Margin-YTD"/>
      <sheetName val="Graph"/>
      <sheetName val="bom"/>
      <sheetName val="forex"/>
      <sheetName val="Param"/>
      <sheetName val="SPB &amp; pricesUSD"/>
      <sheetName val="Source-New"/>
      <sheetName val="Data + Valo DD Final V5"/>
      <sheetName val="2010 MRP,Actual,Disc."/>
      <sheetName val="2011 MRP,Actual,Disc."/>
      <sheetName val="#REF"/>
      <sheetName val="synthèse"/>
      <sheetName val="détail 29-6"/>
      <sheetName val="Sheet1"/>
      <sheetName val="Input"/>
      <sheetName val="K"/>
      <sheetName val="DSO"/>
      <sheetName val="INDIC-04"/>
      <sheetName val="Importing"/>
    </sheetNames>
    <definedNames>
      <definedName name="Y_indicate"/>
      <definedName name="ボタン12_Click"/>
      <definedName name="ボタン13_Click"/>
      <definedName name="一覧ダイ初期化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74.xml><?xml version="1.0" encoding="utf-8"?>
<externalLink xmlns="http://schemas.openxmlformats.org/spreadsheetml/2006/main">
  <externalBook xmlns:r="http://schemas.openxmlformats.org/officeDocument/2006/relationships" r:id="rId1">
    <sheetNames>
      <sheetName val="Cost comparison sheet"/>
      <sheetName val="Unit price breakdown"/>
      <sheetName val="Checklist"/>
      <sheetName val="OUVC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75.xml><?xml version="1.0" encoding="utf-8"?>
<externalLink xmlns="http://schemas.openxmlformats.org/spreadsheetml/2006/main">
  <externalBook xmlns:r="http://schemas.openxmlformats.org/officeDocument/2006/relationships" r:id="rId1">
    <sheetNames>
      <sheetName val="RTE05"/>
      <sheetName val="OD-EC"/>
      <sheetName val="Feuil1"/>
      <sheetName val="OD-COUNTRY"/>
      <sheetName val="OUVC"/>
      <sheetName val="EDC-DAS"/>
      <sheetName val="Cost comparison sheet"/>
      <sheetName val="Unit price breakdown"/>
      <sheetName val="Résumé Dilution St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76.xml><?xml version="1.0" encoding="utf-8"?>
<externalLink xmlns="http://schemas.openxmlformats.org/spreadsheetml/2006/main">
  <externalBook xmlns:r="http://schemas.openxmlformats.org/officeDocument/2006/relationships" r:id="rId1">
    <sheetNames>
      <sheetName val="表紙"/>
      <sheetName val="目次"/>
      <sheetName val="フロー"/>
      <sheetName val="諸元目安"/>
      <sheetName val="受領資料"/>
      <sheetName val="ＷＫ資料整理"/>
      <sheetName val="１アガリクス事業部日別分析"/>
      <sheetName val="２その他事業部週単位"/>
      <sheetName val="３事業部別まとめ"/>
      <sheetName val="５物量設定ＷＫ"/>
      <sheetName val="６物流設定"/>
      <sheetName val="４ピッキング作業"/>
      <sheetName val="RTE05"/>
      <sheetName val="#REF"/>
      <sheetName val="OUVC"/>
      <sheetName val="CMA"/>
      <sheetName val="EDC-DAS"/>
      <sheetName val="Param"/>
      <sheetName val="CME_20050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7.xml><?xml version="1.0" encoding="utf-8"?>
<externalLink xmlns="http://schemas.openxmlformats.org/spreadsheetml/2006/main">
  <externalBook xmlns:r="http://schemas.openxmlformats.org/officeDocument/2006/relationships" r:id="rId1">
    <sheetNames>
      <sheetName val="Result-查询"/>
    </sheetNames>
    <sheetDataSet>
      <sheetData sheetId="0" refreshError="1"/>
    </sheetDataSet>
  </externalBook>
</externalLink>
</file>

<file path=xl/externalLinks/externalLink178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Data Base"/>
      <sheetName val="Temp-date"/>
      <sheetName val="Temp-产品系列"/>
      <sheetName val="Temp-工序"/>
      <sheetName val="Temp-班次"/>
      <sheetName val="Result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>
        <row r="20">
          <cell r="A20" t="str">
            <v>DT</v>
          </cell>
          <cell r="B20" t="str">
            <v>效率损失</v>
          </cell>
          <cell r="C20" t="str">
            <v>过程损失</v>
          </cell>
          <cell r="D20" t="str">
            <v>质量</v>
          </cell>
          <cell r="E20" t="str">
            <v>不确定因素</v>
          </cell>
          <cell r="F20" t="str">
            <v>OT</v>
          </cell>
          <cell r="G20" t="str">
            <v>支持时间</v>
          </cell>
          <cell r="H20" t="str">
            <v>TS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P1"/>
  <sheetViews>
    <sheetView workbookViewId="0">
      <selection activeCell="A2" sqref="A2:DT5815"/>
    </sheetView>
  </sheetViews>
  <sheetFormatPr defaultRowHeight="15"/>
  <sheetData>
    <row r="1" spans="1:120">
      <c r="A1" t="s">
        <v>112</v>
      </c>
      <c r="B1" t="s">
        <v>114</v>
      </c>
      <c r="C1" t="s">
        <v>113</v>
      </c>
      <c r="D1" t="s">
        <v>115</v>
      </c>
      <c r="E1" t="s">
        <v>116</v>
      </c>
      <c r="F1" t="s">
        <v>1</v>
      </c>
      <c r="G1" t="s">
        <v>117</v>
      </c>
      <c r="H1" t="s">
        <v>2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131</v>
      </c>
      <c r="CD1" t="s">
        <v>132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133</v>
      </c>
      <c r="CR1" t="s">
        <v>134</v>
      </c>
      <c r="CS1" t="s">
        <v>74</v>
      </c>
      <c r="CT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  <c r="DB1" t="s">
        <v>142</v>
      </c>
      <c r="DC1" t="s">
        <v>75</v>
      </c>
      <c r="DD1" t="s">
        <v>76</v>
      </c>
      <c r="DG1" t="s">
        <v>136</v>
      </c>
      <c r="DH1" t="s">
        <v>137</v>
      </c>
      <c r="DI1" t="s">
        <v>138</v>
      </c>
      <c r="DJ1" t="s">
        <v>139</v>
      </c>
      <c r="DK1" t="s">
        <v>140</v>
      </c>
      <c r="DL1" t="s">
        <v>141</v>
      </c>
      <c r="DM1" t="s">
        <v>142</v>
      </c>
      <c r="DN1" t="s">
        <v>75</v>
      </c>
      <c r="DO1" t="s">
        <v>76</v>
      </c>
      <c r="DP1" t="s">
        <v>77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T13"/>
  <sheetViews>
    <sheetView workbookViewId="0">
      <selection activeCell="AP25" sqref="AP25"/>
    </sheetView>
  </sheetViews>
  <sheetFormatPr defaultRowHeight="15"/>
  <cols>
    <col min="1" max="1" width="15.7109375" customWidth="1"/>
    <col min="2" max="2" width="21.42578125" customWidth="1"/>
  </cols>
  <sheetData>
    <row r="1" spans="1:124" s="46" customFormat="1" ht="13.5" customHeight="1">
      <c r="A1" s="2" t="s">
        <v>78</v>
      </c>
      <c r="B1" s="3" t="s">
        <v>79</v>
      </c>
      <c r="C1" s="4" t="s">
        <v>80</v>
      </c>
      <c r="D1" s="5" t="s">
        <v>81</v>
      </c>
      <c r="E1" s="5" t="s">
        <v>82</v>
      </c>
      <c r="F1" s="6" t="s">
        <v>1</v>
      </c>
      <c r="G1" s="5" t="s">
        <v>83</v>
      </c>
      <c r="H1" s="7" t="s">
        <v>2</v>
      </c>
      <c r="I1" s="5" t="s">
        <v>84</v>
      </c>
      <c r="J1" s="8" t="s">
        <v>85</v>
      </c>
      <c r="K1" s="9" t="s">
        <v>86</v>
      </c>
      <c r="L1" s="10" t="s">
        <v>87</v>
      </c>
      <c r="M1" s="11" t="s">
        <v>88</v>
      </c>
      <c r="N1" s="11" t="s">
        <v>89</v>
      </c>
      <c r="O1" s="11" t="s">
        <v>90</v>
      </c>
      <c r="P1" s="12" t="s">
        <v>91</v>
      </c>
      <c r="Q1" s="13" t="s">
        <v>92</v>
      </c>
      <c r="R1" s="14" t="s">
        <v>93</v>
      </c>
      <c r="S1" s="14" t="s">
        <v>94</v>
      </c>
      <c r="T1" s="15" t="s">
        <v>95</v>
      </c>
      <c r="U1" s="16" t="s">
        <v>96</v>
      </c>
      <c r="V1" s="17" t="s">
        <v>3</v>
      </c>
      <c r="W1" s="18" t="s">
        <v>4</v>
      </c>
      <c r="X1" s="19" t="s">
        <v>5</v>
      </c>
      <c r="Y1" s="19" t="s">
        <v>6</v>
      </c>
      <c r="Z1" s="19" t="s">
        <v>7</v>
      </c>
      <c r="AA1" s="19" t="s">
        <v>8</v>
      </c>
      <c r="AB1" s="19" t="s">
        <v>9</v>
      </c>
      <c r="AC1" s="19" t="s">
        <v>10</v>
      </c>
      <c r="AD1" s="19" t="s">
        <v>11</v>
      </c>
      <c r="AE1" s="19" t="s">
        <v>12</v>
      </c>
      <c r="AF1" s="20" t="s">
        <v>13</v>
      </c>
      <c r="AG1" s="21" t="s">
        <v>14</v>
      </c>
      <c r="AH1" s="22" t="s">
        <v>15</v>
      </c>
      <c r="AI1" s="23" t="s">
        <v>16</v>
      </c>
      <c r="AJ1" s="24" t="s">
        <v>17</v>
      </c>
      <c r="AK1" s="23" t="s">
        <v>18</v>
      </c>
      <c r="AL1" s="24" t="s">
        <v>19</v>
      </c>
      <c r="AM1" s="24" t="s">
        <v>20</v>
      </c>
      <c r="AN1" s="25" t="s">
        <v>21</v>
      </c>
      <c r="AO1" s="21" t="s">
        <v>22</v>
      </c>
      <c r="AP1" s="26" t="s">
        <v>23</v>
      </c>
      <c r="AQ1" s="27" t="s">
        <v>24</v>
      </c>
      <c r="AR1" s="28" t="s">
        <v>25</v>
      </c>
      <c r="AS1" s="28" t="s">
        <v>26</v>
      </c>
      <c r="AT1" s="28" t="s">
        <v>27</v>
      </c>
      <c r="AU1" s="28" t="s">
        <v>28</v>
      </c>
      <c r="AV1" s="28" t="s">
        <v>29</v>
      </c>
      <c r="AW1" s="28" t="s">
        <v>30</v>
      </c>
      <c r="AX1" s="29" t="s">
        <v>31</v>
      </c>
      <c r="AY1" s="30" t="s">
        <v>32</v>
      </c>
      <c r="AZ1" s="31" t="s">
        <v>33</v>
      </c>
      <c r="BA1" s="24" t="s">
        <v>34</v>
      </c>
      <c r="BB1" s="24" t="s">
        <v>35</v>
      </c>
      <c r="BC1" s="24" t="s">
        <v>36</v>
      </c>
      <c r="BD1" s="24" t="s">
        <v>37</v>
      </c>
      <c r="BE1" s="24" t="s">
        <v>38</v>
      </c>
      <c r="BF1" s="24" t="s">
        <v>39</v>
      </c>
      <c r="BG1" s="24" t="s">
        <v>40</v>
      </c>
      <c r="BH1" s="24" t="s">
        <v>41</v>
      </c>
      <c r="BI1" s="24" t="s">
        <v>42</v>
      </c>
      <c r="BJ1" s="24" t="s">
        <v>43</v>
      </c>
      <c r="BK1" s="24" t="s">
        <v>44</v>
      </c>
      <c r="BL1" s="24" t="s">
        <v>45</v>
      </c>
      <c r="BM1" s="24" t="s">
        <v>46</v>
      </c>
      <c r="BN1" s="24" t="s">
        <v>47</v>
      </c>
      <c r="BO1" s="25" t="s">
        <v>48</v>
      </c>
      <c r="BP1" s="30" t="s">
        <v>49</v>
      </c>
      <c r="BQ1" s="32" t="s">
        <v>50</v>
      </c>
      <c r="BR1" s="28" t="s">
        <v>51</v>
      </c>
      <c r="BS1" s="28" t="s">
        <v>52</v>
      </c>
      <c r="BT1" s="28" t="s">
        <v>53</v>
      </c>
      <c r="BU1" s="28" t="s">
        <v>54</v>
      </c>
      <c r="BV1" s="33" t="s">
        <v>55</v>
      </c>
      <c r="BW1" s="28" t="s">
        <v>56</v>
      </c>
      <c r="BX1" s="28" t="s">
        <v>57</v>
      </c>
      <c r="BY1" s="28" t="s">
        <v>58</v>
      </c>
      <c r="BZ1" s="28" t="s">
        <v>59</v>
      </c>
      <c r="CA1" s="28" t="s">
        <v>60</v>
      </c>
      <c r="CB1" s="28" t="s">
        <v>61</v>
      </c>
      <c r="CC1" s="28" t="s">
        <v>97</v>
      </c>
      <c r="CD1" s="28" t="s">
        <v>98</v>
      </c>
      <c r="CE1" s="28" t="s">
        <v>62</v>
      </c>
      <c r="CF1" s="28" t="s">
        <v>63</v>
      </c>
      <c r="CG1" s="28" t="s">
        <v>64</v>
      </c>
      <c r="CH1" s="28" t="s">
        <v>65</v>
      </c>
      <c r="CI1" s="28" t="s">
        <v>66</v>
      </c>
      <c r="CJ1" s="29" t="s">
        <v>67</v>
      </c>
      <c r="CK1" s="21" t="s">
        <v>68</v>
      </c>
      <c r="CL1" s="34" t="s">
        <v>69</v>
      </c>
      <c r="CM1" s="35" t="s">
        <v>70</v>
      </c>
      <c r="CN1" s="35" t="s">
        <v>71</v>
      </c>
      <c r="CO1" s="35" t="s">
        <v>72</v>
      </c>
      <c r="CP1" s="36" t="s">
        <v>73</v>
      </c>
      <c r="CQ1" s="37" t="s">
        <v>99</v>
      </c>
      <c r="CR1" s="4" t="s">
        <v>100</v>
      </c>
      <c r="CS1" s="38" t="s">
        <v>74</v>
      </c>
      <c r="CT1" s="39" t="s">
        <v>101</v>
      </c>
      <c r="CU1" s="40"/>
      <c r="CV1" s="41" t="s">
        <v>102</v>
      </c>
      <c r="CW1" s="42" t="s">
        <v>103</v>
      </c>
      <c r="CX1" s="42" t="s">
        <v>104</v>
      </c>
      <c r="CY1" s="42" t="s">
        <v>105</v>
      </c>
      <c r="CZ1" s="42" t="s">
        <v>106</v>
      </c>
      <c r="DA1" s="42" t="s">
        <v>107</v>
      </c>
      <c r="DB1" s="42" t="s">
        <v>108</v>
      </c>
      <c r="DC1" s="42" t="s">
        <v>75</v>
      </c>
      <c r="DD1" s="42" t="s">
        <v>76</v>
      </c>
      <c r="DE1" s="1"/>
      <c r="DF1" s="1"/>
      <c r="DG1" s="43" t="s">
        <v>102</v>
      </c>
      <c r="DH1" s="44" t="s">
        <v>103</v>
      </c>
      <c r="DI1" s="44" t="s">
        <v>104</v>
      </c>
      <c r="DJ1" s="44" t="s">
        <v>105</v>
      </c>
      <c r="DK1" s="44" t="s">
        <v>106</v>
      </c>
      <c r="DL1" s="44" t="s">
        <v>107</v>
      </c>
      <c r="DM1" s="44" t="s">
        <v>108</v>
      </c>
      <c r="DN1" s="44" t="s">
        <v>75</v>
      </c>
      <c r="DO1" s="44" t="s">
        <v>76</v>
      </c>
      <c r="DP1" s="45" t="s">
        <v>77</v>
      </c>
      <c r="DQ1" s="1"/>
      <c r="DR1" s="1"/>
      <c r="DS1" s="1"/>
      <c r="DT1" s="1"/>
    </row>
    <row r="2" spans="1:124">
      <c r="A2" t="s">
        <v>0</v>
      </c>
      <c r="B2" s="112" t="s">
        <v>231</v>
      </c>
    </row>
    <row r="3" spans="1:124">
      <c r="B3" s="112" t="s">
        <v>232</v>
      </c>
    </row>
    <row r="4" spans="1:124">
      <c r="B4" s="112" t="s">
        <v>233</v>
      </c>
    </row>
    <row r="5" spans="1:124">
      <c r="B5" s="112" t="s">
        <v>234</v>
      </c>
    </row>
    <row r="6" spans="1:124">
      <c r="B6" s="112" t="s">
        <v>235</v>
      </c>
    </row>
    <row r="7" spans="1:124">
      <c r="B7" s="112" t="s">
        <v>236</v>
      </c>
    </row>
    <row r="8" spans="1:124">
      <c r="B8" s="112" t="s">
        <v>237</v>
      </c>
    </row>
    <row r="9" spans="1:124">
      <c r="B9" s="112" t="s">
        <v>238</v>
      </c>
    </row>
    <row r="10" spans="1:124">
      <c r="B10" s="112" t="s">
        <v>239</v>
      </c>
    </row>
    <row r="11" spans="1:124">
      <c r="B11" s="112" t="s">
        <v>240</v>
      </c>
    </row>
    <row r="12" spans="1:124">
      <c r="B12" s="112" t="s">
        <v>241</v>
      </c>
    </row>
    <row r="13" spans="1:124">
      <c r="B13" t="s">
        <v>214</v>
      </c>
    </row>
  </sheetData>
  <phoneticPr fontId="22" type="noConversion"/>
  <conditionalFormatting sqref="T1:V1">
    <cfRule type="cellIs" dxfId="0" priority="1" stopIfTrue="1" operator="equal">
      <formula>0</formula>
    </cfRule>
  </conditionalFormatting>
  <dataValidations count="1">
    <dataValidation allowBlank="1" showErrorMessage="1" sqref="K1:L1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P1"/>
  <sheetViews>
    <sheetView workbookViewId="0">
      <selection sqref="A1:XFD1048576"/>
    </sheetView>
  </sheetViews>
  <sheetFormatPr defaultRowHeight="15"/>
  <sheetData>
    <row r="1" spans="1:120">
      <c r="A1" t="s">
        <v>112</v>
      </c>
      <c r="B1" t="s">
        <v>114</v>
      </c>
      <c r="C1" t="s">
        <v>113</v>
      </c>
      <c r="D1" t="s">
        <v>115</v>
      </c>
      <c r="E1" t="s">
        <v>116</v>
      </c>
      <c r="F1" t="s">
        <v>1</v>
      </c>
      <c r="G1" t="s">
        <v>117</v>
      </c>
      <c r="H1" t="s">
        <v>2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131</v>
      </c>
      <c r="CD1" t="s">
        <v>132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133</v>
      </c>
      <c r="CR1" t="s">
        <v>134</v>
      </c>
      <c r="CS1" t="s">
        <v>74</v>
      </c>
      <c r="CT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  <c r="DB1" t="s">
        <v>142</v>
      </c>
      <c r="DC1" t="s">
        <v>75</v>
      </c>
      <c r="DD1" t="s">
        <v>76</v>
      </c>
      <c r="DG1" t="s">
        <v>136</v>
      </c>
      <c r="DH1" t="s">
        <v>137</v>
      </c>
      <c r="DI1" t="s">
        <v>138</v>
      </c>
      <c r="DJ1" t="s">
        <v>139</v>
      </c>
      <c r="DK1" t="s">
        <v>140</v>
      </c>
      <c r="DL1" t="s">
        <v>141</v>
      </c>
      <c r="DM1" t="s">
        <v>142</v>
      </c>
      <c r="DN1" t="s">
        <v>75</v>
      </c>
      <c r="DO1" t="s">
        <v>76</v>
      </c>
      <c r="DP1" t="s">
        <v>77</v>
      </c>
    </row>
  </sheetData>
  <phoneticPr fontId="2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DP1"/>
  <sheetViews>
    <sheetView workbookViewId="0">
      <selection sqref="A1:XFD1048576"/>
    </sheetView>
  </sheetViews>
  <sheetFormatPr defaultRowHeight="15"/>
  <sheetData>
    <row r="1" spans="1:120">
      <c r="A1" t="s">
        <v>112</v>
      </c>
      <c r="B1" t="s">
        <v>114</v>
      </c>
      <c r="C1" t="s">
        <v>113</v>
      </c>
      <c r="D1" t="s">
        <v>115</v>
      </c>
      <c r="E1" t="s">
        <v>116</v>
      </c>
      <c r="F1" t="s">
        <v>1</v>
      </c>
      <c r="G1" t="s">
        <v>117</v>
      </c>
      <c r="H1" t="s">
        <v>2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131</v>
      </c>
      <c r="CD1" t="s">
        <v>132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133</v>
      </c>
      <c r="CR1" t="s">
        <v>134</v>
      </c>
      <c r="CS1" t="s">
        <v>74</v>
      </c>
      <c r="CT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  <c r="DB1" t="s">
        <v>142</v>
      </c>
      <c r="DC1" t="s">
        <v>75</v>
      </c>
      <c r="DD1" t="s">
        <v>76</v>
      </c>
      <c r="DG1" t="s">
        <v>136</v>
      </c>
      <c r="DH1" t="s">
        <v>137</v>
      </c>
      <c r="DI1" t="s">
        <v>138</v>
      </c>
      <c r="DJ1" t="s">
        <v>139</v>
      </c>
      <c r="DK1" t="s">
        <v>140</v>
      </c>
      <c r="DL1" t="s">
        <v>141</v>
      </c>
      <c r="DM1" t="s">
        <v>142</v>
      </c>
      <c r="DN1" t="s">
        <v>75</v>
      </c>
      <c r="DO1" t="s">
        <v>76</v>
      </c>
      <c r="DP1" t="s">
        <v>77</v>
      </c>
    </row>
  </sheetData>
  <phoneticPr fontId="2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DP1"/>
  <sheetViews>
    <sheetView workbookViewId="0">
      <selection sqref="A1:XFD1048576"/>
    </sheetView>
  </sheetViews>
  <sheetFormatPr defaultRowHeight="15"/>
  <sheetData>
    <row r="1" spans="1:120">
      <c r="A1" t="s">
        <v>112</v>
      </c>
      <c r="B1" t="s">
        <v>114</v>
      </c>
      <c r="C1" t="s">
        <v>113</v>
      </c>
      <c r="D1" t="s">
        <v>115</v>
      </c>
      <c r="E1" t="s">
        <v>116</v>
      </c>
      <c r="F1" t="s">
        <v>1</v>
      </c>
      <c r="G1" t="s">
        <v>117</v>
      </c>
      <c r="H1" t="s">
        <v>2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  <c r="S1" t="s">
        <v>128</v>
      </c>
      <c r="T1" t="s">
        <v>129</v>
      </c>
      <c r="U1" t="s">
        <v>130</v>
      </c>
      <c r="V1" t="s">
        <v>3</v>
      </c>
      <c r="W1" t="s">
        <v>4</v>
      </c>
      <c r="X1" t="s">
        <v>5</v>
      </c>
      <c r="Y1" t="s">
        <v>6</v>
      </c>
      <c r="Z1" t="s">
        <v>7</v>
      </c>
      <c r="AA1" t="s">
        <v>8</v>
      </c>
      <c r="AB1" t="s">
        <v>9</v>
      </c>
      <c r="AC1" t="s">
        <v>10</v>
      </c>
      <c r="AD1" t="s">
        <v>11</v>
      </c>
      <c r="AE1" t="s">
        <v>12</v>
      </c>
      <c r="AF1" t="s">
        <v>13</v>
      </c>
      <c r="AG1" t="s">
        <v>14</v>
      </c>
      <c r="AH1" t="s">
        <v>15</v>
      </c>
      <c r="AI1" t="s">
        <v>16</v>
      </c>
      <c r="AJ1" t="s">
        <v>17</v>
      </c>
      <c r="AK1" t="s">
        <v>18</v>
      </c>
      <c r="AL1" t="s">
        <v>19</v>
      </c>
      <c r="AM1" t="s">
        <v>20</v>
      </c>
      <c r="AN1" t="s">
        <v>21</v>
      </c>
      <c r="AO1" t="s">
        <v>22</v>
      </c>
      <c r="AP1" t="s">
        <v>23</v>
      </c>
      <c r="AQ1" t="s">
        <v>24</v>
      </c>
      <c r="AR1" t="s">
        <v>25</v>
      </c>
      <c r="AS1" t="s">
        <v>26</v>
      </c>
      <c r="AT1" t="s">
        <v>27</v>
      </c>
      <c r="AU1" t="s">
        <v>28</v>
      </c>
      <c r="AV1" t="s">
        <v>29</v>
      </c>
      <c r="AW1" t="s">
        <v>30</v>
      </c>
      <c r="AX1" t="s">
        <v>31</v>
      </c>
      <c r="AY1" t="s">
        <v>32</v>
      </c>
      <c r="AZ1" t="s">
        <v>33</v>
      </c>
      <c r="BA1" t="s">
        <v>34</v>
      </c>
      <c r="BB1" t="s">
        <v>35</v>
      </c>
      <c r="BC1" t="s">
        <v>36</v>
      </c>
      <c r="BD1" t="s">
        <v>37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47</v>
      </c>
      <c r="BO1" t="s">
        <v>48</v>
      </c>
      <c r="BP1" t="s">
        <v>49</v>
      </c>
      <c r="BQ1" t="s">
        <v>50</v>
      </c>
      <c r="BR1" t="s">
        <v>51</v>
      </c>
      <c r="BS1" t="s">
        <v>52</v>
      </c>
      <c r="BT1" t="s">
        <v>53</v>
      </c>
      <c r="BU1" t="s">
        <v>54</v>
      </c>
      <c r="BV1" t="s">
        <v>55</v>
      </c>
      <c r="BW1" t="s">
        <v>56</v>
      </c>
      <c r="BX1" t="s">
        <v>57</v>
      </c>
      <c r="BY1" t="s">
        <v>58</v>
      </c>
      <c r="BZ1" t="s">
        <v>59</v>
      </c>
      <c r="CA1" t="s">
        <v>60</v>
      </c>
      <c r="CB1" t="s">
        <v>61</v>
      </c>
      <c r="CC1" t="s">
        <v>131</v>
      </c>
      <c r="CD1" t="s">
        <v>132</v>
      </c>
      <c r="CE1" t="s">
        <v>62</v>
      </c>
      <c r="CF1" t="s">
        <v>63</v>
      </c>
      <c r="CG1" t="s">
        <v>64</v>
      </c>
      <c r="CH1" t="s">
        <v>65</v>
      </c>
      <c r="CI1" t="s">
        <v>66</v>
      </c>
      <c r="CJ1" t="s">
        <v>67</v>
      </c>
      <c r="CK1" t="s">
        <v>68</v>
      </c>
      <c r="CL1" t="s">
        <v>69</v>
      </c>
      <c r="CM1" t="s">
        <v>70</v>
      </c>
      <c r="CN1" t="s">
        <v>71</v>
      </c>
      <c r="CO1" t="s">
        <v>72</v>
      </c>
      <c r="CP1" t="s">
        <v>73</v>
      </c>
      <c r="CQ1" t="s">
        <v>133</v>
      </c>
      <c r="CR1" t="s">
        <v>134</v>
      </c>
      <c r="CS1" t="s">
        <v>74</v>
      </c>
      <c r="CT1" t="s">
        <v>135</v>
      </c>
      <c r="CV1" t="s">
        <v>136</v>
      </c>
      <c r="CW1" t="s">
        <v>137</v>
      </c>
      <c r="CX1" t="s">
        <v>138</v>
      </c>
      <c r="CY1" t="s">
        <v>139</v>
      </c>
      <c r="CZ1" t="s">
        <v>140</v>
      </c>
      <c r="DA1" t="s">
        <v>141</v>
      </c>
      <c r="DB1" t="s">
        <v>142</v>
      </c>
      <c r="DC1" t="s">
        <v>75</v>
      </c>
      <c r="DD1" t="s">
        <v>76</v>
      </c>
      <c r="DG1" t="s">
        <v>136</v>
      </c>
      <c r="DH1" t="s">
        <v>137</v>
      </c>
      <c r="DI1" t="s">
        <v>138</v>
      </c>
      <c r="DJ1" t="s">
        <v>139</v>
      </c>
      <c r="DK1" t="s">
        <v>140</v>
      </c>
      <c r="DL1" t="s">
        <v>141</v>
      </c>
      <c r="DM1" t="s">
        <v>142</v>
      </c>
      <c r="DN1" t="s">
        <v>75</v>
      </c>
      <c r="DO1" t="s">
        <v>76</v>
      </c>
      <c r="DP1" t="s">
        <v>77</v>
      </c>
    </row>
  </sheetData>
  <phoneticPr fontId="2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DP1"/>
  <sheetViews>
    <sheetView workbookViewId="0">
      <selection sqref="A1:XFD1048576"/>
    </sheetView>
  </sheetViews>
  <sheetFormatPr defaultColWidth="9.140625" defaultRowHeight="15"/>
  <cols>
    <col min="1" max="16384" width="9.140625" style="1"/>
  </cols>
  <sheetData>
    <row r="1" spans="1:120">
      <c r="A1" s="1" t="s">
        <v>112</v>
      </c>
      <c r="B1" s="1" t="s">
        <v>114</v>
      </c>
      <c r="C1" s="1" t="s">
        <v>113</v>
      </c>
      <c r="D1" s="1" t="s">
        <v>115</v>
      </c>
      <c r="E1" s="1" t="s">
        <v>116</v>
      </c>
      <c r="F1" s="1" t="s">
        <v>1</v>
      </c>
      <c r="G1" s="1" t="s">
        <v>117</v>
      </c>
      <c r="H1" s="1" t="s">
        <v>2</v>
      </c>
      <c r="I1" s="1" t="s">
        <v>118</v>
      </c>
      <c r="J1" s="1" t="s">
        <v>119</v>
      </c>
      <c r="K1" s="1" t="s">
        <v>120</v>
      </c>
      <c r="L1" s="1" t="s">
        <v>121</v>
      </c>
      <c r="M1" s="1" t="s">
        <v>122</v>
      </c>
      <c r="N1" s="1" t="s">
        <v>123</v>
      </c>
      <c r="O1" s="1" t="s">
        <v>124</v>
      </c>
      <c r="P1" s="1" t="s">
        <v>125</v>
      </c>
      <c r="Q1" s="1" t="s">
        <v>126</v>
      </c>
      <c r="R1" s="1" t="s">
        <v>127</v>
      </c>
      <c r="S1" s="1" t="s">
        <v>128</v>
      </c>
      <c r="T1" s="1" t="s">
        <v>129</v>
      </c>
      <c r="U1" s="1" t="s">
        <v>130</v>
      </c>
      <c r="V1" s="1" t="s">
        <v>3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1" t="s">
        <v>9</v>
      </c>
      <c r="AC1" s="1" t="s">
        <v>10</v>
      </c>
      <c r="AD1" s="1" t="s">
        <v>11</v>
      </c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N1" s="1" t="s">
        <v>21</v>
      </c>
      <c r="AO1" s="1" t="s">
        <v>22</v>
      </c>
      <c r="AP1" s="1" t="s">
        <v>23</v>
      </c>
      <c r="AQ1" s="1" t="s">
        <v>24</v>
      </c>
      <c r="AR1" s="1" t="s">
        <v>25</v>
      </c>
      <c r="AS1" s="1" t="s">
        <v>26</v>
      </c>
      <c r="AT1" s="1" t="s">
        <v>27</v>
      </c>
      <c r="AU1" s="1" t="s">
        <v>28</v>
      </c>
      <c r="AV1" s="1" t="s">
        <v>29</v>
      </c>
      <c r="AW1" s="1" t="s">
        <v>30</v>
      </c>
      <c r="AX1" s="1" t="s">
        <v>31</v>
      </c>
      <c r="AY1" s="1" t="s">
        <v>32</v>
      </c>
      <c r="AZ1" s="1" t="s">
        <v>33</v>
      </c>
      <c r="BA1" s="1" t="s">
        <v>34</v>
      </c>
      <c r="BB1" s="1" t="s">
        <v>35</v>
      </c>
      <c r="BC1" s="1" t="s">
        <v>36</v>
      </c>
      <c r="BD1" s="1" t="s">
        <v>37</v>
      </c>
      <c r="BE1" s="1" t="s">
        <v>38</v>
      </c>
      <c r="BF1" s="1" t="s">
        <v>39</v>
      </c>
      <c r="BG1" s="1" t="s">
        <v>40</v>
      </c>
      <c r="BH1" s="1" t="s">
        <v>41</v>
      </c>
      <c r="BI1" s="1" t="s">
        <v>42</v>
      </c>
      <c r="BJ1" s="1" t="s">
        <v>43</v>
      </c>
      <c r="BK1" s="1" t="s">
        <v>44</v>
      </c>
      <c r="BL1" s="1" t="s">
        <v>45</v>
      </c>
      <c r="BM1" s="1" t="s">
        <v>46</v>
      </c>
      <c r="BN1" s="1" t="s">
        <v>47</v>
      </c>
      <c r="BO1" s="1" t="s">
        <v>48</v>
      </c>
      <c r="BP1" s="1" t="s">
        <v>49</v>
      </c>
      <c r="BQ1" s="1" t="s">
        <v>50</v>
      </c>
      <c r="BR1" s="1" t="s">
        <v>51</v>
      </c>
      <c r="BS1" s="1" t="s">
        <v>52</v>
      </c>
      <c r="BT1" s="1" t="s">
        <v>53</v>
      </c>
      <c r="BU1" s="1" t="s">
        <v>54</v>
      </c>
      <c r="BV1" s="1" t="s">
        <v>55</v>
      </c>
      <c r="BW1" s="1" t="s">
        <v>56</v>
      </c>
      <c r="BX1" s="1" t="s">
        <v>57</v>
      </c>
      <c r="BY1" s="1" t="s">
        <v>58</v>
      </c>
      <c r="BZ1" s="1" t="s">
        <v>59</v>
      </c>
      <c r="CA1" s="1" t="s">
        <v>60</v>
      </c>
      <c r="CB1" s="1" t="s">
        <v>61</v>
      </c>
      <c r="CC1" s="1" t="s">
        <v>131</v>
      </c>
      <c r="CD1" s="1" t="s">
        <v>132</v>
      </c>
      <c r="CE1" s="1" t="s">
        <v>62</v>
      </c>
      <c r="CF1" s="1" t="s">
        <v>63</v>
      </c>
      <c r="CG1" s="1" t="s">
        <v>64</v>
      </c>
      <c r="CH1" s="1" t="s">
        <v>65</v>
      </c>
      <c r="CI1" s="1" t="s">
        <v>66</v>
      </c>
      <c r="CJ1" s="1" t="s">
        <v>67</v>
      </c>
      <c r="CK1" s="1" t="s">
        <v>68</v>
      </c>
      <c r="CL1" s="1" t="s">
        <v>69</v>
      </c>
      <c r="CM1" s="1" t="s">
        <v>70</v>
      </c>
      <c r="CN1" s="1" t="s">
        <v>71</v>
      </c>
      <c r="CO1" s="1" t="s">
        <v>72</v>
      </c>
      <c r="CP1" s="1" t="s">
        <v>73</v>
      </c>
      <c r="CQ1" s="1" t="s">
        <v>133</v>
      </c>
      <c r="CR1" s="1" t="s">
        <v>134</v>
      </c>
      <c r="CS1" s="1" t="s">
        <v>74</v>
      </c>
      <c r="CT1" s="1" t="s">
        <v>135</v>
      </c>
      <c r="CV1" s="1" t="s">
        <v>136</v>
      </c>
      <c r="CW1" s="1" t="s">
        <v>137</v>
      </c>
      <c r="CX1" s="1" t="s">
        <v>138</v>
      </c>
      <c r="CY1" s="1" t="s">
        <v>139</v>
      </c>
      <c r="CZ1" s="1" t="s">
        <v>140</v>
      </c>
      <c r="DA1" s="1" t="s">
        <v>141</v>
      </c>
      <c r="DB1" s="1" t="s">
        <v>142</v>
      </c>
      <c r="DC1" s="1" t="s">
        <v>75</v>
      </c>
      <c r="DD1" s="1" t="s">
        <v>76</v>
      </c>
      <c r="DG1" s="1" t="s">
        <v>136</v>
      </c>
      <c r="DH1" s="1" t="s">
        <v>137</v>
      </c>
      <c r="DI1" s="1" t="s">
        <v>138</v>
      </c>
      <c r="DJ1" s="1" t="s">
        <v>139</v>
      </c>
      <c r="DK1" s="1" t="s">
        <v>140</v>
      </c>
      <c r="DL1" s="1" t="s">
        <v>141</v>
      </c>
      <c r="DM1" s="1" t="s">
        <v>142</v>
      </c>
      <c r="DN1" s="1" t="s">
        <v>75</v>
      </c>
      <c r="DO1" s="1" t="s">
        <v>76</v>
      </c>
      <c r="DP1" s="1" t="s">
        <v>77</v>
      </c>
    </row>
  </sheetData>
  <phoneticPr fontId="2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B1:E3"/>
  <sheetViews>
    <sheetView workbookViewId="0">
      <selection activeCell="A4" sqref="A4:DT8000"/>
    </sheetView>
  </sheetViews>
  <sheetFormatPr defaultRowHeight="15"/>
  <cols>
    <col min="1" max="1" width="14" customWidth="1"/>
    <col min="5" max="5" width="16.85546875" customWidth="1"/>
  </cols>
  <sheetData>
    <row r="1" spans="2:5" ht="54" customHeight="1">
      <c r="E1" s="123" t="s">
        <v>255</v>
      </c>
    </row>
    <row r="2" spans="2:5" ht="33.75">
      <c r="E2" s="123" t="s">
        <v>254</v>
      </c>
    </row>
    <row r="3" spans="2:5">
      <c r="B3" s="1"/>
      <c r="C3" s="1"/>
      <c r="D3" s="1"/>
    </row>
  </sheetData>
  <phoneticPr fontId="22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V28"/>
  <sheetViews>
    <sheetView workbookViewId="0">
      <selection activeCell="Q25" sqref="Q25"/>
    </sheetView>
  </sheetViews>
  <sheetFormatPr defaultColWidth="9.140625" defaultRowHeight="15"/>
  <cols>
    <col min="1" max="2" width="9.140625" style="76"/>
    <col min="3" max="22" width="9.140625" style="78"/>
    <col min="23" max="16384" width="9.140625" style="47"/>
  </cols>
  <sheetData>
    <row r="1" spans="1:4">
      <c r="A1" s="76" t="s">
        <v>112</v>
      </c>
      <c r="B1" s="76" t="s">
        <v>109</v>
      </c>
      <c r="C1" s="76" t="s">
        <v>110</v>
      </c>
      <c r="D1" s="76" t="s">
        <v>111</v>
      </c>
    </row>
    <row r="2" spans="1:4">
      <c r="A2" s="76">
        <v>5</v>
      </c>
      <c r="B2" s="76">
        <v>0.5650205693597532</v>
      </c>
      <c r="C2" s="76">
        <v>0.36170974977344494</v>
      </c>
      <c r="D2" s="76">
        <v>0.75022549504836</v>
      </c>
    </row>
    <row r="3" spans="1:4">
      <c r="A3" s="76">
        <v>10</v>
      </c>
      <c r="B3" s="76">
        <v>0.59659564766461648</v>
      </c>
      <c r="C3" s="76">
        <v>0.4018844250998862</v>
      </c>
      <c r="D3" s="76">
        <v>0.78301260225142288</v>
      </c>
    </row>
    <row r="4" spans="1:4">
      <c r="A4" s="76">
        <v>3</v>
      </c>
      <c r="B4" s="76">
        <v>0.65902240670303658</v>
      </c>
      <c r="C4" s="76">
        <v>0.44839374158228029</v>
      </c>
      <c r="D4" s="76">
        <v>0.78659090260129638</v>
      </c>
    </row>
    <row r="5" spans="1:4">
      <c r="A5" s="76">
        <v>4</v>
      </c>
      <c r="B5" s="76">
        <v>0.71842611387332578</v>
      </c>
      <c r="C5" s="76">
        <v>0.48781111107520031</v>
      </c>
      <c r="D5" s="76">
        <v>0.78641084968204178</v>
      </c>
    </row>
    <row r="6" spans="1:4">
      <c r="A6" s="76">
        <v>6</v>
      </c>
      <c r="B6" s="76">
        <v>0.73730379178799665</v>
      </c>
      <c r="C6" s="76">
        <v>0.50337284465676491</v>
      </c>
      <c r="D6" s="76">
        <v>0.78818575787587519</v>
      </c>
    </row>
    <row r="7" spans="1:4">
      <c r="A7" s="76">
        <v>7</v>
      </c>
      <c r="B7" s="76">
        <v>0.7173356790759462</v>
      </c>
      <c r="C7" s="76">
        <v>0.47993370264521179</v>
      </c>
      <c r="D7" s="76">
        <v>0.77767695631048073</v>
      </c>
    </row>
    <row r="8" spans="1:4">
      <c r="A8" s="76">
        <v>8</v>
      </c>
      <c r="B8" s="76">
        <v>0.71180118685836835</v>
      </c>
      <c r="C8" s="76">
        <v>0.47905186607191852</v>
      </c>
      <c r="D8" s="76">
        <v>0.78312925012453516</v>
      </c>
    </row>
    <row r="9" spans="1:4">
      <c r="A9" s="76">
        <v>9</v>
      </c>
      <c r="B9" s="76">
        <v>0.72491491633742899</v>
      </c>
      <c r="C9" s="76">
        <v>0.49024715409798858</v>
      </c>
      <c r="D9" s="76">
        <v>0.78998702387500197</v>
      </c>
    </row>
    <row r="10" spans="1:4">
      <c r="A10" s="76">
        <v>10</v>
      </c>
      <c r="B10" s="76">
        <v>0.72187667560593649</v>
      </c>
      <c r="C10" s="76">
        <v>0.48369301341278181</v>
      </c>
      <c r="D10" s="76">
        <v>0.78380396571927491</v>
      </c>
    </row>
    <row r="11" spans="1:4">
      <c r="A11" s="76">
        <v>11</v>
      </c>
      <c r="B11" s="76">
        <v>0.73385882731817309</v>
      </c>
      <c r="C11" s="76">
        <v>0.49703734907256647</v>
      </c>
      <c r="D11" s="76">
        <v>0.78786558104765503</v>
      </c>
    </row>
    <row r="12" spans="1:4">
      <c r="A12" s="76">
        <v>12</v>
      </c>
      <c r="B12" s="76">
        <v>0.70397878452042661</v>
      </c>
      <c r="C12" s="76">
        <v>0.46648422842406451</v>
      </c>
      <c r="D12" s="76">
        <v>0.77468545271800338</v>
      </c>
    </row>
    <row r="13" spans="1:4">
      <c r="A13" s="76">
        <v>13</v>
      </c>
      <c r="B13" s="76">
        <v>0.70397878452042661</v>
      </c>
      <c r="C13" s="76">
        <v>0.46648422842406451</v>
      </c>
      <c r="D13" s="76">
        <v>0</v>
      </c>
    </row>
    <row r="14" spans="1:4">
      <c r="A14" s="76">
        <v>14</v>
      </c>
      <c r="B14" s="76">
        <v>0.72730709492280332</v>
      </c>
      <c r="C14" s="76">
        <v>0.48683243956255612</v>
      </c>
      <c r="D14" s="76">
        <v>0.78287300711290153</v>
      </c>
    </row>
    <row r="15" spans="1:4">
      <c r="A15" s="76">
        <v>15</v>
      </c>
      <c r="B15" s="76">
        <v>0.70859627076062814</v>
      </c>
      <c r="C15" s="76">
        <v>0.4709009984240542</v>
      </c>
      <c r="D15" s="76">
        <v>0.77808185445733502</v>
      </c>
    </row>
    <row r="16" spans="1:4">
      <c r="A16" s="76">
        <v>16</v>
      </c>
      <c r="B16" s="76">
        <v>0.71010985129797854</v>
      </c>
      <c r="C16" s="76">
        <v>0.45614868839253053</v>
      </c>
      <c r="D16" s="76">
        <v>0.7480027725162377</v>
      </c>
    </row>
    <row r="17" spans="1:4">
      <c r="A17" s="76">
        <v>17</v>
      </c>
      <c r="B17" s="76">
        <v>0.69163071759468941</v>
      </c>
      <c r="C17" s="76">
        <v>0.45926408401865443</v>
      </c>
      <c r="D17" s="76">
        <v>0.77452093606713379</v>
      </c>
    </row>
    <row r="18" spans="1:4">
      <c r="A18" s="76">
        <v>18</v>
      </c>
      <c r="B18" s="76">
        <v>0.70813351507341038</v>
      </c>
      <c r="C18" s="76">
        <v>0.45962947713456881</v>
      </c>
      <c r="D18" s="76">
        <v>0.76183514221664173</v>
      </c>
    </row>
    <row r="19" spans="1:4">
      <c r="A19" s="76">
        <v>19</v>
      </c>
      <c r="B19" s="76">
        <v>0.7302496113593836</v>
      </c>
      <c r="C19" s="76">
        <v>0.46881919085623625</v>
      </c>
      <c r="D19" s="76">
        <v>0.75059800634909346</v>
      </c>
    </row>
    <row r="20" spans="1:4">
      <c r="A20" s="76">
        <v>21</v>
      </c>
      <c r="B20" s="76">
        <v>0.73398426064363886</v>
      </c>
      <c r="C20" s="76">
        <v>0.47153759046845017</v>
      </c>
      <c r="D20" s="76">
        <v>0.75251718208308216</v>
      </c>
    </row>
    <row r="21" spans="1:4">
      <c r="A21" s="76">
        <v>22</v>
      </c>
      <c r="B21" s="76">
        <v>0.76354539151856526</v>
      </c>
      <c r="C21" s="76">
        <v>0.50117428997220881</v>
      </c>
      <c r="D21" s="76">
        <v>0.76509424802696369</v>
      </c>
    </row>
    <row r="22" spans="1:4">
      <c r="A22" s="76">
        <v>23</v>
      </c>
      <c r="B22" s="76">
        <v>0.73018432584730453</v>
      </c>
      <c r="C22" s="76">
        <v>0.4762677520857716</v>
      </c>
      <c r="D22" s="76">
        <v>0.76080223141587078</v>
      </c>
    </row>
    <row r="23" spans="1:4">
      <c r="A23" s="76">
        <v>24</v>
      </c>
      <c r="B23" s="76">
        <v>0.71720614087666357</v>
      </c>
      <c r="C23" s="76">
        <v>0.47899131844103854</v>
      </c>
      <c r="D23" s="76">
        <v>0.77547736771655695</v>
      </c>
    </row>
    <row r="24" spans="1:4">
      <c r="A24" s="76">
        <v>25</v>
      </c>
      <c r="B24" s="76">
        <v>0.7148251517001154</v>
      </c>
      <c r="C24" s="76">
        <v>0.47745036912074085</v>
      </c>
      <c r="D24" s="76">
        <v>0.77575104090562186</v>
      </c>
    </row>
    <row r="25" spans="1:4">
      <c r="A25" s="76">
        <v>26</v>
      </c>
      <c r="B25" s="76">
        <v>0.76692770356560003</v>
      </c>
      <c r="C25" s="76">
        <v>0.50346191261687667</v>
      </c>
      <c r="D25" s="76">
        <v>0.76414097473304576</v>
      </c>
    </row>
    <row r="26" spans="1:4">
      <c r="A26" s="76">
        <v>28</v>
      </c>
      <c r="B26" s="76">
        <v>0.72417300361277481</v>
      </c>
      <c r="C26" s="76">
        <v>0.4818976364133345</v>
      </c>
      <c r="D26" s="76">
        <v>0.77424984299362531</v>
      </c>
    </row>
    <row r="27" spans="1:4">
      <c r="A27" s="76">
        <v>29</v>
      </c>
      <c r="B27" s="76">
        <v>0.72312907591775255</v>
      </c>
      <c r="C27" s="76">
        <v>0.4841393487188434</v>
      </c>
      <c r="D27" s="76">
        <v>0.77805470763468265</v>
      </c>
    </row>
    <row r="28" spans="1:4">
      <c r="A28" s="76">
        <v>30</v>
      </c>
      <c r="B28" s="76">
        <v>0.73455418662145033</v>
      </c>
      <c r="C28" s="76">
        <v>0.47774063583580967</v>
      </c>
      <c r="D28" s="76">
        <v>0.75854293406315543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U62"/>
  <sheetViews>
    <sheetView workbookViewId="0">
      <selection activeCell="A4" sqref="A4:DT7"/>
    </sheetView>
  </sheetViews>
  <sheetFormatPr defaultRowHeight="15"/>
  <cols>
    <col min="1" max="1" width="14" customWidth="1"/>
    <col min="5" max="5" width="16.85546875" customWidth="1"/>
    <col min="12" max="12" width="10.42578125" bestFit="1" customWidth="1"/>
    <col min="13" max="13" width="13" bestFit="1" customWidth="1"/>
    <col min="14" max="14" width="18.5703125" bestFit="1" customWidth="1"/>
    <col min="15" max="15" width="31.5703125" bestFit="1" customWidth="1"/>
    <col min="16" max="16" width="22.7109375" bestFit="1" customWidth="1"/>
    <col min="17" max="17" width="8.42578125" bestFit="1" customWidth="1"/>
    <col min="18" max="18" width="8.7109375" customWidth="1"/>
    <col min="19" max="19" width="18.85546875" bestFit="1" customWidth="1"/>
    <col min="20" max="20" width="11.5703125" bestFit="1" customWidth="1"/>
    <col min="21" max="21" width="6.42578125" bestFit="1" customWidth="1"/>
  </cols>
  <sheetData>
    <row r="1" spans="2:6" ht="46.5">
      <c r="E1" s="123" t="s">
        <v>256</v>
      </c>
      <c r="F1" s="106"/>
    </row>
    <row r="2" spans="2:6" ht="33.75">
      <c r="E2" s="123" t="s">
        <v>251</v>
      </c>
    </row>
    <row r="3" spans="2:6">
      <c r="B3" s="1"/>
      <c r="C3" s="1"/>
      <c r="D3" s="1"/>
    </row>
    <row r="6" spans="2:6">
      <c r="B6" s="1"/>
      <c r="C6" s="1"/>
      <c r="D6" s="1"/>
    </row>
    <row r="20" spans="1:21">
      <c r="A20" s="82" t="s">
        <v>194</v>
      </c>
      <c r="B20" s="83" t="s">
        <v>195</v>
      </c>
      <c r="C20" s="83" t="s">
        <v>196</v>
      </c>
      <c r="D20" s="83" t="s">
        <v>197</v>
      </c>
      <c r="E20" s="83" t="s">
        <v>198</v>
      </c>
      <c r="F20" s="84" t="s">
        <v>199</v>
      </c>
      <c r="G20" s="83" t="s">
        <v>200</v>
      </c>
      <c r="H20" s="85" t="s">
        <v>201</v>
      </c>
      <c r="K20" s="49"/>
      <c r="L20" s="49" t="s">
        <v>243</v>
      </c>
      <c r="M20" s="53" t="s">
        <v>242</v>
      </c>
      <c r="N20" s="50"/>
      <c r="O20" s="51" t="s">
        <v>144</v>
      </c>
      <c r="P20" s="51" t="s">
        <v>145</v>
      </c>
      <c r="Q20" s="51" t="s">
        <v>146</v>
      </c>
      <c r="R20" s="52" t="s">
        <v>147</v>
      </c>
      <c r="S20" s="118" t="s">
        <v>245</v>
      </c>
      <c r="T20" s="53" t="s">
        <v>244</v>
      </c>
      <c r="U20" s="53" t="s">
        <v>147</v>
      </c>
    </row>
    <row r="21" spans="1:21">
      <c r="A21" s="86"/>
      <c r="B21" s="87">
        <f>IF(B23&gt;0,SUM(A21:A22),A22+B23-B22)</f>
        <v>0</v>
      </c>
      <c r="C21" s="87">
        <f>SUM(B21:B22)</f>
        <v>0</v>
      </c>
      <c r="D21" s="87">
        <f>SUM(C21:C22)</f>
        <v>0</v>
      </c>
      <c r="E21" s="87" t="e">
        <f>SUM(D21:D22)</f>
        <v>#REF!</v>
      </c>
      <c r="F21" s="87"/>
      <c r="G21" s="87">
        <f>SUM(F21:F22)</f>
        <v>0</v>
      </c>
      <c r="H21" s="88"/>
      <c r="K21" s="49">
        <v>1</v>
      </c>
      <c r="L21" s="116">
        <v>9.9999999999999995E-7</v>
      </c>
      <c r="M21" s="117" t="e">
        <f t="shared" ref="M21:M61" si="0">Q21+L21</f>
        <v>#N/A</v>
      </c>
      <c r="N21" s="54" t="s">
        <v>149</v>
      </c>
      <c r="O21" s="51" t="s">
        <v>130</v>
      </c>
      <c r="P21" s="57" t="s">
        <v>150</v>
      </c>
      <c r="Q21" s="56" t="e">
        <f>HLOOKUP(O21,$K$5:$CA$6,2,0)/60</f>
        <v>#N/A</v>
      </c>
      <c r="R21" s="89" t="str">
        <f>IF(ISERROR($Q21/$Q$62),"",$Q21/$Q$62)</f>
        <v/>
      </c>
      <c r="S21" s="59" t="e">
        <f>VLOOKUP(T21,$M$21:$P$61,4,0)</f>
        <v>#N/A</v>
      </c>
      <c r="T21" s="58" t="e">
        <f>LARGE($M$21:$M$61,K21)</f>
        <v>#N/A</v>
      </c>
      <c r="U21" s="89" t="str">
        <f>IF(ISERROR($T21/$T$62),"",$T21/$T$62)</f>
        <v/>
      </c>
    </row>
    <row r="22" spans="1:21">
      <c r="A22" s="86">
        <f>E6/60</f>
        <v>0</v>
      </c>
      <c r="B22" s="87">
        <f>(K6+L6)/60</f>
        <v>0</v>
      </c>
      <c r="C22" s="87">
        <f>W6/60</f>
        <v>0</v>
      </c>
      <c r="D22" s="87" t="e">
        <f>#REF!/60</f>
        <v>#REF!</v>
      </c>
      <c r="E22" s="87" t="e">
        <f>#REF!/60</f>
        <v>#REF!</v>
      </c>
      <c r="F22" s="87">
        <f>F6/60</f>
        <v>0</v>
      </c>
      <c r="G22" s="87">
        <f>AA6/60</f>
        <v>0</v>
      </c>
      <c r="H22" s="90">
        <f>G6/60</f>
        <v>0</v>
      </c>
      <c r="K22" s="49">
        <v>2</v>
      </c>
      <c r="L22" s="116">
        <v>1.9999999999999999E-6</v>
      </c>
      <c r="M22" s="117" t="e">
        <f t="shared" si="0"/>
        <v>#N/A</v>
      </c>
      <c r="N22" s="60"/>
      <c r="O22" s="51" t="s">
        <v>3</v>
      </c>
      <c r="P22" s="57" t="s">
        <v>151</v>
      </c>
      <c r="Q22" s="56" t="e">
        <f t="shared" ref="Q22:Q61" si="1">HLOOKUP(O22,$K$5:$CA$6,2,0)/60</f>
        <v>#N/A</v>
      </c>
      <c r="R22" s="89" t="str">
        <f t="shared" ref="R22:R61" si="2">IF(ISERROR($Q22/$Q$62),"",$Q22/$Q$62)</f>
        <v/>
      </c>
      <c r="S22" s="59" t="e">
        <f t="shared" ref="S22:S61" si="3">VLOOKUP(T22,$M$21:$P$61,4,0)</f>
        <v>#N/A</v>
      </c>
      <c r="T22" s="58" t="e">
        <f t="shared" ref="T22:T61" si="4">LARGE($M$21:$M$61,K22)</f>
        <v>#N/A</v>
      </c>
      <c r="U22" s="89" t="str">
        <f t="shared" ref="U22:U61" si="5">IF(ISERROR($T22/$T$62),"",$T22/$T$62)</f>
        <v/>
      </c>
    </row>
    <row r="23" spans="1:21">
      <c r="A23" s="91"/>
      <c r="B23" s="87">
        <f>B22</f>
        <v>0</v>
      </c>
      <c r="C23" s="87"/>
      <c r="D23" s="92"/>
      <c r="E23" s="92"/>
      <c r="F23" s="92"/>
      <c r="G23" s="92"/>
      <c r="H23" s="93"/>
      <c r="K23" s="49">
        <v>3</v>
      </c>
      <c r="L23" s="116">
        <v>3.0000000000000001E-6</v>
      </c>
      <c r="M23" s="117" t="e">
        <f t="shared" si="0"/>
        <v>#N/A</v>
      </c>
      <c r="N23" s="60"/>
      <c r="O23" s="51" t="s">
        <v>4</v>
      </c>
      <c r="P23" s="57" t="s">
        <v>152</v>
      </c>
      <c r="Q23" s="56" t="e">
        <f t="shared" si="1"/>
        <v>#N/A</v>
      </c>
      <c r="R23" s="89" t="str">
        <f t="shared" si="2"/>
        <v/>
      </c>
      <c r="S23" s="59" t="e">
        <f t="shared" si="3"/>
        <v>#N/A</v>
      </c>
      <c r="T23" s="58" t="e">
        <f t="shared" si="4"/>
        <v>#N/A</v>
      </c>
      <c r="U23" s="89" t="str">
        <f t="shared" si="5"/>
        <v/>
      </c>
    </row>
    <row r="24" spans="1:21">
      <c r="A24" s="94" t="e">
        <f>A22/$H$22</f>
        <v>#DIV/0!</v>
      </c>
      <c r="B24" s="94" t="e">
        <f t="shared" ref="B24:H24" si="6">B22/$H$22</f>
        <v>#DIV/0!</v>
      </c>
      <c r="C24" s="94" t="e">
        <f t="shared" si="6"/>
        <v>#DIV/0!</v>
      </c>
      <c r="D24" s="94" t="e">
        <f t="shared" si="6"/>
        <v>#REF!</v>
      </c>
      <c r="E24" s="94" t="e">
        <f t="shared" si="6"/>
        <v>#REF!</v>
      </c>
      <c r="F24" s="94" t="e">
        <f t="shared" si="6"/>
        <v>#DIV/0!</v>
      </c>
      <c r="G24" s="94" t="e">
        <f t="shared" si="6"/>
        <v>#DIV/0!</v>
      </c>
      <c r="H24" s="95" t="e">
        <f t="shared" si="6"/>
        <v>#DIV/0!</v>
      </c>
      <c r="K24" s="49">
        <v>4</v>
      </c>
      <c r="L24" s="116">
        <v>3.9999999999999998E-6</v>
      </c>
      <c r="M24" s="117" t="e">
        <f t="shared" si="0"/>
        <v>#N/A</v>
      </c>
      <c r="N24" s="60"/>
      <c r="O24" s="51" t="s">
        <v>5</v>
      </c>
      <c r="P24" s="57" t="s">
        <v>153</v>
      </c>
      <c r="Q24" s="56" t="e">
        <f t="shared" si="1"/>
        <v>#N/A</v>
      </c>
      <c r="R24" s="89" t="str">
        <f t="shared" si="2"/>
        <v/>
      </c>
      <c r="S24" s="59" t="e">
        <f t="shared" si="3"/>
        <v>#N/A</v>
      </c>
      <c r="T24" s="58" t="e">
        <f t="shared" si="4"/>
        <v>#N/A</v>
      </c>
      <c r="U24" s="89" t="str">
        <f t="shared" si="5"/>
        <v/>
      </c>
    </row>
    <row r="25" spans="1:21">
      <c r="A25" s="96"/>
      <c r="B25" s="97"/>
      <c r="C25" s="97"/>
      <c r="D25" s="98" t="s">
        <v>202</v>
      </c>
      <c r="E25" s="99" t="e">
        <f>A22/F22</f>
        <v>#DIV/0!</v>
      </c>
      <c r="F25" s="97"/>
      <c r="G25" s="97"/>
      <c r="H25" s="100"/>
      <c r="K25" s="49">
        <v>5</v>
      </c>
      <c r="L25" s="116">
        <v>5.0000000000000004E-6</v>
      </c>
      <c r="M25" s="117" t="e">
        <f t="shared" si="0"/>
        <v>#N/A</v>
      </c>
      <c r="N25" s="60"/>
      <c r="O25" s="51" t="s">
        <v>6</v>
      </c>
      <c r="P25" s="57" t="s">
        <v>154</v>
      </c>
      <c r="Q25" s="56" t="e">
        <f t="shared" si="1"/>
        <v>#N/A</v>
      </c>
      <c r="R25" s="89" t="str">
        <f t="shared" si="2"/>
        <v/>
      </c>
      <c r="S25" s="59" t="e">
        <f t="shared" si="3"/>
        <v>#N/A</v>
      </c>
      <c r="T25" s="58" t="e">
        <f t="shared" si="4"/>
        <v>#N/A</v>
      </c>
      <c r="U25" s="89" t="str">
        <f t="shared" si="5"/>
        <v/>
      </c>
    </row>
    <row r="26" spans="1:21">
      <c r="K26" s="49">
        <v>6</v>
      </c>
      <c r="L26" s="116">
        <v>6.0000000000000002E-6</v>
      </c>
      <c r="M26" s="117" t="e">
        <f t="shared" si="0"/>
        <v>#N/A</v>
      </c>
      <c r="N26" s="60"/>
      <c r="O26" s="51" t="s">
        <v>7</v>
      </c>
      <c r="P26" s="57" t="s">
        <v>155</v>
      </c>
      <c r="Q26" s="56" t="e">
        <f t="shared" si="1"/>
        <v>#N/A</v>
      </c>
      <c r="R26" s="89" t="str">
        <f t="shared" si="2"/>
        <v/>
      </c>
      <c r="S26" s="59" t="e">
        <f t="shared" si="3"/>
        <v>#N/A</v>
      </c>
      <c r="T26" s="58" t="e">
        <f t="shared" si="4"/>
        <v>#N/A</v>
      </c>
      <c r="U26" s="89" t="str">
        <f t="shared" si="5"/>
        <v/>
      </c>
    </row>
    <row r="27" spans="1:21">
      <c r="K27" s="49">
        <v>7</v>
      </c>
      <c r="L27" s="116">
        <v>6.9999999999999999E-6</v>
      </c>
      <c r="M27" s="117" t="e">
        <f t="shared" si="0"/>
        <v>#N/A</v>
      </c>
      <c r="N27" s="60"/>
      <c r="O27" s="51" t="s">
        <v>8</v>
      </c>
      <c r="P27" s="57" t="s">
        <v>156</v>
      </c>
      <c r="Q27" s="56" t="e">
        <f t="shared" si="1"/>
        <v>#N/A</v>
      </c>
      <c r="R27" s="89" t="str">
        <f t="shared" si="2"/>
        <v/>
      </c>
      <c r="S27" s="59" t="e">
        <f t="shared" si="3"/>
        <v>#N/A</v>
      </c>
      <c r="T27" s="58" t="e">
        <f t="shared" si="4"/>
        <v>#N/A</v>
      </c>
      <c r="U27" s="89" t="str">
        <f t="shared" si="5"/>
        <v/>
      </c>
    </row>
    <row r="28" spans="1:21">
      <c r="K28" s="49">
        <v>8</v>
      </c>
      <c r="L28" s="116">
        <v>7.9999999999999996E-6</v>
      </c>
      <c r="M28" s="117" t="e">
        <f t="shared" si="0"/>
        <v>#N/A</v>
      </c>
      <c r="N28" s="60"/>
      <c r="O28" s="51" t="s">
        <v>9</v>
      </c>
      <c r="P28" s="57" t="s">
        <v>157</v>
      </c>
      <c r="Q28" s="56" t="e">
        <f t="shared" si="1"/>
        <v>#N/A</v>
      </c>
      <c r="R28" s="89" t="str">
        <f t="shared" si="2"/>
        <v/>
      </c>
      <c r="S28" s="59" t="e">
        <f t="shared" si="3"/>
        <v>#N/A</v>
      </c>
      <c r="T28" s="58" t="e">
        <f t="shared" si="4"/>
        <v>#N/A</v>
      </c>
      <c r="U28" s="89" t="str">
        <f t="shared" si="5"/>
        <v/>
      </c>
    </row>
    <row r="29" spans="1:21">
      <c r="K29" s="49">
        <v>9</v>
      </c>
      <c r="L29" s="116">
        <v>9.0000000000000002E-6</v>
      </c>
      <c r="M29" s="117" t="e">
        <f t="shared" si="0"/>
        <v>#N/A</v>
      </c>
      <c r="N29" s="60"/>
      <c r="O29" s="51" t="s">
        <v>10</v>
      </c>
      <c r="P29" s="57" t="s">
        <v>158</v>
      </c>
      <c r="Q29" s="56" t="e">
        <f t="shared" si="1"/>
        <v>#N/A</v>
      </c>
      <c r="R29" s="89" t="str">
        <f t="shared" si="2"/>
        <v/>
      </c>
      <c r="S29" s="59" t="e">
        <f t="shared" si="3"/>
        <v>#N/A</v>
      </c>
      <c r="T29" s="58" t="e">
        <f t="shared" si="4"/>
        <v>#N/A</v>
      </c>
      <c r="U29" s="89" t="str">
        <f t="shared" si="5"/>
        <v/>
      </c>
    </row>
    <row r="30" spans="1:21">
      <c r="K30" s="49">
        <v>10</v>
      </c>
      <c r="L30" s="116">
        <v>1.0000000000000001E-5</v>
      </c>
      <c r="M30" s="117" t="e">
        <f t="shared" si="0"/>
        <v>#N/A</v>
      </c>
      <c r="N30" s="60"/>
      <c r="O30" s="51" t="s">
        <v>11</v>
      </c>
      <c r="P30" s="57" t="s">
        <v>159</v>
      </c>
      <c r="Q30" s="56" t="e">
        <f t="shared" si="1"/>
        <v>#N/A</v>
      </c>
      <c r="R30" s="89" t="str">
        <f t="shared" si="2"/>
        <v/>
      </c>
      <c r="S30" s="59" t="e">
        <f t="shared" si="3"/>
        <v>#N/A</v>
      </c>
      <c r="T30" s="58" t="e">
        <f t="shared" si="4"/>
        <v>#N/A</v>
      </c>
      <c r="U30" s="89" t="str">
        <f t="shared" si="5"/>
        <v/>
      </c>
    </row>
    <row r="31" spans="1:21">
      <c r="K31" s="49">
        <v>11</v>
      </c>
      <c r="L31" s="116">
        <v>1.1E-5</v>
      </c>
      <c r="M31" s="117" t="e">
        <f t="shared" si="0"/>
        <v>#N/A</v>
      </c>
      <c r="N31" s="60"/>
      <c r="O31" s="51" t="s">
        <v>12</v>
      </c>
      <c r="P31" s="57" t="s">
        <v>160</v>
      </c>
      <c r="Q31" s="56" t="e">
        <f t="shared" si="1"/>
        <v>#N/A</v>
      </c>
      <c r="R31" s="89" t="str">
        <f t="shared" si="2"/>
        <v/>
      </c>
      <c r="S31" s="59" t="e">
        <f t="shared" si="3"/>
        <v>#N/A</v>
      </c>
      <c r="T31" s="58" t="e">
        <f t="shared" si="4"/>
        <v>#N/A</v>
      </c>
      <c r="U31" s="89" t="str">
        <f t="shared" si="5"/>
        <v/>
      </c>
    </row>
    <row r="32" spans="1:21">
      <c r="K32" s="49">
        <v>12</v>
      </c>
      <c r="L32" s="116">
        <v>1.2E-5</v>
      </c>
      <c r="M32" s="117" t="e">
        <f t="shared" si="0"/>
        <v>#N/A</v>
      </c>
      <c r="N32" s="60"/>
      <c r="O32" s="51" t="s">
        <v>13</v>
      </c>
      <c r="P32" s="57" t="s">
        <v>161</v>
      </c>
      <c r="Q32" s="56" t="e">
        <f t="shared" si="1"/>
        <v>#N/A</v>
      </c>
      <c r="R32" s="89" t="str">
        <f t="shared" si="2"/>
        <v/>
      </c>
      <c r="S32" s="59" t="e">
        <f t="shared" si="3"/>
        <v>#N/A</v>
      </c>
      <c r="T32" s="58" t="e">
        <f t="shared" si="4"/>
        <v>#N/A</v>
      </c>
      <c r="U32" s="89" t="str">
        <f t="shared" si="5"/>
        <v/>
      </c>
    </row>
    <row r="33" spans="11:21">
      <c r="K33" s="49">
        <v>13</v>
      </c>
      <c r="L33" s="116">
        <v>1.2999999999999999E-5</v>
      </c>
      <c r="M33" s="117" t="e">
        <f t="shared" si="0"/>
        <v>#N/A</v>
      </c>
      <c r="N33" s="60" t="s">
        <v>162</v>
      </c>
      <c r="O33" s="51" t="s">
        <v>15</v>
      </c>
      <c r="P33" s="57" t="s">
        <v>163</v>
      </c>
      <c r="Q33" s="56" t="e">
        <f t="shared" si="1"/>
        <v>#N/A</v>
      </c>
      <c r="R33" s="89" t="str">
        <f t="shared" si="2"/>
        <v/>
      </c>
      <c r="S33" s="59" t="e">
        <f t="shared" si="3"/>
        <v>#N/A</v>
      </c>
      <c r="T33" s="58" t="e">
        <f t="shared" si="4"/>
        <v>#N/A</v>
      </c>
      <c r="U33" s="89" t="str">
        <f t="shared" si="5"/>
        <v/>
      </c>
    </row>
    <row r="34" spans="11:21">
      <c r="K34" s="49">
        <v>14</v>
      </c>
      <c r="L34" s="116">
        <v>1.4E-5</v>
      </c>
      <c r="M34" s="117" t="e">
        <f t="shared" si="0"/>
        <v>#N/A</v>
      </c>
      <c r="N34" s="60"/>
      <c r="O34" s="51" t="s">
        <v>17</v>
      </c>
      <c r="P34" s="57" t="s">
        <v>164</v>
      </c>
      <c r="Q34" s="56" t="e">
        <f t="shared" si="1"/>
        <v>#N/A</v>
      </c>
      <c r="R34" s="89" t="str">
        <f t="shared" si="2"/>
        <v/>
      </c>
      <c r="S34" s="59" t="e">
        <f t="shared" si="3"/>
        <v>#N/A</v>
      </c>
      <c r="T34" s="58" t="e">
        <f t="shared" si="4"/>
        <v>#N/A</v>
      </c>
      <c r="U34" s="89" t="str">
        <f t="shared" si="5"/>
        <v/>
      </c>
    </row>
    <row r="35" spans="11:21">
      <c r="K35" s="49">
        <v>15</v>
      </c>
      <c r="L35" s="116">
        <v>1.5E-5</v>
      </c>
      <c r="M35" s="117" t="e">
        <f t="shared" si="0"/>
        <v>#N/A</v>
      </c>
      <c r="N35" s="60"/>
      <c r="O35" s="51" t="s">
        <v>19</v>
      </c>
      <c r="P35" s="57" t="s">
        <v>165</v>
      </c>
      <c r="Q35" s="56" t="e">
        <f t="shared" si="1"/>
        <v>#N/A</v>
      </c>
      <c r="R35" s="89" t="str">
        <f t="shared" si="2"/>
        <v/>
      </c>
      <c r="S35" s="59" t="e">
        <f t="shared" si="3"/>
        <v>#N/A</v>
      </c>
      <c r="T35" s="58" t="e">
        <f t="shared" si="4"/>
        <v>#N/A</v>
      </c>
      <c r="U35" s="89" t="str">
        <f t="shared" si="5"/>
        <v/>
      </c>
    </row>
    <row r="36" spans="11:21">
      <c r="K36" s="49">
        <v>16</v>
      </c>
      <c r="L36" s="116">
        <v>1.5999999999999999E-5</v>
      </c>
      <c r="M36" s="117" t="e">
        <f t="shared" si="0"/>
        <v>#N/A</v>
      </c>
      <c r="N36" s="60"/>
      <c r="O36" s="51" t="s">
        <v>20</v>
      </c>
      <c r="P36" s="57" t="s">
        <v>166</v>
      </c>
      <c r="Q36" s="56" t="e">
        <f t="shared" si="1"/>
        <v>#N/A</v>
      </c>
      <c r="R36" s="89" t="str">
        <f t="shared" si="2"/>
        <v/>
      </c>
      <c r="S36" s="59" t="e">
        <f t="shared" si="3"/>
        <v>#N/A</v>
      </c>
      <c r="T36" s="58" t="e">
        <f t="shared" si="4"/>
        <v>#N/A</v>
      </c>
      <c r="U36" s="89" t="str">
        <f t="shared" si="5"/>
        <v/>
      </c>
    </row>
    <row r="37" spans="11:21">
      <c r="K37" s="49">
        <v>17</v>
      </c>
      <c r="L37" s="116">
        <v>1.7E-5</v>
      </c>
      <c r="M37" s="117" t="e">
        <f t="shared" si="0"/>
        <v>#N/A</v>
      </c>
      <c r="N37" s="60"/>
      <c r="O37" s="51" t="s">
        <v>21</v>
      </c>
      <c r="P37" s="57" t="s">
        <v>167</v>
      </c>
      <c r="Q37" s="56" t="e">
        <f t="shared" si="1"/>
        <v>#N/A</v>
      </c>
      <c r="R37" s="89" t="str">
        <f t="shared" si="2"/>
        <v/>
      </c>
      <c r="S37" s="59" t="e">
        <f t="shared" si="3"/>
        <v>#N/A</v>
      </c>
      <c r="T37" s="58" t="e">
        <f t="shared" si="4"/>
        <v>#N/A</v>
      </c>
      <c r="U37" s="89" t="str">
        <f t="shared" si="5"/>
        <v/>
      </c>
    </row>
    <row r="38" spans="11:21">
      <c r="K38" s="49">
        <v>18</v>
      </c>
      <c r="L38" s="116">
        <v>1.8E-5</v>
      </c>
      <c r="M38" s="117" t="e">
        <f t="shared" si="0"/>
        <v>#N/A</v>
      </c>
      <c r="N38" s="60" t="s">
        <v>168</v>
      </c>
      <c r="O38" s="51" t="s">
        <v>23</v>
      </c>
      <c r="P38" s="57" t="s">
        <v>169</v>
      </c>
      <c r="Q38" s="56" t="e">
        <f t="shared" si="1"/>
        <v>#N/A</v>
      </c>
      <c r="R38" s="89" t="str">
        <f t="shared" si="2"/>
        <v/>
      </c>
      <c r="S38" s="59" t="e">
        <f t="shared" si="3"/>
        <v>#N/A</v>
      </c>
      <c r="T38" s="58" t="e">
        <f t="shared" si="4"/>
        <v>#N/A</v>
      </c>
      <c r="U38" s="89" t="str">
        <f t="shared" si="5"/>
        <v/>
      </c>
    </row>
    <row r="39" spans="11:21">
      <c r="K39" s="49">
        <v>19</v>
      </c>
      <c r="L39" s="116">
        <v>1.9000000000000001E-5</v>
      </c>
      <c r="M39" s="117" t="e">
        <f t="shared" si="0"/>
        <v>#N/A</v>
      </c>
      <c r="N39" s="60"/>
      <c r="O39" s="51" t="s">
        <v>25</v>
      </c>
      <c r="P39" s="57" t="s">
        <v>170</v>
      </c>
      <c r="Q39" s="56" t="e">
        <f t="shared" si="1"/>
        <v>#N/A</v>
      </c>
      <c r="R39" s="89" t="str">
        <f t="shared" si="2"/>
        <v/>
      </c>
      <c r="S39" s="59" t="e">
        <f t="shared" si="3"/>
        <v>#N/A</v>
      </c>
      <c r="T39" s="58" t="e">
        <f t="shared" si="4"/>
        <v>#N/A</v>
      </c>
      <c r="U39" s="89" t="str">
        <f t="shared" si="5"/>
        <v/>
      </c>
    </row>
    <row r="40" spans="11:21">
      <c r="K40" s="49">
        <v>20</v>
      </c>
      <c r="L40" s="116">
        <v>2.0000000000000002E-5</v>
      </c>
      <c r="M40" s="117" t="e">
        <f t="shared" si="0"/>
        <v>#N/A</v>
      </c>
      <c r="N40" s="60"/>
      <c r="O40" s="51" t="s">
        <v>26</v>
      </c>
      <c r="P40" s="57" t="s">
        <v>171</v>
      </c>
      <c r="Q40" s="56" t="e">
        <f t="shared" si="1"/>
        <v>#N/A</v>
      </c>
      <c r="R40" s="89" t="str">
        <f t="shared" si="2"/>
        <v/>
      </c>
      <c r="S40" s="59" t="e">
        <f t="shared" si="3"/>
        <v>#N/A</v>
      </c>
      <c r="T40" s="58" t="e">
        <f t="shared" si="4"/>
        <v>#N/A</v>
      </c>
      <c r="U40" s="89" t="str">
        <f t="shared" si="5"/>
        <v/>
      </c>
    </row>
    <row r="41" spans="11:21">
      <c r="K41" s="49">
        <v>21</v>
      </c>
      <c r="L41" s="116">
        <v>2.0999999999999999E-5</v>
      </c>
      <c r="M41" s="117" t="e">
        <f t="shared" si="0"/>
        <v>#N/A</v>
      </c>
      <c r="N41" s="60"/>
      <c r="O41" s="51" t="s">
        <v>27</v>
      </c>
      <c r="P41" s="57" t="s">
        <v>172</v>
      </c>
      <c r="Q41" s="56" t="e">
        <f t="shared" si="1"/>
        <v>#N/A</v>
      </c>
      <c r="R41" s="89" t="str">
        <f t="shared" si="2"/>
        <v/>
      </c>
      <c r="S41" s="59" t="e">
        <f t="shared" si="3"/>
        <v>#N/A</v>
      </c>
      <c r="T41" s="58" t="e">
        <f t="shared" si="4"/>
        <v>#N/A</v>
      </c>
      <c r="U41" s="89" t="str">
        <f t="shared" si="5"/>
        <v/>
      </c>
    </row>
    <row r="42" spans="11:21">
      <c r="K42" s="49">
        <v>22</v>
      </c>
      <c r="L42" s="116">
        <v>2.1999999999999999E-5</v>
      </c>
      <c r="M42" s="117" t="e">
        <f t="shared" si="0"/>
        <v>#N/A</v>
      </c>
      <c r="N42" s="60"/>
      <c r="O42" s="51" t="s">
        <v>28</v>
      </c>
      <c r="P42" s="57" t="s">
        <v>173</v>
      </c>
      <c r="Q42" s="56" t="e">
        <f t="shared" si="1"/>
        <v>#N/A</v>
      </c>
      <c r="R42" s="89" t="str">
        <f t="shared" si="2"/>
        <v/>
      </c>
      <c r="S42" s="59" t="e">
        <f t="shared" si="3"/>
        <v>#N/A</v>
      </c>
      <c r="T42" s="58" t="e">
        <f t="shared" si="4"/>
        <v>#N/A</v>
      </c>
      <c r="U42" s="89" t="str">
        <f t="shared" si="5"/>
        <v/>
      </c>
    </row>
    <row r="43" spans="11:21">
      <c r="K43" s="49">
        <v>23</v>
      </c>
      <c r="L43" s="116">
        <v>2.3E-5</v>
      </c>
      <c r="M43" s="117" t="e">
        <f t="shared" si="0"/>
        <v>#N/A</v>
      </c>
      <c r="N43" s="60"/>
      <c r="O43" s="51" t="s">
        <v>29</v>
      </c>
      <c r="P43" s="57" t="s">
        <v>174</v>
      </c>
      <c r="Q43" s="56" t="e">
        <f t="shared" si="1"/>
        <v>#N/A</v>
      </c>
      <c r="R43" s="89" t="str">
        <f t="shared" si="2"/>
        <v/>
      </c>
      <c r="S43" s="59" t="e">
        <f t="shared" si="3"/>
        <v>#N/A</v>
      </c>
      <c r="T43" s="58" t="e">
        <f t="shared" si="4"/>
        <v>#N/A</v>
      </c>
      <c r="U43" s="89" t="str">
        <f t="shared" si="5"/>
        <v/>
      </c>
    </row>
    <row r="44" spans="11:21">
      <c r="K44" s="49">
        <v>24</v>
      </c>
      <c r="L44" s="116">
        <v>2.4000000000000001E-5</v>
      </c>
      <c r="M44" s="117" t="e">
        <f t="shared" si="0"/>
        <v>#N/A</v>
      </c>
      <c r="N44" s="60"/>
      <c r="O44" s="51" t="s">
        <v>30</v>
      </c>
      <c r="P44" s="57" t="s">
        <v>175</v>
      </c>
      <c r="Q44" s="56" t="e">
        <f t="shared" si="1"/>
        <v>#N/A</v>
      </c>
      <c r="R44" s="89" t="str">
        <f t="shared" si="2"/>
        <v/>
      </c>
      <c r="S44" s="59" t="e">
        <f t="shared" si="3"/>
        <v>#N/A</v>
      </c>
      <c r="T44" s="58" t="e">
        <f t="shared" si="4"/>
        <v>#N/A</v>
      </c>
      <c r="U44" s="89" t="str">
        <f t="shared" si="5"/>
        <v/>
      </c>
    </row>
    <row r="45" spans="11:21">
      <c r="K45" s="49">
        <v>25</v>
      </c>
      <c r="L45" s="116">
        <v>2.5000000000000001E-5</v>
      </c>
      <c r="M45" s="117" t="e">
        <f t="shared" si="0"/>
        <v>#N/A</v>
      </c>
      <c r="N45" s="60"/>
      <c r="O45" s="51" t="s">
        <v>31</v>
      </c>
      <c r="P45" s="57" t="s">
        <v>176</v>
      </c>
      <c r="Q45" s="56" t="e">
        <f t="shared" si="1"/>
        <v>#N/A</v>
      </c>
      <c r="R45" s="89" t="str">
        <f t="shared" si="2"/>
        <v/>
      </c>
      <c r="S45" s="59" t="e">
        <f t="shared" si="3"/>
        <v>#N/A</v>
      </c>
      <c r="T45" s="58" t="e">
        <f t="shared" si="4"/>
        <v>#N/A</v>
      </c>
      <c r="U45" s="89" t="str">
        <f t="shared" si="5"/>
        <v/>
      </c>
    </row>
    <row r="46" spans="11:21">
      <c r="K46" s="49">
        <v>26</v>
      </c>
      <c r="L46" s="116">
        <v>2.5999999999999998E-5</v>
      </c>
      <c r="M46" s="117" t="e">
        <f t="shared" si="0"/>
        <v>#N/A</v>
      </c>
      <c r="N46" s="51"/>
      <c r="O46" s="51" t="s">
        <v>33</v>
      </c>
      <c r="P46" s="57" t="s">
        <v>177</v>
      </c>
      <c r="Q46" s="56" t="e">
        <f t="shared" si="1"/>
        <v>#N/A</v>
      </c>
      <c r="R46" s="89" t="str">
        <f t="shared" si="2"/>
        <v/>
      </c>
      <c r="S46" s="59" t="e">
        <f t="shared" si="3"/>
        <v>#N/A</v>
      </c>
      <c r="T46" s="58" t="e">
        <f t="shared" si="4"/>
        <v>#N/A</v>
      </c>
      <c r="U46" s="89" t="str">
        <f>IF(ISERROR($T46/$T$62),"",$T46/$T$62)</f>
        <v/>
      </c>
    </row>
    <row r="47" spans="11:21">
      <c r="K47" s="49">
        <v>27</v>
      </c>
      <c r="L47" s="116">
        <v>2.6999999999999999E-5</v>
      </c>
      <c r="M47" s="117" t="e">
        <f t="shared" si="0"/>
        <v>#N/A</v>
      </c>
      <c r="N47" s="51"/>
      <c r="O47" s="51" t="s">
        <v>34</v>
      </c>
      <c r="P47" s="57" t="s">
        <v>178</v>
      </c>
      <c r="Q47" s="56" t="e">
        <f t="shared" si="1"/>
        <v>#N/A</v>
      </c>
      <c r="R47" s="89" t="str">
        <f t="shared" si="2"/>
        <v/>
      </c>
      <c r="S47" s="59" t="e">
        <f t="shared" si="3"/>
        <v>#N/A</v>
      </c>
      <c r="T47" s="58" t="e">
        <f t="shared" si="4"/>
        <v>#N/A</v>
      </c>
      <c r="U47" s="89" t="str">
        <f t="shared" si="5"/>
        <v/>
      </c>
    </row>
    <row r="48" spans="11:21">
      <c r="K48" s="49">
        <v>28</v>
      </c>
      <c r="L48" s="116">
        <v>2.8E-5</v>
      </c>
      <c r="M48" s="117" t="e">
        <f t="shared" si="0"/>
        <v>#N/A</v>
      </c>
      <c r="N48" s="51"/>
      <c r="O48" s="51" t="s">
        <v>35</v>
      </c>
      <c r="P48" s="57" t="s">
        <v>179</v>
      </c>
      <c r="Q48" s="56" t="e">
        <f t="shared" si="1"/>
        <v>#N/A</v>
      </c>
      <c r="R48" s="89" t="str">
        <f t="shared" si="2"/>
        <v/>
      </c>
      <c r="S48" s="59" t="e">
        <f t="shared" si="3"/>
        <v>#N/A</v>
      </c>
      <c r="T48" s="58" t="e">
        <f t="shared" si="4"/>
        <v>#N/A</v>
      </c>
      <c r="U48" s="89" t="str">
        <f t="shared" si="5"/>
        <v/>
      </c>
    </row>
    <row r="49" spans="11:21">
      <c r="K49" s="49">
        <v>29</v>
      </c>
      <c r="L49" s="116">
        <v>2.9E-5</v>
      </c>
      <c r="M49" s="117" t="e">
        <f t="shared" si="0"/>
        <v>#N/A</v>
      </c>
      <c r="N49" s="51"/>
      <c r="O49" s="51" t="s">
        <v>36</v>
      </c>
      <c r="P49" s="57" t="s">
        <v>180</v>
      </c>
      <c r="Q49" s="56" t="e">
        <f t="shared" si="1"/>
        <v>#N/A</v>
      </c>
      <c r="R49" s="89" t="str">
        <f t="shared" si="2"/>
        <v/>
      </c>
      <c r="S49" s="59" t="e">
        <f t="shared" si="3"/>
        <v>#N/A</v>
      </c>
      <c r="T49" s="58" t="e">
        <f t="shared" si="4"/>
        <v>#N/A</v>
      </c>
      <c r="U49" s="89" t="str">
        <f t="shared" si="5"/>
        <v/>
      </c>
    </row>
    <row r="50" spans="11:21">
      <c r="K50" s="49">
        <v>30</v>
      </c>
      <c r="L50" s="116">
        <v>3.0000000000000001E-5</v>
      </c>
      <c r="M50" s="117" t="e">
        <f t="shared" si="0"/>
        <v>#N/A</v>
      </c>
      <c r="N50" s="51"/>
      <c r="O50" s="51" t="s">
        <v>37</v>
      </c>
      <c r="P50" s="57" t="s">
        <v>181</v>
      </c>
      <c r="Q50" s="56" t="e">
        <f t="shared" si="1"/>
        <v>#N/A</v>
      </c>
      <c r="R50" s="89" t="str">
        <f t="shared" si="2"/>
        <v/>
      </c>
      <c r="S50" s="59" t="e">
        <f t="shared" si="3"/>
        <v>#N/A</v>
      </c>
      <c r="T50" s="58" t="e">
        <f t="shared" si="4"/>
        <v>#N/A</v>
      </c>
      <c r="U50" s="89" t="str">
        <f t="shared" si="5"/>
        <v/>
      </c>
    </row>
    <row r="51" spans="11:21">
      <c r="K51" s="49">
        <v>31</v>
      </c>
      <c r="L51" s="116">
        <v>3.1000000000000001E-5</v>
      </c>
      <c r="M51" s="117" t="e">
        <f t="shared" si="0"/>
        <v>#N/A</v>
      </c>
      <c r="N51" s="51"/>
      <c r="O51" s="51" t="s">
        <v>38</v>
      </c>
      <c r="P51" s="57" t="s">
        <v>182</v>
      </c>
      <c r="Q51" s="56" t="e">
        <f t="shared" si="1"/>
        <v>#N/A</v>
      </c>
      <c r="R51" s="89" t="str">
        <f t="shared" si="2"/>
        <v/>
      </c>
      <c r="S51" s="59" t="e">
        <f t="shared" si="3"/>
        <v>#N/A</v>
      </c>
      <c r="T51" s="58" t="e">
        <f t="shared" si="4"/>
        <v>#N/A</v>
      </c>
      <c r="U51" s="89" t="str">
        <f t="shared" si="5"/>
        <v/>
      </c>
    </row>
    <row r="52" spans="11:21">
      <c r="K52" s="49">
        <v>32</v>
      </c>
      <c r="L52" s="116">
        <v>3.1999999999999999E-5</v>
      </c>
      <c r="M52" s="117" t="e">
        <f t="shared" si="0"/>
        <v>#N/A</v>
      </c>
      <c r="N52" s="51"/>
      <c r="O52" s="51" t="s">
        <v>39</v>
      </c>
      <c r="P52" s="57" t="s">
        <v>183</v>
      </c>
      <c r="Q52" s="56" t="e">
        <f t="shared" si="1"/>
        <v>#N/A</v>
      </c>
      <c r="R52" s="89" t="str">
        <f t="shared" si="2"/>
        <v/>
      </c>
      <c r="S52" s="59" t="e">
        <f t="shared" si="3"/>
        <v>#N/A</v>
      </c>
      <c r="T52" s="58" t="e">
        <f t="shared" si="4"/>
        <v>#N/A</v>
      </c>
      <c r="U52" s="89" t="str">
        <f t="shared" si="5"/>
        <v/>
      </c>
    </row>
    <row r="53" spans="11:21">
      <c r="K53" s="49">
        <v>33</v>
      </c>
      <c r="L53" s="116">
        <v>3.3000000000000003E-5</v>
      </c>
      <c r="M53" s="117" t="e">
        <f t="shared" si="0"/>
        <v>#N/A</v>
      </c>
      <c r="N53" s="51"/>
      <c r="O53" s="51" t="s">
        <v>40</v>
      </c>
      <c r="P53" s="57" t="s">
        <v>184</v>
      </c>
      <c r="Q53" s="56" t="e">
        <f t="shared" si="1"/>
        <v>#N/A</v>
      </c>
      <c r="R53" s="89" t="str">
        <f t="shared" si="2"/>
        <v/>
      </c>
      <c r="S53" s="59" t="e">
        <f t="shared" si="3"/>
        <v>#N/A</v>
      </c>
      <c r="T53" s="58" t="e">
        <f t="shared" si="4"/>
        <v>#N/A</v>
      </c>
      <c r="U53" s="89" t="str">
        <f t="shared" si="5"/>
        <v/>
      </c>
    </row>
    <row r="54" spans="11:21">
      <c r="K54" s="49">
        <v>34</v>
      </c>
      <c r="L54" s="116">
        <v>3.4E-5</v>
      </c>
      <c r="M54" s="117" t="e">
        <f t="shared" si="0"/>
        <v>#N/A</v>
      </c>
      <c r="N54" s="51"/>
      <c r="O54" s="51" t="s">
        <v>41</v>
      </c>
      <c r="P54" s="57" t="s">
        <v>185</v>
      </c>
      <c r="Q54" s="56" t="e">
        <f t="shared" si="1"/>
        <v>#N/A</v>
      </c>
      <c r="R54" s="89" t="str">
        <f t="shared" si="2"/>
        <v/>
      </c>
      <c r="S54" s="59" t="e">
        <f t="shared" si="3"/>
        <v>#N/A</v>
      </c>
      <c r="T54" s="58" t="e">
        <f t="shared" si="4"/>
        <v>#N/A</v>
      </c>
      <c r="U54" s="89" t="str">
        <f t="shared" si="5"/>
        <v/>
      </c>
    </row>
    <row r="55" spans="11:21">
      <c r="K55" s="49">
        <v>35</v>
      </c>
      <c r="L55" s="116">
        <v>3.4999999999999997E-5</v>
      </c>
      <c r="M55" s="117" t="e">
        <f t="shared" si="0"/>
        <v>#N/A</v>
      </c>
      <c r="N55" s="51"/>
      <c r="O55" s="51" t="s">
        <v>42</v>
      </c>
      <c r="P55" s="57" t="s">
        <v>186</v>
      </c>
      <c r="Q55" s="56" t="e">
        <f t="shared" si="1"/>
        <v>#N/A</v>
      </c>
      <c r="R55" s="89" t="str">
        <f t="shared" si="2"/>
        <v/>
      </c>
      <c r="S55" s="59" t="e">
        <f t="shared" si="3"/>
        <v>#N/A</v>
      </c>
      <c r="T55" s="58" t="e">
        <f t="shared" si="4"/>
        <v>#N/A</v>
      </c>
      <c r="U55" s="89" t="str">
        <f t="shared" si="5"/>
        <v/>
      </c>
    </row>
    <row r="56" spans="11:21">
      <c r="K56" s="49">
        <v>36</v>
      </c>
      <c r="L56" s="116">
        <v>3.6000000000000001E-5</v>
      </c>
      <c r="M56" s="117" t="e">
        <f t="shared" si="0"/>
        <v>#N/A</v>
      </c>
      <c r="N56" s="51"/>
      <c r="O56" s="51" t="s">
        <v>43</v>
      </c>
      <c r="P56" s="57" t="s">
        <v>187</v>
      </c>
      <c r="Q56" s="56" t="e">
        <f t="shared" si="1"/>
        <v>#N/A</v>
      </c>
      <c r="R56" s="89" t="str">
        <f t="shared" si="2"/>
        <v/>
      </c>
      <c r="S56" s="59" t="e">
        <f t="shared" si="3"/>
        <v>#N/A</v>
      </c>
      <c r="T56" s="58" t="e">
        <f t="shared" si="4"/>
        <v>#N/A</v>
      </c>
      <c r="U56" s="89" t="str">
        <f t="shared" si="5"/>
        <v/>
      </c>
    </row>
    <row r="57" spans="11:21">
      <c r="K57" s="49">
        <v>37</v>
      </c>
      <c r="L57" s="116">
        <v>3.6999999999999998E-5</v>
      </c>
      <c r="M57" s="117" t="e">
        <f t="shared" si="0"/>
        <v>#N/A</v>
      </c>
      <c r="N57" s="51"/>
      <c r="O57" s="51" t="s">
        <v>44</v>
      </c>
      <c r="P57" s="57" t="s">
        <v>188</v>
      </c>
      <c r="Q57" s="56" t="e">
        <f t="shared" si="1"/>
        <v>#N/A</v>
      </c>
      <c r="R57" s="89" t="str">
        <f t="shared" si="2"/>
        <v/>
      </c>
      <c r="S57" s="59" t="e">
        <f t="shared" si="3"/>
        <v>#N/A</v>
      </c>
      <c r="T57" s="58" t="e">
        <f t="shared" si="4"/>
        <v>#N/A</v>
      </c>
      <c r="U57" s="89" t="str">
        <f t="shared" si="5"/>
        <v/>
      </c>
    </row>
    <row r="58" spans="11:21">
      <c r="K58" s="49">
        <v>38</v>
      </c>
      <c r="L58" s="116">
        <v>3.8000000000000002E-5</v>
      </c>
      <c r="M58" s="117" t="e">
        <f t="shared" si="0"/>
        <v>#N/A</v>
      </c>
      <c r="N58" s="51"/>
      <c r="O58" s="51" t="s">
        <v>45</v>
      </c>
      <c r="P58" s="57" t="s">
        <v>189</v>
      </c>
      <c r="Q58" s="56" t="e">
        <f t="shared" si="1"/>
        <v>#N/A</v>
      </c>
      <c r="R58" s="89" t="str">
        <f t="shared" si="2"/>
        <v/>
      </c>
      <c r="S58" s="59" t="e">
        <f t="shared" si="3"/>
        <v>#N/A</v>
      </c>
      <c r="T58" s="58" t="e">
        <f t="shared" si="4"/>
        <v>#N/A</v>
      </c>
      <c r="U58" s="89" t="str">
        <f t="shared" si="5"/>
        <v/>
      </c>
    </row>
    <row r="59" spans="11:21">
      <c r="K59" s="49">
        <v>39</v>
      </c>
      <c r="L59" s="116">
        <v>3.8999999999999999E-5</v>
      </c>
      <c r="M59" s="117" t="e">
        <f t="shared" si="0"/>
        <v>#N/A</v>
      </c>
      <c r="N59" s="51"/>
      <c r="O59" s="51" t="s">
        <v>46</v>
      </c>
      <c r="P59" s="57" t="s">
        <v>190</v>
      </c>
      <c r="Q59" s="56" t="e">
        <f t="shared" si="1"/>
        <v>#N/A</v>
      </c>
      <c r="R59" s="89" t="str">
        <f t="shared" si="2"/>
        <v/>
      </c>
      <c r="S59" s="59" t="e">
        <f t="shared" si="3"/>
        <v>#N/A</v>
      </c>
      <c r="T59" s="58" t="e">
        <f t="shared" si="4"/>
        <v>#N/A</v>
      </c>
      <c r="U59" s="89" t="str">
        <f>IF(ISERROR($T59/$T$62),"",$T59/$T$62)</f>
        <v/>
      </c>
    </row>
    <row r="60" spans="11:21">
      <c r="K60" s="49">
        <v>40</v>
      </c>
      <c r="L60" s="116">
        <v>4.0000000000000003E-5</v>
      </c>
      <c r="M60" s="117" t="e">
        <f t="shared" si="0"/>
        <v>#N/A</v>
      </c>
      <c r="N60" s="51"/>
      <c r="O60" s="51" t="s">
        <v>47</v>
      </c>
      <c r="P60" s="57" t="s">
        <v>191</v>
      </c>
      <c r="Q60" s="56" t="e">
        <f t="shared" si="1"/>
        <v>#N/A</v>
      </c>
      <c r="R60" s="89" t="str">
        <f t="shared" si="2"/>
        <v/>
      </c>
      <c r="S60" s="59" t="e">
        <f t="shared" si="3"/>
        <v>#N/A</v>
      </c>
      <c r="T60" s="58" t="e">
        <f t="shared" si="4"/>
        <v>#N/A</v>
      </c>
      <c r="U60" s="89" t="str">
        <f t="shared" si="5"/>
        <v/>
      </c>
    </row>
    <row r="61" spans="11:21">
      <c r="K61" s="49">
        <v>41</v>
      </c>
      <c r="L61" s="116">
        <v>4.1E-5</v>
      </c>
      <c r="M61" s="117" t="e">
        <f t="shared" si="0"/>
        <v>#N/A</v>
      </c>
      <c r="N61" s="51"/>
      <c r="O61" s="51" t="s">
        <v>48</v>
      </c>
      <c r="P61" s="57" t="s">
        <v>192</v>
      </c>
      <c r="Q61" s="56" t="e">
        <f t="shared" si="1"/>
        <v>#N/A</v>
      </c>
      <c r="R61" s="89" t="str">
        <f t="shared" si="2"/>
        <v/>
      </c>
      <c r="S61" s="59" t="e">
        <f t="shared" si="3"/>
        <v>#N/A</v>
      </c>
      <c r="T61" s="58" t="e">
        <f t="shared" si="4"/>
        <v>#N/A</v>
      </c>
      <c r="U61" s="89" t="str">
        <f t="shared" si="5"/>
        <v/>
      </c>
    </row>
    <row r="62" spans="11:21">
      <c r="K62" s="49"/>
      <c r="L62" s="49"/>
      <c r="M62" s="49"/>
      <c r="N62" s="51"/>
      <c r="O62" s="51"/>
      <c r="P62" s="60" t="s">
        <v>193</v>
      </c>
      <c r="Q62" s="61" t="e">
        <f>SUM(Q21:Q61)</f>
        <v>#N/A</v>
      </c>
      <c r="R62" s="62">
        <f>SUM(R21:R61)</f>
        <v>0</v>
      </c>
      <c r="S62" s="62"/>
      <c r="T62" s="49" t="e">
        <f>SUM(T21:T61)</f>
        <v>#N/A</v>
      </c>
      <c r="U62" s="63">
        <f>SUM(U21:U61)</f>
        <v>0</v>
      </c>
    </row>
  </sheetData>
  <phoneticPr fontId="22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E3"/>
  <sheetViews>
    <sheetView workbookViewId="0">
      <selection activeCell="C2" sqref="C2"/>
    </sheetView>
  </sheetViews>
  <sheetFormatPr defaultColWidth="9.140625" defaultRowHeight="15"/>
  <cols>
    <col min="1" max="2" width="9.140625" style="78"/>
    <col min="3" max="3" width="19.42578125" style="78" customWidth="1"/>
    <col min="4" max="4" width="53.85546875" style="78" customWidth="1"/>
    <col min="5" max="16384" width="9.140625" style="78"/>
  </cols>
  <sheetData>
    <row r="1" spans="1:5">
      <c r="A1" s="76" t="s">
        <v>112</v>
      </c>
      <c r="B1" s="76" t="s">
        <v>109</v>
      </c>
      <c r="C1" s="76" t="s">
        <v>110</v>
      </c>
      <c r="D1" s="76" t="s">
        <v>111</v>
      </c>
    </row>
    <row r="2" spans="1:5" ht="23.25">
      <c r="A2" s="76" t="s">
        <v>203</v>
      </c>
      <c r="B2" s="76">
        <v>0.73686743892018869</v>
      </c>
      <c r="C2" s="76">
        <v>0.49569270497900908</v>
      </c>
      <c r="D2" s="101" t="s">
        <v>204</v>
      </c>
      <c r="E2" s="102">
        <f>'Result-查询'!B6</f>
        <v>0</v>
      </c>
    </row>
    <row r="3" spans="1:5">
      <c r="A3" s="76" t="s">
        <v>143</v>
      </c>
      <c r="B3" s="76">
        <v>0.74472161809101456</v>
      </c>
      <c r="C3" s="76">
        <v>0.5120248280229962</v>
      </c>
      <c r="D3" s="76">
        <v>0.81204059323418176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1:DF268"/>
  <sheetViews>
    <sheetView tabSelected="1" workbookViewId="0">
      <selection activeCell="F2" sqref="F2"/>
    </sheetView>
  </sheetViews>
  <sheetFormatPr defaultRowHeight="15"/>
  <cols>
    <col min="1" max="1" width="14" customWidth="1"/>
    <col min="4" max="4" width="9.5703125" bestFit="1" customWidth="1"/>
    <col min="5" max="5" width="53.28515625" customWidth="1"/>
    <col min="6" max="6" width="12.7109375" customWidth="1"/>
    <col min="7" max="7" width="12.28515625" customWidth="1"/>
    <col min="12" max="12" width="11.5703125" bestFit="1" customWidth="1"/>
    <col min="15" max="15" width="10" bestFit="1" customWidth="1"/>
    <col min="17" max="17" width="10" bestFit="1" customWidth="1"/>
    <col min="24" max="24" width="20.140625" bestFit="1" customWidth="1"/>
    <col min="28" max="28" width="20.140625" bestFit="1" customWidth="1"/>
    <col min="31" max="31" width="11.28515625" customWidth="1"/>
    <col min="32" max="32" width="20.140625" bestFit="1" customWidth="1"/>
    <col min="37" max="37" width="13" bestFit="1" customWidth="1"/>
  </cols>
  <sheetData>
    <row r="1" spans="1:110" ht="59.25" customHeight="1">
      <c r="E1" s="122" t="s">
        <v>253</v>
      </c>
    </row>
    <row r="2" spans="1:110" ht="33.75">
      <c r="E2" s="123" t="s">
        <v>246</v>
      </c>
    </row>
    <row r="3" spans="1:110" ht="25.5" customHeight="1">
      <c r="B3" s="1"/>
      <c r="C3" s="1"/>
      <c r="D3" s="1"/>
      <c r="F3" s="107"/>
    </row>
    <row r="4" spans="1:110" s="105" customFormat="1">
      <c r="O4" s="105" t="s">
        <v>224</v>
      </c>
      <c r="Z4" s="105" t="s">
        <v>225</v>
      </c>
      <c r="AH4" s="105" t="s">
        <v>226</v>
      </c>
      <c r="AP4" s="105" t="s">
        <v>227</v>
      </c>
      <c r="BL4" s="105" t="s">
        <v>228</v>
      </c>
      <c r="CA4" s="105" t="s">
        <v>229</v>
      </c>
      <c r="CJ4" s="105" t="s">
        <v>230</v>
      </c>
    </row>
    <row r="5" spans="1:110" s="105" customFormat="1">
      <c r="A5" s="105" t="s">
        <v>252</v>
      </c>
      <c r="B5" s="105" t="s">
        <v>109</v>
      </c>
      <c r="C5" s="105" t="s">
        <v>110</v>
      </c>
      <c r="D5" s="105" t="s">
        <v>111</v>
      </c>
      <c r="E5" s="105" t="s">
        <v>221</v>
      </c>
      <c r="F5" s="105" t="s">
        <v>222</v>
      </c>
      <c r="G5" s="105" t="s">
        <v>223</v>
      </c>
      <c r="H5" s="105" t="s">
        <v>127</v>
      </c>
      <c r="I5" s="105" t="s">
        <v>128</v>
      </c>
      <c r="J5" s="105" t="s">
        <v>129</v>
      </c>
      <c r="K5" s="105" t="s">
        <v>130</v>
      </c>
      <c r="L5" s="105" t="s">
        <v>3</v>
      </c>
      <c r="M5" s="105" t="s">
        <v>4</v>
      </c>
      <c r="N5" s="105" t="s">
        <v>5</v>
      </c>
      <c r="O5" s="105" t="s">
        <v>6</v>
      </c>
      <c r="P5" s="105" t="s">
        <v>7</v>
      </c>
      <c r="Q5" s="105" t="s">
        <v>8</v>
      </c>
      <c r="R5" s="105" t="s">
        <v>9</v>
      </c>
      <c r="S5" s="105" t="s">
        <v>10</v>
      </c>
      <c r="T5" s="105" t="s">
        <v>11</v>
      </c>
      <c r="U5" s="105" t="s">
        <v>12</v>
      </c>
      <c r="V5" s="105" t="s">
        <v>13</v>
      </c>
      <c r="W5" s="105" t="s">
        <v>14</v>
      </c>
      <c r="X5" s="105" t="s">
        <v>15</v>
      </c>
      <c r="Y5" s="105" t="s">
        <v>16</v>
      </c>
      <c r="Z5" s="105" t="s">
        <v>17</v>
      </c>
      <c r="AA5" s="105" t="s">
        <v>18</v>
      </c>
      <c r="AB5" s="105" t="s">
        <v>19</v>
      </c>
      <c r="AC5" s="105" t="s">
        <v>20</v>
      </c>
      <c r="AD5" s="105" t="s">
        <v>21</v>
      </c>
      <c r="AE5" s="105" t="s">
        <v>22</v>
      </c>
      <c r="AF5" s="105" t="s">
        <v>23</v>
      </c>
      <c r="AG5" s="105" t="s">
        <v>24</v>
      </c>
      <c r="AH5" s="105" t="s">
        <v>25</v>
      </c>
      <c r="AI5" s="105" t="s">
        <v>26</v>
      </c>
      <c r="AJ5" s="105" t="s">
        <v>27</v>
      </c>
      <c r="AK5" s="105" t="s">
        <v>28</v>
      </c>
      <c r="AL5" s="105" t="s">
        <v>29</v>
      </c>
      <c r="AM5" s="105" t="s">
        <v>30</v>
      </c>
      <c r="AN5" s="105" t="s">
        <v>31</v>
      </c>
      <c r="AO5" s="105" t="s">
        <v>32</v>
      </c>
      <c r="AP5" s="105" t="s">
        <v>33</v>
      </c>
      <c r="AQ5" s="105" t="s">
        <v>34</v>
      </c>
      <c r="AR5" s="105" t="s">
        <v>35</v>
      </c>
      <c r="AS5" s="105" t="s">
        <v>36</v>
      </c>
      <c r="AT5" s="105" t="s">
        <v>37</v>
      </c>
      <c r="AU5" s="105" t="s">
        <v>38</v>
      </c>
      <c r="AV5" s="105" t="s">
        <v>39</v>
      </c>
      <c r="AW5" s="105" t="s">
        <v>40</v>
      </c>
      <c r="AX5" s="105" t="s">
        <v>41</v>
      </c>
      <c r="AY5" s="105" t="s">
        <v>42</v>
      </c>
      <c r="AZ5" s="105" t="s">
        <v>43</v>
      </c>
      <c r="BA5" s="105" t="s">
        <v>44</v>
      </c>
      <c r="BB5" s="105" t="s">
        <v>45</v>
      </c>
      <c r="BC5" s="105" t="s">
        <v>46</v>
      </c>
      <c r="BD5" s="105" t="s">
        <v>47</v>
      </c>
      <c r="BE5" s="105" t="s">
        <v>48</v>
      </c>
      <c r="BF5" s="105" t="s">
        <v>49</v>
      </c>
      <c r="BG5" s="105" t="s">
        <v>50</v>
      </c>
      <c r="BH5" s="105" t="s">
        <v>51</v>
      </c>
      <c r="BI5" s="105" t="s">
        <v>52</v>
      </c>
      <c r="BJ5" s="105" t="s">
        <v>53</v>
      </c>
      <c r="BK5" s="105" t="s">
        <v>54</v>
      </c>
      <c r="BL5" s="105" t="s">
        <v>55</v>
      </c>
      <c r="BM5" s="105" t="s">
        <v>56</v>
      </c>
      <c r="BN5" s="105" t="s">
        <v>57</v>
      </c>
      <c r="BO5" s="105" t="s">
        <v>58</v>
      </c>
      <c r="BP5" s="105" t="s">
        <v>59</v>
      </c>
      <c r="BQ5" s="105" t="s">
        <v>60</v>
      </c>
      <c r="BR5" s="105" t="s">
        <v>61</v>
      </c>
      <c r="BS5" s="105" t="s">
        <v>131</v>
      </c>
      <c r="BT5" s="105" t="s">
        <v>132</v>
      </c>
      <c r="BU5" s="105" t="s">
        <v>62</v>
      </c>
      <c r="BV5" s="105" t="s">
        <v>63</v>
      </c>
      <c r="BW5" s="105" t="s">
        <v>64</v>
      </c>
      <c r="BX5" s="105" t="s">
        <v>65</v>
      </c>
      <c r="BY5" s="105" t="s">
        <v>66</v>
      </c>
      <c r="BZ5" s="105" t="s">
        <v>67</v>
      </c>
      <c r="CA5" s="105" t="s">
        <v>68</v>
      </c>
      <c r="CB5" s="105" t="s">
        <v>69</v>
      </c>
      <c r="CC5" s="105" t="s">
        <v>70</v>
      </c>
      <c r="CD5" s="105" t="s">
        <v>71</v>
      </c>
      <c r="CE5" s="105" t="s">
        <v>72</v>
      </c>
      <c r="CF5" s="105" t="s">
        <v>73</v>
      </c>
      <c r="CG5" s="105" t="s">
        <v>133</v>
      </c>
      <c r="CH5" s="105" t="s">
        <v>134</v>
      </c>
      <c r="CI5" s="105" t="s">
        <v>74</v>
      </c>
      <c r="CJ5" s="105" t="s">
        <v>135</v>
      </c>
      <c r="CL5" s="105" t="s">
        <v>136</v>
      </c>
      <c r="CM5" s="105" t="s">
        <v>137</v>
      </c>
      <c r="CN5" s="105" t="s">
        <v>138</v>
      </c>
      <c r="CO5" s="105" t="s">
        <v>139</v>
      </c>
      <c r="CP5" s="105" t="s">
        <v>140</v>
      </c>
      <c r="CQ5" s="105" t="s">
        <v>141</v>
      </c>
      <c r="CR5" s="105" t="s">
        <v>142</v>
      </c>
      <c r="CS5" s="105" t="s">
        <v>75</v>
      </c>
      <c r="CT5" s="105" t="s">
        <v>76</v>
      </c>
      <c r="CW5" s="105" t="s">
        <v>136</v>
      </c>
      <c r="CX5" s="105" t="s">
        <v>137</v>
      </c>
      <c r="CY5" s="105" t="s">
        <v>138</v>
      </c>
      <c r="CZ5" s="105" t="s">
        <v>139</v>
      </c>
      <c r="DA5" s="105" t="s">
        <v>140</v>
      </c>
      <c r="DB5" s="105" t="s">
        <v>141</v>
      </c>
      <c r="DC5" s="105" t="s">
        <v>142</v>
      </c>
      <c r="DD5" s="105" t="s">
        <v>75</v>
      </c>
      <c r="DE5" s="105" t="s">
        <v>76</v>
      </c>
      <c r="DF5" s="105" t="s">
        <v>77</v>
      </c>
    </row>
    <row r="6" spans="1:110" s="105" customFormat="1">
      <c r="B6" s="104"/>
      <c r="C6" s="104"/>
      <c r="D6" s="104"/>
    </row>
    <row r="7" spans="1:110" s="105" customFormat="1">
      <c r="B7" s="104"/>
      <c r="C7" s="104"/>
      <c r="D7" s="104"/>
    </row>
    <row r="8" spans="1:110" s="105" customFormat="1">
      <c r="B8" s="104"/>
      <c r="C8" s="104"/>
      <c r="D8" s="104"/>
    </row>
    <row r="9" spans="1:110" s="105" customFormat="1">
      <c r="B9" s="104"/>
      <c r="C9" s="104"/>
      <c r="D9" s="104"/>
    </row>
    <row r="10" spans="1:110" s="105" customFormat="1">
      <c r="B10" s="104"/>
      <c r="C10" s="104"/>
      <c r="D10" s="104"/>
    </row>
    <row r="11" spans="1:110" s="105" customFormat="1">
      <c r="B11" s="104"/>
      <c r="C11" s="104"/>
      <c r="D11" s="104"/>
    </row>
    <row r="12" spans="1:110" s="105" customFormat="1">
      <c r="B12" s="104"/>
      <c r="C12" s="104"/>
      <c r="D12" s="104"/>
    </row>
    <row r="13" spans="1:110" s="113" customFormat="1">
      <c r="A13" s="113" t="s">
        <v>238</v>
      </c>
      <c r="B13" s="114">
        <v>0.68124691415020699</v>
      </c>
      <c r="C13" s="114">
        <v>0.47599718884036307</v>
      </c>
      <c r="D13" s="114">
        <v>0.8113055892424873</v>
      </c>
      <c r="E13" s="113">
        <v>3406009.334700386</v>
      </c>
      <c r="F13" s="113">
        <v>4999669.3767766571</v>
      </c>
      <c r="G13" s="113">
        <v>6162498.3767766571</v>
      </c>
      <c r="H13" s="113">
        <v>4427528.25</v>
      </c>
      <c r="I13" s="113">
        <v>1199214.7261904762</v>
      </c>
      <c r="J13" s="113">
        <v>4549088.3000000007</v>
      </c>
      <c r="K13" s="113">
        <v>1141022.3420762711</v>
      </c>
      <c r="L13" s="113">
        <v>6527</v>
      </c>
      <c r="M13" s="113">
        <v>44226</v>
      </c>
      <c r="N13" s="113">
        <v>61190</v>
      </c>
      <c r="O13" s="113">
        <v>20139</v>
      </c>
      <c r="P13" s="113">
        <v>56968.7</v>
      </c>
      <c r="Q13" s="113">
        <v>51321</v>
      </c>
      <c r="R13" s="113">
        <v>345</v>
      </c>
      <c r="S13" s="113">
        <v>8734</v>
      </c>
      <c r="T13" s="113">
        <v>0</v>
      </c>
      <c r="U13" s="113">
        <v>2403</v>
      </c>
      <c r="V13" s="113">
        <v>591</v>
      </c>
      <c r="W13" s="113">
        <v>245895.7</v>
      </c>
      <c r="X13" s="113">
        <v>70446</v>
      </c>
      <c r="Z13" s="113">
        <v>15639</v>
      </c>
      <c r="AB13" s="113">
        <v>0</v>
      </c>
      <c r="AC13" s="113">
        <v>0</v>
      </c>
      <c r="AD13" s="113">
        <v>0</v>
      </c>
      <c r="AE13" s="113">
        <v>86221</v>
      </c>
      <c r="AF13" s="113">
        <v>85820</v>
      </c>
      <c r="AH13" s="113">
        <v>1989</v>
      </c>
      <c r="AI13" s="113">
        <v>12749</v>
      </c>
      <c r="AJ13" s="113">
        <v>460</v>
      </c>
      <c r="AK13" s="113">
        <v>5241</v>
      </c>
      <c r="AL13" s="113">
        <v>0</v>
      </c>
      <c r="AM13" s="113">
        <v>7874</v>
      </c>
      <c r="AN13" s="113">
        <v>0</v>
      </c>
      <c r="AO13" s="113">
        <v>114061</v>
      </c>
      <c r="AP13" s="113">
        <v>86500</v>
      </c>
      <c r="AQ13" s="113">
        <v>150</v>
      </c>
      <c r="AR13" s="113">
        <v>16265</v>
      </c>
      <c r="AS13" s="113">
        <v>35806</v>
      </c>
      <c r="AT13" s="113">
        <v>21208</v>
      </c>
      <c r="AU13" s="113">
        <v>344339</v>
      </c>
      <c r="AV13" s="113">
        <v>134710</v>
      </c>
      <c r="AW13" s="113">
        <v>8205</v>
      </c>
      <c r="AX13" s="113">
        <v>0</v>
      </c>
      <c r="AY13" s="113">
        <v>971</v>
      </c>
      <c r="AZ13" s="113">
        <v>14243</v>
      </c>
      <c r="BA13" s="113">
        <v>351940</v>
      </c>
      <c r="BB13" s="113">
        <v>81641</v>
      </c>
      <c r="BC13" s="113">
        <v>44475</v>
      </c>
      <c r="BD13" s="113">
        <v>791</v>
      </c>
      <c r="BE13" s="113">
        <v>21595</v>
      </c>
      <c r="BF13" s="113">
        <v>1162829</v>
      </c>
      <c r="BG13" s="113">
        <v>67463</v>
      </c>
      <c r="BH13" s="113">
        <v>57188</v>
      </c>
      <c r="BI13" s="113">
        <v>3599</v>
      </c>
      <c r="BJ13" s="113">
        <v>1041</v>
      </c>
      <c r="BK13" s="113">
        <v>782854</v>
      </c>
      <c r="BM13" s="113">
        <v>0</v>
      </c>
      <c r="BN13" s="113">
        <v>455873</v>
      </c>
      <c r="BO13" s="113">
        <v>120</v>
      </c>
      <c r="BP13" s="113">
        <v>71595</v>
      </c>
      <c r="BQ13" s="113">
        <v>0</v>
      </c>
      <c r="BR13" s="113">
        <v>960</v>
      </c>
      <c r="BS13" s="113">
        <v>228630</v>
      </c>
      <c r="BT13" s="113">
        <v>240</v>
      </c>
      <c r="BU13" s="113">
        <v>0</v>
      </c>
      <c r="BV13" s="113">
        <v>0</v>
      </c>
      <c r="BW13" s="113">
        <v>0</v>
      </c>
      <c r="BX13" s="113">
        <v>0</v>
      </c>
      <c r="BY13" s="113">
        <v>0</v>
      </c>
      <c r="BZ13" s="113">
        <v>0</v>
      </c>
      <c r="CA13" s="113">
        <v>1669573</v>
      </c>
      <c r="CL13" s="113">
        <v>197</v>
      </c>
      <c r="CM13" s="113">
        <v>350</v>
      </c>
      <c r="CN13" s="113">
        <v>3856</v>
      </c>
      <c r="CO13" s="113">
        <v>17590</v>
      </c>
      <c r="CP13" s="113">
        <v>1122</v>
      </c>
      <c r="CQ13" s="113">
        <v>532</v>
      </c>
      <c r="CR13" s="113">
        <v>1164</v>
      </c>
      <c r="CS13" s="113">
        <v>0</v>
      </c>
      <c r="CT13" s="113">
        <v>37461</v>
      </c>
      <c r="CW13" s="113">
        <v>0</v>
      </c>
      <c r="CX13" s="113">
        <v>0</v>
      </c>
      <c r="CY13" s="113">
        <v>56</v>
      </c>
      <c r="CZ13" s="113">
        <v>5</v>
      </c>
      <c r="DA13" s="113">
        <v>0</v>
      </c>
      <c r="DB13" s="113">
        <v>6</v>
      </c>
      <c r="DC13" s="113">
        <v>8</v>
      </c>
      <c r="DD13" s="113">
        <v>0</v>
      </c>
      <c r="DE13" s="113">
        <v>195</v>
      </c>
      <c r="DF13" s="113">
        <v>2</v>
      </c>
    </row>
    <row r="14" spans="1:110" s="105" customFormat="1">
      <c r="B14" s="104"/>
      <c r="C14" s="104"/>
      <c r="D14" s="104"/>
    </row>
    <row r="15" spans="1:110" s="105" customFormat="1">
      <c r="B15" s="104"/>
      <c r="C15" s="104"/>
      <c r="D15" s="104"/>
    </row>
    <row r="16" spans="1:110" s="105" customFormat="1">
      <c r="B16" s="104"/>
      <c r="C16" s="104"/>
      <c r="D16" s="104"/>
    </row>
    <row r="17" spans="1:106" s="105" customFormat="1"/>
    <row r="22" spans="1:106">
      <c r="A22">
        <v>1</v>
      </c>
      <c r="B22">
        <v>2</v>
      </c>
      <c r="C22">
        <v>3</v>
      </c>
      <c r="D22">
        <v>4</v>
      </c>
      <c r="E22">
        <v>5</v>
      </c>
      <c r="F22">
        <v>6</v>
      </c>
      <c r="G22">
        <v>7</v>
      </c>
      <c r="H22">
        <v>8</v>
      </c>
      <c r="I22">
        <v>9</v>
      </c>
      <c r="J22">
        <v>10</v>
      </c>
      <c r="K22">
        <v>11</v>
      </c>
      <c r="L22">
        <v>12</v>
      </c>
      <c r="M22">
        <v>13</v>
      </c>
      <c r="N22">
        <v>14</v>
      </c>
      <c r="O22">
        <v>15</v>
      </c>
      <c r="P22">
        <v>16</v>
      </c>
      <c r="Q22">
        <v>17</v>
      </c>
      <c r="R22">
        <v>18</v>
      </c>
      <c r="S22">
        <v>19</v>
      </c>
      <c r="T22">
        <v>20</v>
      </c>
      <c r="U22">
        <v>21</v>
      </c>
      <c r="V22">
        <v>22</v>
      </c>
      <c r="W22">
        <v>23</v>
      </c>
      <c r="X22">
        <v>24</v>
      </c>
      <c r="Y22">
        <v>26</v>
      </c>
      <c r="Z22">
        <v>28</v>
      </c>
      <c r="AA22">
        <v>29</v>
      </c>
      <c r="AB22">
        <v>30</v>
      </c>
      <c r="AC22">
        <v>31</v>
      </c>
      <c r="AD22">
        <v>32</v>
      </c>
      <c r="AE22">
        <v>34</v>
      </c>
      <c r="AF22">
        <v>35</v>
      </c>
      <c r="AG22">
        <v>36</v>
      </c>
      <c r="AH22">
        <v>37</v>
      </c>
      <c r="AI22">
        <v>38</v>
      </c>
      <c r="AJ22">
        <v>39</v>
      </c>
      <c r="AK22">
        <v>40</v>
      </c>
      <c r="AL22">
        <v>41</v>
      </c>
      <c r="AM22">
        <v>42</v>
      </c>
      <c r="AN22">
        <v>43</v>
      </c>
      <c r="AO22">
        <v>44</v>
      </c>
      <c r="AP22">
        <v>45</v>
      </c>
      <c r="AQ22">
        <v>46</v>
      </c>
      <c r="AR22">
        <v>47</v>
      </c>
      <c r="AS22">
        <v>48</v>
      </c>
      <c r="AT22">
        <v>49</v>
      </c>
      <c r="AU22">
        <v>50</v>
      </c>
      <c r="AV22">
        <v>51</v>
      </c>
      <c r="AW22">
        <v>52</v>
      </c>
      <c r="AX22">
        <v>53</v>
      </c>
      <c r="AY22">
        <v>54</v>
      </c>
      <c r="AZ22">
        <v>55</v>
      </c>
      <c r="BA22">
        <v>56</v>
      </c>
      <c r="BB22">
        <v>57</v>
      </c>
      <c r="BC22">
        <v>58</v>
      </c>
      <c r="BD22">
        <v>59</v>
      </c>
      <c r="BE22">
        <v>60</v>
      </c>
      <c r="BF22">
        <v>61</v>
      </c>
      <c r="BG22">
        <v>62</v>
      </c>
      <c r="BH22">
        <v>63</v>
      </c>
      <c r="BI22">
        <v>65</v>
      </c>
      <c r="BJ22">
        <v>66</v>
      </c>
      <c r="BK22">
        <v>67</v>
      </c>
      <c r="BL22">
        <v>68</v>
      </c>
      <c r="BM22">
        <v>69</v>
      </c>
      <c r="BN22">
        <v>70</v>
      </c>
      <c r="BO22">
        <v>71</v>
      </c>
      <c r="BP22">
        <v>72</v>
      </c>
      <c r="BQ22">
        <v>73</v>
      </c>
      <c r="BR22">
        <v>74</v>
      </c>
      <c r="BS22">
        <v>75</v>
      </c>
      <c r="BT22">
        <v>76</v>
      </c>
      <c r="BU22">
        <v>77</v>
      </c>
      <c r="BV22">
        <v>78</v>
      </c>
      <c r="BW22">
        <v>79</v>
      </c>
      <c r="BX22">
        <v>90</v>
      </c>
      <c r="BY22">
        <v>91</v>
      </c>
      <c r="BZ22">
        <v>92</v>
      </c>
      <c r="CA22">
        <v>93</v>
      </c>
      <c r="CB22">
        <v>94</v>
      </c>
      <c r="CC22">
        <v>95</v>
      </c>
      <c r="CD22">
        <v>96</v>
      </c>
      <c r="CE22">
        <v>97</v>
      </c>
      <c r="CF22">
        <v>98</v>
      </c>
      <c r="CG22">
        <v>101</v>
      </c>
      <c r="CH22">
        <v>102</v>
      </c>
      <c r="CI22">
        <v>103</v>
      </c>
      <c r="CJ22">
        <v>104</v>
      </c>
      <c r="CK22">
        <v>105</v>
      </c>
      <c r="CL22">
        <v>106</v>
      </c>
      <c r="CM22">
        <v>107</v>
      </c>
      <c r="CN22">
        <v>108</v>
      </c>
      <c r="CO22">
        <v>109</v>
      </c>
      <c r="CP22">
        <v>110</v>
      </c>
      <c r="CQ22">
        <v>111</v>
      </c>
      <c r="CR22">
        <v>112</v>
      </c>
      <c r="CS22">
        <v>113</v>
      </c>
      <c r="CT22">
        <v>114</v>
      </c>
      <c r="CU22">
        <v>115</v>
      </c>
      <c r="CV22">
        <v>116</v>
      </c>
      <c r="CW22">
        <v>117</v>
      </c>
      <c r="CX22">
        <v>118</v>
      </c>
      <c r="CY22">
        <v>119</v>
      </c>
      <c r="CZ22">
        <v>120</v>
      </c>
      <c r="DA22">
        <v>121</v>
      </c>
      <c r="DB22">
        <v>122</v>
      </c>
    </row>
    <row r="23" spans="1:106">
      <c r="E23" s="110">
        <v>1</v>
      </c>
      <c r="F23" s="48">
        <v>1</v>
      </c>
      <c r="G23" s="48">
        <v>1</v>
      </c>
      <c r="H23" s="48">
        <v>1</v>
      </c>
      <c r="I23" s="110">
        <v>2</v>
      </c>
      <c r="J23" s="48">
        <v>2</v>
      </c>
      <c r="K23" s="48">
        <v>2</v>
      </c>
      <c r="L23" s="48">
        <v>2</v>
      </c>
      <c r="M23" s="110">
        <v>3</v>
      </c>
      <c r="N23" s="48">
        <v>3</v>
      </c>
      <c r="O23" s="48">
        <v>3</v>
      </c>
      <c r="P23" s="48">
        <v>3</v>
      </c>
      <c r="Q23" s="110">
        <v>4</v>
      </c>
      <c r="R23" s="48">
        <v>4</v>
      </c>
      <c r="S23" s="48">
        <v>4</v>
      </c>
      <c r="T23" s="48">
        <v>4</v>
      </c>
      <c r="U23" s="110">
        <v>5</v>
      </c>
      <c r="V23" s="48">
        <v>5</v>
      </c>
      <c r="W23" s="48">
        <v>5</v>
      </c>
      <c r="X23" s="48">
        <v>5</v>
      </c>
      <c r="Y23" s="110">
        <v>6</v>
      </c>
      <c r="Z23" s="48">
        <v>6</v>
      </c>
      <c r="AA23" s="48">
        <v>6</v>
      </c>
      <c r="AB23" s="48">
        <v>6</v>
      </c>
      <c r="AC23" s="110">
        <v>7</v>
      </c>
      <c r="AD23" s="48">
        <v>7</v>
      </c>
      <c r="AE23" s="48">
        <v>7</v>
      </c>
      <c r="AF23" s="48">
        <v>7</v>
      </c>
      <c r="AG23" s="110">
        <v>8</v>
      </c>
      <c r="AH23" s="48">
        <v>8</v>
      </c>
      <c r="AI23" s="48">
        <v>8</v>
      </c>
      <c r="AJ23" s="48">
        <v>8</v>
      </c>
      <c r="AK23" s="110">
        <v>9</v>
      </c>
      <c r="AL23" s="48">
        <v>9</v>
      </c>
      <c r="AM23" s="48">
        <v>9</v>
      </c>
      <c r="AN23" s="48">
        <v>9</v>
      </c>
      <c r="AO23" s="110">
        <v>10</v>
      </c>
      <c r="AP23" s="48">
        <v>10</v>
      </c>
      <c r="AQ23" s="48">
        <v>10</v>
      </c>
      <c r="AR23" s="48">
        <v>10</v>
      </c>
      <c r="AS23" s="110">
        <v>11</v>
      </c>
      <c r="AT23" s="48">
        <v>11</v>
      </c>
      <c r="AU23" s="48">
        <v>11</v>
      </c>
      <c r="AV23" s="48">
        <v>11</v>
      </c>
      <c r="AW23" s="110">
        <v>12</v>
      </c>
      <c r="AX23" s="48">
        <v>12</v>
      </c>
      <c r="AY23" s="48">
        <v>12</v>
      </c>
      <c r="AZ23" s="48">
        <v>12</v>
      </c>
    </row>
    <row r="24" spans="1:106">
      <c r="A24" s="49"/>
      <c r="B24" s="50"/>
      <c r="C24" s="51" t="s">
        <v>144</v>
      </c>
      <c r="D24" s="51" t="s">
        <v>145</v>
      </c>
      <c r="E24" s="51" t="s">
        <v>146</v>
      </c>
      <c r="F24" s="52" t="s">
        <v>147</v>
      </c>
      <c r="G24" s="53" t="s">
        <v>148</v>
      </c>
      <c r="H24" s="53" t="s">
        <v>205</v>
      </c>
      <c r="I24" s="51" t="s">
        <v>146</v>
      </c>
      <c r="J24" s="53" t="s">
        <v>206</v>
      </c>
      <c r="K24" s="53" t="s">
        <v>148</v>
      </c>
      <c r="L24" s="53" t="s">
        <v>205</v>
      </c>
      <c r="M24" s="51" t="s">
        <v>146</v>
      </c>
      <c r="N24" s="53" t="s">
        <v>206</v>
      </c>
      <c r="O24" s="53" t="s">
        <v>148</v>
      </c>
      <c r="P24" s="53" t="s">
        <v>205</v>
      </c>
      <c r="Q24" s="51" t="s">
        <v>146</v>
      </c>
      <c r="R24" s="53" t="s">
        <v>206</v>
      </c>
      <c r="S24" s="53" t="s">
        <v>148</v>
      </c>
      <c r="T24" s="53" t="s">
        <v>205</v>
      </c>
      <c r="U24" s="51" t="s">
        <v>146</v>
      </c>
      <c r="V24" s="53" t="s">
        <v>206</v>
      </c>
      <c r="W24" s="53" t="s">
        <v>148</v>
      </c>
      <c r="X24" s="53" t="s">
        <v>205</v>
      </c>
      <c r="Y24" s="51" t="s">
        <v>146</v>
      </c>
      <c r="Z24" s="53" t="s">
        <v>206</v>
      </c>
      <c r="AA24" s="53" t="s">
        <v>148</v>
      </c>
      <c r="AB24" s="53" t="s">
        <v>205</v>
      </c>
      <c r="AC24" s="51" t="s">
        <v>146</v>
      </c>
      <c r="AD24" s="53" t="s">
        <v>206</v>
      </c>
      <c r="AE24" s="53" t="s">
        <v>148</v>
      </c>
      <c r="AF24" s="53" t="s">
        <v>205</v>
      </c>
      <c r="AG24" s="51" t="s">
        <v>146</v>
      </c>
      <c r="AH24" s="53" t="s">
        <v>206</v>
      </c>
      <c r="AI24" s="53" t="s">
        <v>148</v>
      </c>
      <c r="AJ24" s="53" t="s">
        <v>205</v>
      </c>
      <c r="AK24" s="51" t="s">
        <v>146</v>
      </c>
      <c r="AL24" s="53" t="s">
        <v>206</v>
      </c>
      <c r="AM24" s="53" t="s">
        <v>148</v>
      </c>
      <c r="AN24" s="53" t="s">
        <v>205</v>
      </c>
      <c r="AO24" s="51" t="s">
        <v>146</v>
      </c>
      <c r="AP24" s="53" t="s">
        <v>206</v>
      </c>
      <c r="AQ24" s="53" t="s">
        <v>148</v>
      </c>
      <c r="AR24" s="53" t="s">
        <v>205</v>
      </c>
      <c r="AS24" s="51" t="s">
        <v>146</v>
      </c>
      <c r="AT24" s="53" t="s">
        <v>206</v>
      </c>
      <c r="AU24" s="53" t="s">
        <v>148</v>
      </c>
      <c r="AV24" s="53" t="s">
        <v>205</v>
      </c>
      <c r="AW24" s="51" t="s">
        <v>146</v>
      </c>
      <c r="AX24" s="53" t="s">
        <v>206</v>
      </c>
      <c r="AY24" s="53" t="s">
        <v>148</v>
      </c>
      <c r="AZ24" s="53" t="s">
        <v>205</v>
      </c>
    </row>
    <row r="25" spans="1:106">
      <c r="A25" s="49">
        <v>1</v>
      </c>
      <c r="B25" s="54" t="s">
        <v>149</v>
      </c>
      <c r="C25" s="51" t="s">
        <v>130</v>
      </c>
      <c r="D25" s="55">
        <v>9.9999999999999995E-7</v>
      </c>
      <c r="E25" s="56">
        <f>(HLOOKUP($C25,$K$5:$BP$18,2,0))/60+D25</f>
        <v>9.9999999999999995E-7</v>
      </c>
      <c r="F25" s="57" t="s">
        <v>150</v>
      </c>
      <c r="G25" s="58">
        <f>LARGE($E$25:$E$65,A25)</f>
        <v>4.1E-5</v>
      </c>
      <c r="H25" s="59" t="str">
        <f>VLOOKUP(G25,$E$25:$F$65,2,0)</f>
        <v>车间内部人员上料、退料</v>
      </c>
      <c r="I25" s="56">
        <f t="shared" ref="I25:I65" si="0">(HLOOKUP($C25,$K$5:$BP$18,3,0))/60+D25</f>
        <v>9.9999999999999995E-7</v>
      </c>
      <c r="J25" s="57" t="s">
        <v>150</v>
      </c>
      <c r="K25" s="58">
        <f>LARGE($I$25:$I$65,A25)</f>
        <v>4.1E-5</v>
      </c>
      <c r="L25" s="59" t="str">
        <f>VLOOKUP(K25,$I$25:$J$65,2,0)</f>
        <v>车间内部人员上料、退料</v>
      </c>
      <c r="M25" s="56">
        <f t="shared" ref="M25:M65" si="1">(HLOOKUP($C25,$K$5:$BH$17,4,0))/60+D25</f>
        <v>9.9999999999999995E-7</v>
      </c>
      <c r="N25" s="57" t="s">
        <v>150</v>
      </c>
      <c r="O25" s="58">
        <f>LARGE($M$25:$M$65,A25)</f>
        <v>4.1E-5</v>
      </c>
      <c r="P25" s="59" t="str">
        <f>VLOOKUP(O25,$M$25:$N$65,2,0)</f>
        <v>车间内部人员上料、退料</v>
      </c>
      <c r="Q25" s="56">
        <f t="shared" ref="Q25:Q65" si="2">(HLOOKUP($C25,$K$5:$BH$17,5,0))/60+D25</f>
        <v>9.9999999999999995E-7</v>
      </c>
      <c r="R25" s="57" t="s">
        <v>150</v>
      </c>
      <c r="S25" s="58">
        <f t="shared" ref="S25:S65" si="3">LARGE($Q$25:$Q$65,$A25)</f>
        <v>4.1E-5</v>
      </c>
      <c r="T25" s="59" t="str">
        <f>VLOOKUP(S25,$Q$25:$R$65,2,0)</f>
        <v>车间内部人员上料、退料</v>
      </c>
      <c r="U25" s="56">
        <f>(HLOOKUP($C25,$K$5:$BH$17,6,0))/60+D25</f>
        <v>9.9999999999999995E-7</v>
      </c>
      <c r="V25" s="57" t="s">
        <v>150</v>
      </c>
      <c r="W25" s="58">
        <f t="shared" ref="W25:W65" si="4">LARGE($U$25:$U$65,$A25)</f>
        <v>4.1E-5</v>
      </c>
      <c r="X25" s="59" t="str">
        <f>VLOOKUP(W25,$U$25:$V$65,2,0)</f>
        <v>车间内部人员上料、退料</v>
      </c>
      <c r="Y25" s="111">
        <f>(HLOOKUP($C25,$K$5:$BH$17,7,0))/60+$D25</f>
        <v>9.9999999999999995E-7</v>
      </c>
      <c r="Z25" s="57" t="s">
        <v>150</v>
      </c>
      <c r="AA25" s="58">
        <f>LARGE($Y$25:$Y$65,$A25)</f>
        <v>4.1E-5</v>
      </c>
      <c r="AB25" s="59" t="str">
        <f>VLOOKUP(AA25,$Y$25:$Z$65,2,0)</f>
        <v>车间内部人员上料、退料</v>
      </c>
      <c r="AC25" s="111">
        <f>(HLOOKUP($C25,$K$5:$BH$17,8,0))/60+$D25</f>
        <v>9.9999999999999995E-7</v>
      </c>
      <c r="AD25" s="57" t="s">
        <v>150</v>
      </c>
      <c r="AE25" s="58">
        <f>LARGE($AC$25:$AC$65,$A25)</f>
        <v>4.1E-5</v>
      </c>
      <c r="AF25" s="59" t="str">
        <f>VLOOKUP(AE25,$AC$25:$AD$65,2,0)</f>
        <v>车间内部人员上料、退料</v>
      </c>
      <c r="AG25" s="56">
        <f>(HLOOKUP($C25,$K$5:$BH$17,9,0))/60+$D25</f>
        <v>19017.039035604517</v>
      </c>
      <c r="AH25" s="57" t="s">
        <v>150</v>
      </c>
      <c r="AI25" s="58">
        <f>LARGE($AG$25:$AG$65,$A25)</f>
        <v>19017.039035604517</v>
      </c>
      <c r="AJ25" s="59" t="str">
        <f>VLOOKUP(AI25,$AG$25:$AH$65,2,0)</f>
        <v>效率损失</v>
      </c>
      <c r="AK25" s="115">
        <f>(HLOOKUP($C25,$K$5:$BH$17,10,0))/60+$D25</f>
        <v>9.9999999999999995E-7</v>
      </c>
      <c r="AL25" s="57" t="s">
        <v>150</v>
      </c>
      <c r="AM25" s="58">
        <f t="shared" ref="AM25:AM65" si="5">IFERROR(LARGE($AK$25:$AK$65,$A25),"")</f>
        <v>4.1E-5</v>
      </c>
      <c r="AN25" s="59" t="str">
        <f>VLOOKUP(AM25,$AK$25:$AL$65,2,0)</f>
        <v>车间内部人员上料、退料</v>
      </c>
      <c r="AO25" s="56">
        <f t="shared" ref="AO25:AO65" si="6">(HLOOKUP($C25,$K$5:$BP$18,11,0))/60+D25</f>
        <v>9.9999999999999995E-7</v>
      </c>
      <c r="AP25" s="57" t="s">
        <v>150</v>
      </c>
      <c r="AQ25" s="58">
        <f t="shared" ref="AQ25:AQ65" si="7">IFERROR(LARGE($AO$25:$AO$65,$A25),"")</f>
        <v>4.1E-5</v>
      </c>
      <c r="AR25" s="59" t="str">
        <f>VLOOKUP(AQ25,$AO$25:$AP$65,2,0)</f>
        <v>车间内部人员上料、退料</v>
      </c>
      <c r="AS25" s="56">
        <f t="shared" ref="AS25:AS65" si="8">(HLOOKUP($C25,$K$5:$BP$18,12,0))/60+D25</f>
        <v>9.9999999999999995E-7</v>
      </c>
      <c r="AT25" s="57" t="s">
        <v>150</v>
      </c>
      <c r="AU25" s="58">
        <f t="shared" ref="AU25:AU65" si="9">IFERROR(LARGE($AS$25:$AS$65,$A25),"")</f>
        <v>4.1E-5</v>
      </c>
      <c r="AV25" s="59" t="str">
        <f>VLOOKUP(AU25,$AS$25:$AT$65,2,0)</f>
        <v>车间内部人员上料、退料</v>
      </c>
      <c r="AW25" s="56">
        <f t="shared" ref="AW25:AW65" si="10">(HLOOKUP($C25,$K$5:$BP$18,13,0))/60+D25</f>
        <v>9.9999999999999995E-7</v>
      </c>
      <c r="AX25" s="57" t="s">
        <v>150</v>
      </c>
      <c r="AY25" s="58" t="str">
        <f t="shared" ref="AY25:AY65" ca="1" si="11">IFERROR(LARGE($AW$25:$BV$65,$A25),"")</f>
        <v/>
      </c>
      <c r="AZ25" s="59" t="str">
        <f ca="1">IFERROR(VLOOKUP(AY25,$AW$25:$AX$65,2,0),"")</f>
        <v/>
      </c>
    </row>
    <row r="26" spans="1:106">
      <c r="A26" s="49">
        <v>2</v>
      </c>
      <c r="B26" s="60"/>
      <c r="C26" s="51" t="s">
        <v>3</v>
      </c>
      <c r="D26" s="55">
        <v>1.9999999999999999E-6</v>
      </c>
      <c r="E26" s="56">
        <f t="shared" ref="E26:E65" si="12">(HLOOKUP($C26,$K$5:$BP$18,2,0))/60+D26</f>
        <v>1.9999999999999999E-6</v>
      </c>
      <c r="F26" s="57" t="s">
        <v>151</v>
      </c>
      <c r="G26" s="58">
        <f t="shared" ref="G26:G65" si="13">LARGE($E$25:$E$65,A26)</f>
        <v>4.0000000000000003E-5</v>
      </c>
      <c r="H26" s="59" t="str">
        <f t="shared" ref="H26:H65" si="14">VLOOKUP(G26,$E$25:$F$65,2,0)</f>
        <v>操作员领辅料</v>
      </c>
      <c r="I26" s="56">
        <f t="shared" si="0"/>
        <v>1.9999999999999999E-6</v>
      </c>
      <c r="J26" s="57" t="s">
        <v>151</v>
      </c>
      <c r="K26" s="58">
        <f t="shared" ref="K26:K65" si="15">LARGE($I$25:$I$65,A26)</f>
        <v>4.0000000000000003E-5</v>
      </c>
      <c r="L26" s="59" t="str">
        <f t="shared" ref="L26:L65" si="16">VLOOKUP(K26,$I$25:$J$65,2,0)</f>
        <v>操作员领辅料</v>
      </c>
      <c r="M26" s="56">
        <f t="shared" si="1"/>
        <v>1.9999999999999999E-6</v>
      </c>
      <c r="N26" s="57" t="s">
        <v>151</v>
      </c>
      <c r="O26" s="58">
        <f t="shared" ref="O26:O65" si="17">LARGE($M$25:$M$65,A26)</f>
        <v>4.0000000000000003E-5</v>
      </c>
      <c r="P26" s="59" t="str">
        <f t="shared" ref="P26:P65" si="18">VLOOKUP(O26,$M$25:$N$65,2,0)</f>
        <v>操作员领辅料</v>
      </c>
      <c r="Q26" s="56">
        <f t="shared" si="2"/>
        <v>1.9999999999999999E-6</v>
      </c>
      <c r="R26" s="57" t="s">
        <v>151</v>
      </c>
      <c r="S26" s="58">
        <f t="shared" si="3"/>
        <v>4.0000000000000003E-5</v>
      </c>
      <c r="T26" s="59" t="str">
        <f t="shared" ref="T26:T65" si="19">VLOOKUP(S26,$Q$25:$R$65,2,0)</f>
        <v>操作员领辅料</v>
      </c>
      <c r="U26" s="56">
        <f t="shared" ref="U26:U65" si="20">(HLOOKUP($C26,$K$5:$BH$17,6,0))/60+D26</f>
        <v>1.9999999999999999E-6</v>
      </c>
      <c r="V26" s="57" t="s">
        <v>151</v>
      </c>
      <c r="W26" s="58">
        <f t="shared" si="4"/>
        <v>4.0000000000000003E-5</v>
      </c>
      <c r="X26" s="59" t="str">
        <f t="shared" ref="X26:X65" si="21">VLOOKUP(W26,$U$25:$V$65,2,0)</f>
        <v>操作员领辅料</v>
      </c>
      <c r="Y26" s="111">
        <f t="shared" ref="Y26:Y65" si="22">(HLOOKUP($C26,$K$5:$BH$17,7,0))/60+$D26</f>
        <v>1.9999999999999999E-6</v>
      </c>
      <c r="Z26" s="57" t="s">
        <v>151</v>
      </c>
      <c r="AA26" s="58">
        <f t="shared" ref="AA26:AA65" si="23">LARGE($Y$25:$Y$65,$A26)</f>
        <v>4.0000000000000003E-5</v>
      </c>
      <c r="AB26" s="59" t="str">
        <f t="shared" ref="AB26:AB65" si="24">VLOOKUP(AA26,$Y$25:$Z$65,2,0)</f>
        <v>操作员领辅料</v>
      </c>
      <c r="AC26" s="111">
        <f t="shared" ref="AC26:AC65" si="25">(HLOOKUP($C26,$K$5:$BH$17,8,0))/60+$D26</f>
        <v>1.9999999999999999E-6</v>
      </c>
      <c r="AD26" s="57" t="s">
        <v>151</v>
      </c>
      <c r="AE26" s="58">
        <f t="shared" ref="AE26:AE65" si="26">LARGE($AC$25:$AC$65,$A26)</f>
        <v>4.0000000000000003E-5</v>
      </c>
      <c r="AF26" s="59" t="str">
        <f t="shared" ref="AF26:AF65" si="27">VLOOKUP(AE26,$AC$25:$AD$65,2,0)</f>
        <v>操作员领辅料</v>
      </c>
      <c r="AG26" s="56">
        <f t="shared" ref="AG26:AG65" si="28">(HLOOKUP($C26,$K$5:$BH$17,9,0))/60+$D26</f>
        <v>108.78333533333333</v>
      </c>
      <c r="AH26" s="57" t="s">
        <v>151</v>
      </c>
      <c r="AI26" s="58">
        <f t="shared" ref="AI26:AI65" si="29">LARGE($AG$25:$AG$65,$A26)</f>
        <v>5865.6667036666668</v>
      </c>
      <c r="AJ26" s="59" t="str">
        <f t="shared" ref="AJ26:AJ65" si="30">VLOOKUP(AI26,$AG$25:$AH$65,2,0)</f>
        <v>车间人员上料等</v>
      </c>
      <c r="AK26" s="115">
        <f t="shared" ref="AK26:AK65" si="31">(HLOOKUP($C26,$K$5:$BH$17,10,0))/60+$D26</f>
        <v>1.9999999999999999E-6</v>
      </c>
      <c r="AL26" s="57" t="s">
        <v>151</v>
      </c>
      <c r="AM26" s="58">
        <f t="shared" si="5"/>
        <v>4.0000000000000003E-5</v>
      </c>
      <c r="AN26" s="59" t="str">
        <f t="shared" ref="AN26:AN65" si="32">VLOOKUP(AM26,$AK$25:$AL$65,2,0)</f>
        <v>操作员领辅料</v>
      </c>
      <c r="AO26" s="56">
        <f t="shared" si="6"/>
        <v>1.9999999999999999E-6</v>
      </c>
      <c r="AP26" s="57" t="s">
        <v>151</v>
      </c>
      <c r="AQ26" s="58">
        <f t="shared" si="7"/>
        <v>4.0000000000000003E-5</v>
      </c>
      <c r="AR26" s="59" t="str">
        <f t="shared" ref="AR26:AR65" si="33">VLOOKUP(AQ26,$AO$25:$AP$65,2,0)</f>
        <v>操作员领辅料</v>
      </c>
      <c r="AS26" s="56">
        <f t="shared" si="8"/>
        <v>1.9999999999999999E-6</v>
      </c>
      <c r="AT26" s="57" t="s">
        <v>151</v>
      </c>
      <c r="AU26" s="58">
        <f t="shared" si="9"/>
        <v>4.0000000000000003E-5</v>
      </c>
      <c r="AV26" s="59" t="str">
        <f t="shared" ref="AV26:AV65" si="34">VLOOKUP(AU26,$AS$25:$AT$65,2,0)</f>
        <v>操作员领辅料</v>
      </c>
      <c r="AW26" s="56">
        <f t="shared" si="10"/>
        <v>1.9999999999999999E-6</v>
      </c>
      <c r="AX26" s="57" t="s">
        <v>151</v>
      </c>
      <c r="AY26" s="58" t="str">
        <f t="shared" ca="1" si="11"/>
        <v/>
      </c>
      <c r="AZ26" s="59" t="str">
        <f t="shared" ref="AZ26:AZ65" ca="1" si="35">IFERROR(VLOOKUP(AY26,$AW$25:$AX$65,2,0),"")</f>
        <v/>
      </c>
    </row>
    <row r="27" spans="1:106">
      <c r="A27" s="49">
        <v>3</v>
      </c>
      <c r="B27" s="60"/>
      <c r="C27" s="51" t="s">
        <v>4</v>
      </c>
      <c r="D27" s="55">
        <v>3.0000000000000001E-6</v>
      </c>
      <c r="E27" s="56">
        <f t="shared" si="12"/>
        <v>3.0000000000000001E-6</v>
      </c>
      <c r="F27" s="57" t="s">
        <v>152</v>
      </c>
      <c r="G27" s="58">
        <f t="shared" si="13"/>
        <v>3.8999999999999999E-5</v>
      </c>
      <c r="H27" s="59" t="str">
        <f t="shared" si="14"/>
        <v>操作员集中打标签</v>
      </c>
      <c r="I27" s="56">
        <f t="shared" si="0"/>
        <v>3.0000000000000001E-6</v>
      </c>
      <c r="J27" s="57" t="s">
        <v>152</v>
      </c>
      <c r="K27" s="58">
        <f t="shared" si="15"/>
        <v>3.8999999999999999E-5</v>
      </c>
      <c r="L27" s="59" t="str">
        <f t="shared" si="16"/>
        <v>操作员集中打标签</v>
      </c>
      <c r="M27" s="56">
        <f t="shared" si="1"/>
        <v>3.0000000000000001E-6</v>
      </c>
      <c r="N27" s="57" t="s">
        <v>152</v>
      </c>
      <c r="O27" s="58">
        <f t="shared" si="17"/>
        <v>3.8999999999999999E-5</v>
      </c>
      <c r="P27" s="59" t="str">
        <f t="shared" si="18"/>
        <v>操作员集中打标签</v>
      </c>
      <c r="Q27" s="56">
        <f t="shared" si="2"/>
        <v>3.0000000000000001E-6</v>
      </c>
      <c r="R27" s="57" t="s">
        <v>152</v>
      </c>
      <c r="S27" s="58">
        <f t="shared" si="3"/>
        <v>3.8999999999999999E-5</v>
      </c>
      <c r="T27" s="59" t="str">
        <f t="shared" si="19"/>
        <v>操作员集中打标签</v>
      </c>
      <c r="U27" s="56">
        <f t="shared" si="20"/>
        <v>3.0000000000000001E-6</v>
      </c>
      <c r="V27" s="57" t="s">
        <v>152</v>
      </c>
      <c r="W27" s="58">
        <f t="shared" si="4"/>
        <v>3.8999999999999999E-5</v>
      </c>
      <c r="X27" s="59" t="str">
        <f t="shared" si="21"/>
        <v>操作员集中打标签</v>
      </c>
      <c r="Y27" s="111">
        <f t="shared" si="22"/>
        <v>3.0000000000000001E-6</v>
      </c>
      <c r="Z27" s="57" t="s">
        <v>152</v>
      </c>
      <c r="AA27" s="58">
        <f t="shared" si="23"/>
        <v>3.8999999999999999E-5</v>
      </c>
      <c r="AB27" s="59" t="str">
        <f t="shared" si="24"/>
        <v>操作员集中打标签</v>
      </c>
      <c r="AC27" s="111">
        <f t="shared" si="25"/>
        <v>3.0000000000000001E-6</v>
      </c>
      <c r="AD27" s="57" t="s">
        <v>152</v>
      </c>
      <c r="AE27" s="58">
        <f t="shared" si="26"/>
        <v>3.8999999999999999E-5</v>
      </c>
      <c r="AF27" s="59" t="str">
        <f t="shared" si="27"/>
        <v>操作员集中打标签</v>
      </c>
      <c r="AG27" s="56">
        <f t="shared" si="28"/>
        <v>737.10000300000002</v>
      </c>
      <c r="AH27" s="57" t="s">
        <v>152</v>
      </c>
      <c r="AI27" s="58">
        <f t="shared" si="29"/>
        <v>5738.9833643333332</v>
      </c>
      <c r="AJ27" s="59" t="str">
        <f t="shared" si="30"/>
        <v xml:space="preserve">仓库人员 </v>
      </c>
      <c r="AK27" s="115">
        <f t="shared" si="31"/>
        <v>3.0000000000000001E-6</v>
      </c>
      <c r="AL27" s="57" t="s">
        <v>152</v>
      </c>
      <c r="AM27" s="58">
        <f t="shared" si="5"/>
        <v>3.8999999999999999E-5</v>
      </c>
      <c r="AN27" s="59" t="str">
        <f t="shared" si="32"/>
        <v>操作员集中打标签</v>
      </c>
      <c r="AO27" s="56">
        <f t="shared" si="6"/>
        <v>3.0000000000000001E-6</v>
      </c>
      <c r="AP27" s="57" t="s">
        <v>152</v>
      </c>
      <c r="AQ27" s="58">
        <f t="shared" si="7"/>
        <v>3.8999999999999999E-5</v>
      </c>
      <c r="AR27" s="59" t="str">
        <f t="shared" si="33"/>
        <v>操作员集中打标签</v>
      </c>
      <c r="AS27" s="56">
        <f t="shared" si="8"/>
        <v>3.0000000000000001E-6</v>
      </c>
      <c r="AT27" s="57" t="s">
        <v>152</v>
      </c>
      <c r="AU27" s="58">
        <f t="shared" si="9"/>
        <v>3.8999999999999999E-5</v>
      </c>
      <c r="AV27" s="59" t="str">
        <f t="shared" si="34"/>
        <v>操作员集中打标签</v>
      </c>
      <c r="AW27" s="56">
        <f t="shared" si="10"/>
        <v>3.0000000000000001E-6</v>
      </c>
      <c r="AX27" s="57" t="s">
        <v>152</v>
      </c>
      <c r="AY27" s="58" t="str">
        <f t="shared" ca="1" si="11"/>
        <v/>
      </c>
      <c r="AZ27" s="59" t="str">
        <f t="shared" ca="1" si="35"/>
        <v/>
      </c>
    </row>
    <row r="28" spans="1:106">
      <c r="A28" s="49">
        <v>4</v>
      </c>
      <c r="B28" s="60"/>
      <c r="C28" s="51" t="s">
        <v>5</v>
      </c>
      <c r="D28" s="55">
        <v>3.9999999999999998E-6</v>
      </c>
      <c r="E28" s="56">
        <f t="shared" si="12"/>
        <v>3.9999999999999998E-6</v>
      </c>
      <c r="F28" s="57" t="s">
        <v>153</v>
      </c>
      <c r="G28" s="58">
        <f t="shared" si="13"/>
        <v>3.8000000000000002E-5</v>
      </c>
      <c r="H28" s="59" t="str">
        <f t="shared" si="14"/>
        <v>生产线组长辅助巡检</v>
      </c>
      <c r="I28" s="56">
        <f t="shared" si="0"/>
        <v>3.9999999999999998E-6</v>
      </c>
      <c r="J28" s="57" t="s">
        <v>153</v>
      </c>
      <c r="K28" s="58">
        <f t="shared" si="15"/>
        <v>3.8000000000000002E-5</v>
      </c>
      <c r="L28" s="59" t="str">
        <f t="shared" si="16"/>
        <v>生产线组长辅助巡检</v>
      </c>
      <c r="M28" s="56">
        <f t="shared" si="1"/>
        <v>3.9999999999999998E-6</v>
      </c>
      <c r="N28" s="57" t="s">
        <v>153</v>
      </c>
      <c r="O28" s="58">
        <f t="shared" si="17"/>
        <v>3.8000000000000002E-5</v>
      </c>
      <c r="P28" s="59" t="str">
        <f t="shared" si="18"/>
        <v>生产线组长辅助巡检</v>
      </c>
      <c r="Q28" s="56">
        <f t="shared" si="2"/>
        <v>3.9999999999999998E-6</v>
      </c>
      <c r="R28" s="57" t="s">
        <v>153</v>
      </c>
      <c r="S28" s="58">
        <f t="shared" si="3"/>
        <v>3.8000000000000002E-5</v>
      </c>
      <c r="T28" s="59" t="str">
        <f t="shared" si="19"/>
        <v>生产线组长辅助巡检</v>
      </c>
      <c r="U28" s="56">
        <f t="shared" si="20"/>
        <v>3.9999999999999998E-6</v>
      </c>
      <c r="V28" s="57" t="s">
        <v>153</v>
      </c>
      <c r="W28" s="58">
        <f t="shared" si="4"/>
        <v>3.8000000000000002E-5</v>
      </c>
      <c r="X28" s="59" t="str">
        <f t="shared" si="21"/>
        <v>生产线组长辅助巡检</v>
      </c>
      <c r="Y28" s="111">
        <f t="shared" si="22"/>
        <v>3.9999999999999998E-6</v>
      </c>
      <c r="Z28" s="57" t="s">
        <v>153</v>
      </c>
      <c r="AA28" s="58">
        <f t="shared" si="23"/>
        <v>3.8000000000000002E-5</v>
      </c>
      <c r="AB28" s="59" t="str">
        <f t="shared" si="24"/>
        <v>生产线组长辅助巡检</v>
      </c>
      <c r="AC28" s="111">
        <f t="shared" si="25"/>
        <v>3.9999999999999998E-6</v>
      </c>
      <c r="AD28" s="57" t="s">
        <v>153</v>
      </c>
      <c r="AE28" s="58">
        <f t="shared" si="26"/>
        <v>3.8000000000000002E-5</v>
      </c>
      <c r="AF28" s="59" t="str">
        <f t="shared" si="27"/>
        <v>生产线组长辅助巡检</v>
      </c>
      <c r="AG28" s="56">
        <f t="shared" si="28"/>
        <v>1019.8333373333334</v>
      </c>
      <c r="AH28" s="57" t="s">
        <v>153</v>
      </c>
      <c r="AI28" s="58">
        <f t="shared" si="29"/>
        <v>2245.1666986666664</v>
      </c>
      <c r="AJ28" s="59" t="str">
        <f t="shared" si="30"/>
        <v>领班</v>
      </c>
      <c r="AK28" s="115">
        <f t="shared" si="31"/>
        <v>3.9999999999999998E-6</v>
      </c>
      <c r="AL28" s="57" t="s">
        <v>153</v>
      </c>
      <c r="AM28" s="58">
        <f t="shared" si="5"/>
        <v>3.8000000000000002E-5</v>
      </c>
      <c r="AN28" s="59" t="str">
        <f t="shared" si="32"/>
        <v>生产线组长辅助巡检</v>
      </c>
      <c r="AO28" s="56">
        <f t="shared" si="6"/>
        <v>3.9999999999999998E-6</v>
      </c>
      <c r="AP28" s="57" t="s">
        <v>153</v>
      </c>
      <c r="AQ28" s="58">
        <f t="shared" si="7"/>
        <v>3.8000000000000002E-5</v>
      </c>
      <c r="AR28" s="59" t="str">
        <f t="shared" si="33"/>
        <v>生产线组长辅助巡检</v>
      </c>
      <c r="AS28" s="56">
        <f t="shared" si="8"/>
        <v>3.9999999999999998E-6</v>
      </c>
      <c r="AT28" s="57" t="s">
        <v>153</v>
      </c>
      <c r="AU28" s="58">
        <f t="shared" si="9"/>
        <v>3.8000000000000002E-5</v>
      </c>
      <c r="AV28" s="59" t="str">
        <f t="shared" si="34"/>
        <v>生产线组长辅助巡检</v>
      </c>
      <c r="AW28" s="56">
        <f t="shared" si="10"/>
        <v>3.9999999999999998E-6</v>
      </c>
      <c r="AX28" s="57" t="s">
        <v>153</v>
      </c>
      <c r="AY28" s="58" t="str">
        <f t="shared" ca="1" si="11"/>
        <v/>
      </c>
      <c r="AZ28" s="59" t="str">
        <f t="shared" ca="1" si="35"/>
        <v/>
      </c>
    </row>
    <row r="29" spans="1:106">
      <c r="A29" s="49">
        <v>5</v>
      </c>
      <c r="B29" s="60"/>
      <c r="C29" s="51" t="s">
        <v>6</v>
      </c>
      <c r="D29" s="55">
        <v>5.0000000000000004E-6</v>
      </c>
      <c r="E29" s="56">
        <f t="shared" si="12"/>
        <v>5.0000000000000004E-6</v>
      </c>
      <c r="F29" s="57" t="s">
        <v>154</v>
      </c>
      <c r="G29" s="58">
        <f t="shared" si="13"/>
        <v>3.6999999999999998E-5</v>
      </c>
      <c r="H29" s="59" t="str">
        <f t="shared" si="14"/>
        <v>车间人员上料等</v>
      </c>
      <c r="I29" s="56">
        <f t="shared" si="0"/>
        <v>5.0000000000000004E-6</v>
      </c>
      <c r="J29" s="57" t="s">
        <v>154</v>
      </c>
      <c r="K29" s="58">
        <f t="shared" si="15"/>
        <v>3.6999999999999998E-5</v>
      </c>
      <c r="L29" s="59" t="str">
        <f t="shared" si="16"/>
        <v>车间人员上料等</v>
      </c>
      <c r="M29" s="56">
        <f t="shared" si="1"/>
        <v>5.0000000000000004E-6</v>
      </c>
      <c r="N29" s="57" t="s">
        <v>154</v>
      </c>
      <c r="O29" s="58">
        <f t="shared" si="17"/>
        <v>3.6999999999999998E-5</v>
      </c>
      <c r="P29" s="59" t="str">
        <f t="shared" si="18"/>
        <v>车间人员上料等</v>
      </c>
      <c r="Q29" s="56">
        <f t="shared" si="2"/>
        <v>5.0000000000000004E-6</v>
      </c>
      <c r="R29" s="57" t="s">
        <v>154</v>
      </c>
      <c r="S29" s="58">
        <f t="shared" si="3"/>
        <v>3.6999999999999998E-5</v>
      </c>
      <c r="T29" s="59" t="str">
        <f t="shared" si="19"/>
        <v>车间人员上料等</v>
      </c>
      <c r="U29" s="56">
        <f t="shared" si="20"/>
        <v>5.0000000000000004E-6</v>
      </c>
      <c r="V29" s="57" t="s">
        <v>154</v>
      </c>
      <c r="W29" s="58">
        <f t="shared" si="4"/>
        <v>3.6999999999999998E-5</v>
      </c>
      <c r="X29" s="59" t="str">
        <f t="shared" si="21"/>
        <v>车间人员上料等</v>
      </c>
      <c r="Y29" s="111">
        <f t="shared" si="22"/>
        <v>5.0000000000000004E-6</v>
      </c>
      <c r="Z29" s="57" t="s">
        <v>154</v>
      </c>
      <c r="AA29" s="58">
        <f t="shared" si="23"/>
        <v>3.6999999999999998E-5</v>
      </c>
      <c r="AB29" s="59" t="str">
        <f t="shared" si="24"/>
        <v>车间人员上料等</v>
      </c>
      <c r="AC29" s="111">
        <f t="shared" si="25"/>
        <v>5.0000000000000004E-6</v>
      </c>
      <c r="AD29" s="57" t="s">
        <v>154</v>
      </c>
      <c r="AE29" s="58">
        <f t="shared" si="26"/>
        <v>3.6999999999999998E-5</v>
      </c>
      <c r="AF29" s="59" t="str">
        <f t="shared" si="27"/>
        <v>车间人员上料等</v>
      </c>
      <c r="AG29" s="56">
        <f t="shared" si="28"/>
        <v>335.65000499999996</v>
      </c>
      <c r="AH29" s="57" t="s">
        <v>154</v>
      </c>
      <c r="AI29" s="58">
        <f t="shared" si="29"/>
        <v>1441.6666926666667</v>
      </c>
      <c r="AJ29" s="59" t="str">
        <f t="shared" si="30"/>
        <v>QC 检验员</v>
      </c>
      <c r="AK29" s="115">
        <f t="shared" si="31"/>
        <v>5.0000000000000004E-6</v>
      </c>
      <c r="AL29" s="57" t="s">
        <v>154</v>
      </c>
      <c r="AM29" s="58">
        <f t="shared" si="5"/>
        <v>3.6999999999999998E-5</v>
      </c>
      <c r="AN29" s="59" t="str">
        <f t="shared" si="32"/>
        <v>车间人员上料等</v>
      </c>
      <c r="AO29" s="56">
        <f t="shared" si="6"/>
        <v>5.0000000000000004E-6</v>
      </c>
      <c r="AP29" s="57" t="s">
        <v>154</v>
      </c>
      <c r="AQ29" s="58">
        <f t="shared" si="7"/>
        <v>3.6999999999999998E-5</v>
      </c>
      <c r="AR29" s="59" t="str">
        <f t="shared" si="33"/>
        <v>车间人员上料等</v>
      </c>
      <c r="AS29" s="56">
        <f t="shared" si="8"/>
        <v>5.0000000000000004E-6</v>
      </c>
      <c r="AT29" s="57" t="s">
        <v>154</v>
      </c>
      <c r="AU29" s="58">
        <f t="shared" si="9"/>
        <v>3.6999999999999998E-5</v>
      </c>
      <c r="AV29" s="59" t="str">
        <f t="shared" si="34"/>
        <v>车间人员上料等</v>
      </c>
      <c r="AW29" s="56">
        <f t="shared" si="10"/>
        <v>5.0000000000000004E-6</v>
      </c>
      <c r="AX29" s="57" t="s">
        <v>154</v>
      </c>
      <c r="AY29" s="58" t="str">
        <f t="shared" ca="1" si="11"/>
        <v/>
      </c>
      <c r="AZ29" s="59" t="str">
        <f t="shared" ca="1" si="35"/>
        <v/>
      </c>
    </row>
    <row r="30" spans="1:106">
      <c r="A30" s="49">
        <v>6</v>
      </c>
      <c r="B30" s="60"/>
      <c r="C30" s="51" t="s">
        <v>7</v>
      </c>
      <c r="D30" s="55">
        <v>6.0000000000000002E-6</v>
      </c>
      <c r="E30" s="56">
        <f t="shared" si="12"/>
        <v>6.0000000000000002E-6</v>
      </c>
      <c r="F30" s="57" t="s">
        <v>155</v>
      </c>
      <c r="G30" s="58">
        <f t="shared" si="13"/>
        <v>3.6000000000000001E-5</v>
      </c>
      <c r="H30" s="59" t="str">
        <f t="shared" si="14"/>
        <v>车间培训员</v>
      </c>
      <c r="I30" s="56">
        <f t="shared" si="0"/>
        <v>6.0000000000000002E-6</v>
      </c>
      <c r="J30" s="57" t="s">
        <v>155</v>
      </c>
      <c r="K30" s="58">
        <f t="shared" si="15"/>
        <v>3.6000000000000001E-5</v>
      </c>
      <c r="L30" s="59" t="str">
        <f t="shared" si="16"/>
        <v>车间培训员</v>
      </c>
      <c r="M30" s="56">
        <f t="shared" si="1"/>
        <v>6.0000000000000002E-6</v>
      </c>
      <c r="N30" s="57" t="s">
        <v>155</v>
      </c>
      <c r="O30" s="58">
        <f t="shared" si="17"/>
        <v>3.6000000000000001E-5</v>
      </c>
      <c r="P30" s="59" t="str">
        <f t="shared" si="18"/>
        <v>车间培训员</v>
      </c>
      <c r="Q30" s="56">
        <f t="shared" si="2"/>
        <v>6.0000000000000002E-6</v>
      </c>
      <c r="R30" s="57" t="s">
        <v>155</v>
      </c>
      <c r="S30" s="58">
        <f t="shared" si="3"/>
        <v>3.6000000000000001E-5</v>
      </c>
      <c r="T30" s="59" t="str">
        <f t="shared" si="19"/>
        <v>车间培训员</v>
      </c>
      <c r="U30" s="56">
        <f t="shared" si="20"/>
        <v>6.0000000000000002E-6</v>
      </c>
      <c r="V30" s="57" t="s">
        <v>155</v>
      </c>
      <c r="W30" s="58">
        <f t="shared" si="4"/>
        <v>3.6000000000000001E-5</v>
      </c>
      <c r="X30" s="59" t="str">
        <f t="shared" si="21"/>
        <v>车间培训员</v>
      </c>
      <c r="Y30" s="111">
        <f t="shared" si="22"/>
        <v>6.0000000000000002E-6</v>
      </c>
      <c r="Z30" s="57" t="s">
        <v>155</v>
      </c>
      <c r="AA30" s="58">
        <f t="shared" si="23"/>
        <v>3.6000000000000001E-5</v>
      </c>
      <c r="AB30" s="59" t="str">
        <f t="shared" si="24"/>
        <v>车间培训员</v>
      </c>
      <c r="AC30" s="111">
        <f t="shared" si="25"/>
        <v>6.0000000000000002E-6</v>
      </c>
      <c r="AD30" s="57" t="s">
        <v>155</v>
      </c>
      <c r="AE30" s="58">
        <f t="shared" si="26"/>
        <v>3.6000000000000001E-5</v>
      </c>
      <c r="AF30" s="59" t="str">
        <f t="shared" si="27"/>
        <v>车间培训员</v>
      </c>
      <c r="AG30" s="56">
        <f t="shared" si="28"/>
        <v>949.47833933333322</v>
      </c>
      <c r="AH30" s="57" t="s">
        <v>155</v>
      </c>
      <c r="AI30" s="58">
        <f t="shared" si="29"/>
        <v>1430.3333513333332</v>
      </c>
      <c r="AJ30" s="59" t="str">
        <f t="shared" si="30"/>
        <v>等待物料</v>
      </c>
      <c r="AK30" s="115">
        <f t="shared" si="31"/>
        <v>6.0000000000000002E-6</v>
      </c>
      <c r="AL30" s="57" t="s">
        <v>155</v>
      </c>
      <c r="AM30" s="58">
        <f t="shared" si="5"/>
        <v>3.6000000000000001E-5</v>
      </c>
      <c r="AN30" s="59" t="str">
        <f t="shared" si="32"/>
        <v>车间培训员</v>
      </c>
      <c r="AO30" s="56">
        <f t="shared" si="6"/>
        <v>6.0000000000000002E-6</v>
      </c>
      <c r="AP30" s="57" t="s">
        <v>155</v>
      </c>
      <c r="AQ30" s="58">
        <f t="shared" si="7"/>
        <v>3.6000000000000001E-5</v>
      </c>
      <c r="AR30" s="59" t="str">
        <f t="shared" si="33"/>
        <v>车间培训员</v>
      </c>
      <c r="AS30" s="56">
        <f t="shared" si="8"/>
        <v>6.0000000000000002E-6</v>
      </c>
      <c r="AT30" s="57" t="s">
        <v>155</v>
      </c>
      <c r="AU30" s="58">
        <f t="shared" si="9"/>
        <v>3.6000000000000001E-5</v>
      </c>
      <c r="AV30" s="59" t="str">
        <f t="shared" si="34"/>
        <v>车间培训员</v>
      </c>
      <c r="AW30" s="56">
        <f t="shared" si="10"/>
        <v>6.0000000000000002E-6</v>
      </c>
      <c r="AX30" s="57" t="s">
        <v>155</v>
      </c>
      <c r="AY30" s="58" t="str">
        <f t="shared" ca="1" si="11"/>
        <v/>
      </c>
      <c r="AZ30" s="59" t="str">
        <f t="shared" ca="1" si="35"/>
        <v/>
      </c>
    </row>
    <row r="31" spans="1:106">
      <c r="A31" s="49">
        <v>7</v>
      </c>
      <c r="B31" s="60"/>
      <c r="C31" s="51" t="s">
        <v>8</v>
      </c>
      <c r="D31" s="55">
        <v>6.9999999999999999E-6</v>
      </c>
      <c r="E31" s="56">
        <f t="shared" si="12"/>
        <v>6.9999999999999999E-6</v>
      </c>
      <c r="F31" s="57" t="s">
        <v>156</v>
      </c>
      <c r="G31" s="58">
        <f t="shared" si="13"/>
        <v>3.4999999999999997E-5</v>
      </c>
      <c r="H31" s="59" t="str">
        <f t="shared" si="14"/>
        <v xml:space="preserve">输机人员 输入数据 </v>
      </c>
      <c r="I31" s="56">
        <f t="shared" si="0"/>
        <v>6.9999999999999999E-6</v>
      </c>
      <c r="J31" s="57" t="s">
        <v>156</v>
      </c>
      <c r="K31" s="58">
        <f t="shared" si="15"/>
        <v>3.4999999999999997E-5</v>
      </c>
      <c r="L31" s="59" t="str">
        <f t="shared" si="16"/>
        <v xml:space="preserve">输机人员 输入数据 </v>
      </c>
      <c r="M31" s="56">
        <f t="shared" si="1"/>
        <v>6.9999999999999999E-6</v>
      </c>
      <c r="N31" s="57" t="s">
        <v>156</v>
      </c>
      <c r="O31" s="58">
        <f t="shared" si="17"/>
        <v>3.4999999999999997E-5</v>
      </c>
      <c r="P31" s="59" t="str">
        <f t="shared" si="18"/>
        <v xml:space="preserve">输机人员 输入数据 </v>
      </c>
      <c r="Q31" s="56">
        <f t="shared" si="2"/>
        <v>6.9999999999999999E-6</v>
      </c>
      <c r="R31" s="57" t="s">
        <v>156</v>
      </c>
      <c r="S31" s="58">
        <f t="shared" si="3"/>
        <v>3.4999999999999997E-5</v>
      </c>
      <c r="T31" s="59" t="str">
        <f t="shared" si="19"/>
        <v xml:space="preserve">输机人员 输入数据 </v>
      </c>
      <c r="U31" s="56">
        <f t="shared" si="20"/>
        <v>6.9999999999999999E-6</v>
      </c>
      <c r="V31" s="57" t="s">
        <v>156</v>
      </c>
      <c r="W31" s="58">
        <f t="shared" si="4"/>
        <v>3.4999999999999997E-5</v>
      </c>
      <c r="X31" s="59" t="str">
        <f t="shared" si="21"/>
        <v xml:space="preserve">输机人员 输入数据 </v>
      </c>
      <c r="Y31" s="111">
        <f t="shared" si="22"/>
        <v>6.9999999999999999E-6</v>
      </c>
      <c r="Z31" s="57" t="s">
        <v>156</v>
      </c>
      <c r="AA31" s="58">
        <f t="shared" si="23"/>
        <v>3.4999999999999997E-5</v>
      </c>
      <c r="AB31" s="59" t="str">
        <f t="shared" si="24"/>
        <v xml:space="preserve">输机人员 输入数据 </v>
      </c>
      <c r="AC31" s="111">
        <f t="shared" si="25"/>
        <v>6.9999999999999999E-6</v>
      </c>
      <c r="AD31" s="57" t="s">
        <v>156</v>
      </c>
      <c r="AE31" s="58">
        <f t="shared" si="26"/>
        <v>3.4999999999999997E-5</v>
      </c>
      <c r="AF31" s="59" t="str">
        <f t="shared" si="27"/>
        <v xml:space="preserve">输机人员 输入数据 </v>
      </c>
      <c r="AG31" s="56">
        <f t="shared" si="28"/>
        <v>855.35000700000001</v>
      </c>
      <c r="AH31" s="57" t="s">
        <v>156</v>
      </c>
      <c r="AI31" s="58">
        <f t="shared" si="29"/>
        <v>1360.6833713333333</v>
      </c>
      <c r="AJ31" s="59" t="str">
        <f t="shared" si="30"/>
        <v>生产线组长辅助巡检</v>
      </c>
      <c r="AK31" s="115">
        <f t="shared" si="31"/>
        <v>6.9999999999999999E-6</v>
      </c>
      <c r="AL31" s="57" t="s">
        <v>156</v>
      </c>
      <c r="AM31" s="58">
        <f t="shared" si="5"/>
        <v>3.4999999999999997E-5</v>
      </c>
      <c r="AN31" s="59" t="str">
        <f t="shared" si="32"/>
        <v xml:space="preserve">输机人员 输入数据 </v>
      </c>
      <c r="AO31" s="56">
        <f t="shared" si="6"/>
        <v>6.9999999999999999E-6</v>
      </c>
      <c r="AP31" s="57" t="s">
        <v>156</v>
      </c>
      <c r="AQ31" s="58">
        <f t="shared" si="7"/>
        <v>3.4999999999999997E-5</v>
      </c>
      <c r="AR31" s="59" t="str">
        <f t="shared" si="33"/>
        <v xml:space="preserve">输机人员 输入数据 </v>
      </c>
      <c r="AS31" s="56">
        <f t="shared" si="8"/>
        <v>6.9999999999999999E-6</v>
      </c>
      <c r="AT31" s="57" t="s">
        <v>156</v>
      </c>
      <c r="AU31" s="58">
        <f t="shared" si="9"/>
        <v>3.4999999999999997E-5</v>
      </c>
      <c r="AV31" s="59" t="str">
        <f t="shared" si="34"/>
        <v xml:space="preserve">输机人员 输入数据 </v>
      </c>
      <c r="AW31" s="56">
        <f t="shared" si="10"/>
        <v>6.9999999999999999E-6</v>
      </c>
      <c r="AX31" s="57" t="s">
        <v>156</v>
      </c>
      <c r="AY31" s="58" t="str">
        <f t="shared" ca="1" si="11"/>
        <v/>
      </c>
      <c r="AZ31" s="59" t="str">
        <f t="shared" ca="1" si="35"/>
        <v/>
      </c>
    </row>
    <row r="32" spans="1:106">
      <c r="A32" s="49">
        <v>8</v>
      </c>
      <c r="B32" s="60"/>
      <c r="C32" s="51" t="s">
        <v>9</v>
      </c>
      <c r="D32" s="55">
        <v>7.9999999999999996E-6</v>
      </c>
      <c r="E32" s="56">
        <f t="shared" si="12"/>
        <v>7.9999999999999996E-6</v>
      </c>
      <c r="F32" s="57" t="s">
        <v>157</v>
      </c>
      <c r="G32" s="58">
        <f t="shared" si="13"/>
        <v>3.4E-5</v>
      </c>
      <c r="H32" s="59" t="str">
        <f t="shared" si="14"/>
        <v xml:space="preserve">车间人员 输入数据 </v>
      </c>
      <c r="I32" s="56">
        <f t="shared" si="0"/>
        <v>7.9999999999999996E-6</v>
      </c>
      <c r="J32" s="57" t="s">
        <v>157</v>
      </c>
      <c r="K32" s="58">
        <f t="shared" si="15"/>
        <v>3.4E-5</v>
      </c>
      <c r="L32" s="59" t="str">
        <f t="shared" si="16"/>
        <v xml:space="preserve">车间人员 输入数据 </v>
      </c>
      <c r="M32" s="56">
        <f t="shared" si="1"/>
        <v>7.9999999999999996E-6</v>
      </c>
      <c r="N32" s="57" t="s">
        <v>157</v>
      </c>
      <c r="O32" s="58">
        <f t="shared" si="17"/>
        <v>3.4E-5</v>
      </c>
      <c r="P32" s="59" t="str">
        <f t="shared" si="18"/>
        <v xml:space="preserve">车间人员 输入数据 </v>
      </c>
      <c r="Q32" s="56">
        <f t="shared" si="2"/>
        <v>7.9999999999999996E-6</v>
      </c>
      <c r="R32" s="57" t="s">
        <v>157</v>
      </c>
      <c r="S32" s="58">
        <f t="shared" si="3"/>
        <v>3.4E-5</v>
      </c>
      <c r="T32" s="59" t="str">
        <f t="shared" si="19"/>
        <v xml:space="preserve">车间人员 输入数据 </v>
      </c>
      <c r="U32" s="56">
        <f t="shared" si="20"/>
        <v>7.9999999999999996E-6</v>
      </c>
      <c r="V32" s="57" t="s">
        <v>157</v>
      </c>
      <c r="W32" s="58">
        <f t="shared" si="4"/>
        <v>3.4E-5</v>
      </c>
      <c r="X32" s="59" t="str">
        <f t="shared" si="21"/>
        <v xml:space="preserve">车间人员 输入数据 </v>
      </c>
      <c r="Y32" s="111">
        <f t="shared" si="22"/>
        <v>7.9999999999999996E-6</v>
      </c>
      <c r="Z32" s="57" t="s">
        <v>157</v>
      </c>
      <c r="AA32" s="58">
        <f t="shared" si="23"/>
        <v>3.4E-5</v>
      </c>
      <c r="AB32" s="59" t="str">
        <f t="shared" si="24"/>
        <v xml:space="preserve">车间人员 输入数据 </v>
      </c>
      <c r="AC32" s="111">
        <f t="shared" si="25"/>
        <v>7.9999999999999996E-6</v>
      </c>
      <c r="AD32" s="57" t="s">
        <v>157</v>
      </c>
      <c r="AE32" s="58">
        <f t="shared" si="26"/>
        <v>3.4E-5</v>
      </c>
      <c r="AF32" s="59" t="str">
        <f t="shared" si="27"/>
        <v xml:space="preserve">车间人员 输入数据 </v>
      </c>
      <c r="AG32" s="56">
        <f t="shared" si="28"/>
        <v>5.7500080000000002</v>
      </c>
      <c r="AH32" s="57" t="s">
        <v>157</v>
      </c>
      <c r="AI32" s="58">
        <f t="shared" si="29"/>
        <v>1174.100013</v>
      </c>
      <c r="AJ32" s="59" t="str">
        <f t="shared" si="30"/>
        <v>来料返工</v>
      </c>
      <c r="AK32" s="115">
        <f t="shared" si="31"/>
        <v>7.9999999999999996E-6</v>
      </c>
      <c r="AL32" s="57" t="s">
        <v>157</v>
      </c>
      <c r="AM32" s="58">
        <f t="shared" si="5"/>
        <v>3.4E-5</v>
      </c>
      <c r="AN32" s="59" t="str">
        <f t="shared" si="32"/>
        <v xml:space="preserve">车间人员 输入数据 </v>
      </c>
      <c r="AO32" s="56">
        <f t="shared" si="6"/>
        <v>7.9999999999999996E-6</v>
      </c>
      <c r="AP32" s="57" t="s">
        <v>157</v>
      </c>
      <c r="AQ32" s="58">
        <f t="shared" si="7"/>
        <v>3.4E-5</v>
      </c>
      <c r="AR32" s="59" t="str">
        <f t="shared" si="33"/>
        <v xml:space="preserve">车间人员 输入数据 </v>
      </c>
      <c r="AS32" s="56">
        <f t="shared" si="8"/>
        <v>7.9999999999999996E-6</v>
      </c>
      <c r="AT32" s="57" t="s">
        <v>157</v>
      </c>
      <c r="AU32" s="58">
        <f t="shared" si="9"/>
        <v>3.4E-5</v>
      </c>
      <c r="AV32" s="59" t="str">
        <f t="shared" si="34"/>
        <v xml:space="preserve">车间人员 输入数据 </v>
      </c>
      <c r="AW32" s="56">
        <f t="shared" si="10"/>
        <v>7.9999999999999996E-6</v>
      </c>
      <c r="AX32" s="57" t="s">
        <v>157</v>
      </c>
      <c r="AY32" s="58" t="str">
        <f t="shared" ca="1" si="11"/>
        <v/>
      </c>
      <c r="AZ32" s="59" t="str">
        <f t="shared" ca="1" si="35"/>
        <v/>
      </c>
    </row>
    <row r="33" spans="1:52">
      <c r="A33" s="49">
        <v>9</v>
      </c>
      <c r="B33" s="60"/>
      <c r="C33" s="51" t="s">
        <v>10</v>
      </c>
      <c r="D33" s="55">
        <v>9.0000000000000002E-6</v>
      </c>
      <c r="E33" s="56">
        <f>(HLOOKUP($C33,$K$5:$BP$18,2,0))/60+D33</f>
        <v>9.0000000000000002E-6</v>
      </c>
      <c r="F33" s="57" t="s">
        <v>158</v>
      </c>
      <c r="G33" s="58">
        <f t="shared" si="13"/>
        <v>3.3000000000000003E-5</v>
      </c>
      <c r="H33" s="59" t="str">
        <f t="shared" si="14"/>
        <v>生产订单分配员</v>
      </c>
      <c r="I33" s="56">
        <f t="shared" si="0"/>
        <v>9.0000000000000002E-6</v>
      </c>
      <c r="J33" s="57" t="s">
        <v>158</v>
      </c>
      <c r="K33" s="58">
        <f t="shared" si="15"/>
        <v>3.3000000000000003E-5</v>
      </c>
      <c r="L33" s="59" t="str">
        <f t="shared" si="16"/>
        <v>生产订单分配员</v>
      </c>
      <c r="M33" s="56">
        <f t="shared" si="1"/>
        <v>9.0000000000000002E-6</v>
      </c>
      <c r="N33" s="57" t="s">
        <v>158</v>
      </c>
      <c r="O33" s="58">
        <f t="shared" si="17"/>
        <v>3.3000000000000003E-5</v>
      </c>
      <c r="P33" s="59" t="str">
        <f t="shared" si="18"/>
        <v>生产订单分配员</v>
      </c>
      <c r="Q33" s="56">
        <f t="shared" si="2"/>
        <v>9.0000000000000002E-6</v>
      </c>
      <c r="R33" s="57" t="s">
        <v>158</v>
      </c>
      <c r="S33" s="58">
        <f t="shared" si="3"/>
        <v>3.3000000000000003E-5</v>
      </c>
      <c r="T33" s="59" t="str">
        <f t="shared" si="19"/>
        <v>生产订单分配员</v>
      </c>
      <c r="U33" s="56">
        <f t="shared" si="20"/>
        <v>9.0000000000000002E-6</v>
      </c>
      <c r="V33" s="57" t="s">
        <v>158</v>
      </c>
      <c r="W33" s="58">
        <f t="shared" si="4"/>
        <v>3.3000000000000003E-5</v>
      </c>
      <c r="X33" s="59" t="str">
        <f t="shared" si="21"/>
        <v>生产订单分配员</v>
      </c>
      <c r="Y33" s="111">
        <f t="shared" si="22"/>
        <v>9.0000000000000002E-6</v>
      </c>
      <c r="Z33" s="57" t="s">
        <v>158</v>
      </c>
      <c r="AA33" s="58">
        <f t="shared" si="23"/>
        <v>3.3000000000000003E-5</v>
      </c>
      <c r="AB33" s="59" t="str">
        <f t="shared" si="24"/>
        <v>生产订单分配员</v>
      </c>
      <c r="AC33" s="111">
        <f t="shared" si="25"/>
        <v>9.0000000000000002E-6</v>
      </c>
      <c r="AD33" s="57" t="s">
        <v>158</v>
      </c>
      <c r="AE33" s="58">
        <f t="shared" si="26"/>
        <v>3.3000000000000003E-5</v>
      </c>
      <c r="AF33" s="59" t="str">
        <f t="shared" si="27"/>
        <v>生产订单分配员</v>
      </c>
      <c r="AG33" s="56">
        <f t="shared" si="28"/>
        <v>145.56667566666667</v>
      </c>
      <c r="AH33" s="57" t="s">
        <v>158</v>
      </c>
      <c r="AI33" s="58">
        <f t="shared" si="29"/>
        <v>1019.8333373333334</v>
      </c>
      <c r="AJ33" s="59" t="str">
        <f t="shared" si="30"/>
        <v>SIM1</v>
      </c>
      <c r="AK33" s="115">
        <f t="shared" si="31"/>
        <v>9.0000000000000002E-6</v>
      </c>
      <c r="AL33" s="57" t="s">
        <v>158</v>
      </c>
      <c r="AM33" s="58">
        <f t="shared" si="5"/>
        <v>3.3000000000000003E-5</v>
      </c>
      <c r="AN33" s="59" t="str">
        <f t="shared" si="32"/>
        <v>生产订单分配员</v>
      </c>
      <c r="AO33" s="56">
        <f t="shared" si="6"/>
        <v>9.0000000000000002E-6</v>
      </c>
      <c r="AP33" s="57" t="s">
        <v>158</v>
      </c>
      <c r="AQ33" s="58">
        <f t="shared" si="7"/>
        <v>3.3000000000000003E-5</v>
      </c>
      <c r="AR33" s="59" t="str">
        <f t="shared" si="33"/>
        <v>生产订单分配员</v>
      </c>
      <c r="AS33" s="56">
        <f t="shared" si="8"/>
        <v>9.0000000000000002E-6</v>
      </c>
      <c r="AT33" s="57" t="s">
        <v>158</v>
      </c>
      <c r="AU33" s="58">
        <f t="shared" si="9"/>
        <v>3.3000000000000003E-5</v>
      </c>
      <c r="AV33" s="59" t="str">
        <f t="shared" si="34"/>
        <v>生产订单分配员</v>
      </c>
      <c r="AW33" s="56">
        <f t="shared" si="10"/>
        <v>9.0000000000000002E-6</v>
      </c>
      <c r="AX33" s="57" t="s">
        <v>158</v>
      </c>
      <c r="AY33" s="58" t="str">
        <f t="shared" ca="1" si="11"/>
        <v/>
      </c>
      <c r="AZ33" s="59" t="str">
        <f t="shared" ca="1" si="35"/>
        <v/>
      </c>
    </row>
    <row r="34" spans="1:52">
      <c r="A34" s="49">
        <v>10</v>
      </c>
      <c r="B34" s="60"/>
      <c r="C34" s="51" t="s">
        <v>11</v>
      </c>
      <c r="D34" s="55">
        <v>1.0000000000000001E-5</v>
      </c>
      <c r="E34" s="56">
        <f t="shared" si="12"/>
        <v>1.0000000000000001E-5</v>
      </c>
      <c r="F34" s="57" t="s">
        <v>159</v>
      </c>
      <c r="G34" s="58">
        <f t="shared" si="13"/>
        <v>3.1999999999999999E-5</v>
      </c>
      <c r="H34" s="59" t="str">
        <f t="shared" si="14"/>
        <v>领班</v>
      </c>
      <c r="I34" s="56">
        <f t="shared" si="0"/>
        <v>1.0000000000000001E-5</v>
      </c>
      <c r="J34" s="57" t="s">
        <v>159</v>
      </c>
      <c r="K34" s="58">
        <f t="shared" si="15"/>
        <v>3.1999999999999999E-5</v>
      </c>
      <c r="L34" s="59" t="str">
        <f t="shared" si="16"/>
        <v>领班</v>
      </c>
      <c r="M34" s="56">
        <f t="shared" si="1"/>
        <v>1.0000000000000001E-5</v>
      </c>
      <c r="N34" s="57" t="s">
        <v>159</v>
      </c>
      <c r="O34" s="58">
        <f t="shared" si="17"/>
        <v>3.1999999999999999E-5</v>
      </c>
      <c r="P34" s="59" t="str">
        <f t="shared" si="18"/>
        <v>领班</v>
      </c>
      <c r="Q34" s="56">
        <f t="shared" si="2"/>
        <v>1.0000000000000001E-5</v>
      </c>
      <c r="R34" s="57" t="s">
        <v>159</v>
      </c>
      <c r="S34" s="58">
        <f t="shared" si="3"/>
        <v>3.1999999999999999E-5</v>
      </c>
      <c r="T34" s="59" t="str">
        <f t="shared" si="19"/>
        <v>领班</v>
      </c>
      <c r="U34" s="56">
        <f t="shared" si="20"/>
        <v>1.0000000000000001E-5</v>
      </c>
      <c r="V34" s="57" t="s">
        <v>159</v>
      </c>
      <c r="W34" s="58">
        <f t="shared" si="4"/>
        <v>3.1999999999999999E-5</v>
      </c>
      <c r="X34" s="59" t="str">
        <f t="shared" si="21"/>
        <v>领班</v>
      </c>
      <c r="Y34" s="111">
        <f t="shared" si="22"/>
        <v>1.0000000000000001E-5</v>
      </c>
      <c r="Z34" s="57" t="s">
        <v>159</v>
      </c>
      <c r="AA34" s="58">
        <f t="shared" si="23"/>
        <v>3.1999999999999999E-5</v>
      </c>
      <c r="AB34" s="59" t="str">
        <f t="shared" si="24"/>
        <v>领班</v>
      </c>
      <c r="AC34" s="111">
        <f t="shared" si="25"/>
        <v>1.0000000000000001E-5</v>
      </c>
      <c r="AD34" s="57" t="s">
        <v>159</v>
      </c>
      <c r="AE34" s="58">
        <f t="shared" si="26"/>
        <v>3.1999999999999999E-5</v>
      </c>
      <c r="AF34" s="59" t="str">
        <f t="shared" si="27"/>
        <v>领班</v>
      </c>
      <c r="AG34" s="56">
        <f t="shared" si="28"/>
        <v>1.0000000000000001E-5</v>
      </c>
      <c r="AH34" s="57" t="s">
        <v>159</v>
      </c>
      <c r="AI34" s="58">
        <f t="shared" si="29"/>
        <v>949.47833933333322</v>
      </c>
      <c r="AJ34" s="59" t="str">
        <f t="shared" si="30"/>
        <v>5S、交接班</v>
      </c>
      <c r="AK34" s="115">
        <f t="shared" si="31"/>
        <v>1.0000000000000001E-5</v>
      </c>
      <c r="AL34" s="57" t="s">
        <v>159</v>
      </c>
      <c r="AM34" s="58">
        <f t="shared" si="5"/>
        <v>3.1999999999999999E-5</v>
      </c>
      <c r="AN34" s="59" t="str">
        <f t="shared" si="32"/>
        <v>领班</v>
      </c>
      <c r="AO34" s="56">
        <f t="shared" si="6"/>
        <v>1.0000000000000001E-5</v>
      </c>
      <c r="AP34" s="57" t="s">
        <v>159</v>
      </c>
      <c r="AQ34" s="58">
        <f t="shared" si="7"/>
        <v>3.1999999999999999E-5</v>
      </c>
      <c r="AR34" s="59" t="str">
        <f t="shared" si="33"/>
        <v>领班</v>
      </c>
      <c r="AS34" s="56">
        <f t="shared" si="8"/>
        <v>1.0000000000000001E-5</v>
      </c>
      <c r="AT34" s="57" t="s">
        <v>159</v>
      </c>
      <c r="AU34" s="58">
        <f t="shared" si="9"/>
        <v>3.1999999999999999E-5</v>
      </c>
      <c r="AV34" s="59" t="str">
        <f t="shared" si="34"/>
        <v>领班</v>
      </c>
      <c r="AW34" s="56">
        <f t="shared" si="10"/>
        <v>1.0000000000000001E-5</v>
      </c>
      <c r="AX34" s="57" t="s">
        <v>159</v>
      </c>
      <c r="AY34" s="58" t="str">
        <f t="shared" ca="1" si="11"/>
        <v/>
      </c>
      <c r="AZ34" s="59" t="str">
        <f t="shared" ca="1" si="35"/>
        <v/>
      </c>
    </row>
    <row r="35" spans="1:52">
      <c r="A35" s="49">
        <v>11</v>
      </c>
      <c r="B35" s="60"/>
      <c r="C35" s="51" t="s">
        <v>12</v>
      </c>
      <c r="D35" s="55">
        <v>1.1E-5</v>
      </c>
      <c r="E35" s="56">
        <f t="shared" si="12"/>
        <v>1.1E-5</v>
      </c>
      <c r="F35" s="57" t="s">
        <v>160</v>
      </c>
      <c r="G35" s="58">
        <f t="shared" si="13"/>
        <v>3.1000000000000001E-5</v>
      </c>
      <c r="H35" s="59" t="str">
        <f t="shared" si="14"/>
        <v xml:space="preserve">仓库人员 </v>
      </c>
      <c r="I35" s="56">
        <f t="shared" si="0"/>
        <v>1.1E-5</v>
      </c>
      <c r="J35" s="57" t="s">
        <v>160</v>
      </c>
      <c r="K35" s="58">
        <f t="shared" si="15"/>
        <v>3.1000000000000001E-5</v>
      </c>
      <c r="L35" s="59" t="str">
        <f t="shared" si="16"/>
        <v xml:space="preserve">仓库人员 </v>
      </c>
      <c r="M35" s="56">
        <f t="shared" si="1"/>
        <v>1.1E-5</v>
      </c>
      <c r="N35" s="57" t="s">
        <v>160</v>
      </c>
      <c r="O35" s="58">
        <f t="shared" si="17"/>
        <v>3.1000000000000001E-5</v>
      </c>
      <c r="P35" s="59" t="str">
        <f t="shared" si="18"/>
        <v xml:space="preserve">仓库人员 </v>
      </c>
      <c r="Q35" s="56">
        <f t="shared" si="2"/>
        <v>1.1E-5</v>
      </c>
      <c r="R35" s="57" t="s">
        <v>160</v>
      </c>
      <c r="S35" s="58">
        <f t="shared" si="3"/>
        <v>3.1000000000000001E-5</v>
      </c>
      <c r="T35" s="59" t="str">
        <f t="shared" si="19"/>
        <v xml:space="preserve">仓库人员 </v>
      </c>
      <c r="U35" s="56">
        <f t="shared" si="20"/>
        <v>1.1E-5</v>
      </c>
      <c r="V35" s="57" t="s">
        <v>160</v>
      </c>
      <c r="W35" s="58">
        <f t="shared" si="4"/>
        <v>3.1000000000000001E-5</v>
      </c>
      <c r="X35" s="59" t="str">
        <f t="shared" si="21"/>
        <v xml:space="preserve">仓库人员 </v>
      </c>
      <c r="Y35" s="111">
        <f t="shared" si="22"/>
        <v>1.1E-5</v>
      </c>
      <c r="Z35" s="57" t="s">
        <v>160</v>
      </c>
      <c r="AA35" s="58">
        <f t="shared" si="23"/>
        <v>3.1000000000000001E-5</v>
      </c>
      <c r="AB35" s="59" t="str">
        <f t="shared" si="24"/>
        <v xml:space="preserve">仓库人员 </v>
      </c>
      <c r="AC35" s="111">
        <f t="shared" si="25"/>
        <v>1.1E-5</v>
      </c>
      <c r="AD35" s="57" t="s">
        <v>160</v>
      </c>
      <c r="AE35" s="58">
        <f t="shared" si="26"/>
        <v>3.1000000000000001E-5</v>
      </c>
      <c r="AF35" s="59" t="str">
        <f t="shared" si="27"/>
        <v xml:space="preserve">仓库人员 </v>
      </c>
      <c r="AG35" s="56">
        <f t="shared" si="28"/>
        <v>40.050010999999998</v>
      </c>
      <c r="AH35" s="57" t="s">
        <v>160</v>
      </c>
      <c r="AI35" s="58">
        <f t="shared" si="29"/>
        <v>855.35000700000001</v>
      </c>
      <c r="AJ35" s="59" t="str">
        <f t="shared" si="30"/>
        <v>换型</v>
      </c>
      <c r="AK35" s="115">
        <f t="shared" si="31"/>
        <v>1.1E-5</v>
      </c>
      <c r="AL35" s="57" t="s">
        <v>160</v>
      </c>
      <c r="AM35" s="58">
        <f t="shared" si="5"/>
        <v>3.1000000000000001E-5</v>
      </c>
      <c r="AN35" s="59" t="str">
        <f t="shared" si="32"/>
        <v xml:space="preserve">仓库人员 </v>
      </c>
      <c r="AO35" s="56">
        <f t="shared" si="6"/>
        <v>1.1E-5</v>
      </c>
      <c r="AP35" s="57" t="s">
        <v>160</v>
      </c>
      <c r="AQ35" s="58">
        <f t="shared" si="7"/>
        <v>3.1000000000000001E-5</v>
      </c>
      <c r="AR35" s="59" t="str">
        <f t="shared" si="33"/>
        <v xml:space="preserve">仓库人员 </v>
      </c>
      <c r="AS35" s="56">
        <f t="shared" si="8"/>
        <v>1.1E-5</v>
      </c>
      <c r="AT35" s="57" t="s">
        <v>160</v>
      </c>
      <c r="AU35" s="58">
        <f t="shared" si="9"/>
        <v>3.1000000000000001E-5</v>
      </c>
      <c r="AV35" s="59" t="str">
        <f t="shared" si="34"/>
        <v xml:space="preserve">仓库人员 </v>
      </c>
      <c r="AW35" s="56">
        <f t="shared" si="10"/>
        <v>1.1E-5</v>
      </c>
      <c r="AX35" s="57" t="s">
        <v>160</v>
      </c>
      <c r="AY35" s="58" t="str">
        <f t="shared" ca="1" si="11"/>
        <v/>
      </c>
      <c r="AZ35" s="59" t="str">
        <f t="shared" ca="1" si="35"/>
        <v/>
      </c>
    </row>
    <row r="36" spans="1:52">
      <c r="A36" s="49">
        <v>12</v>
      </c>
      <c r="B36" s="60"/>
      <c r="C36" s="51" t="s">
        <v>13</v>
      </c>
      <c r="D36" s="55">
        <v>1.2E-5</v>
      </c>
      <c r="E36" s="56">
        <f t="shared" si="12"/>
        <v>1.2E-5</v>
      </c>
      <c r="F36" s="57" t="s">
        <v>161</v>
      </c>
      <c r="G36" s="58">
        <f t="shared" si="13"/>
        <v>3.0000000000000001E-5</v>
      </c>
      <c r="H36" s="59" t="str">
        <f t="shared" si="14"/>
        <v>车间setter调整工</v>
      </c>
      <c r="I36" s="56">
        <f t="shared" si="0"/>
        <v>1.2E-5</v>
      </c>
      <c r="J36" s="57" t="s">
        <v>161</v>
      </c>
      <c r="K36" s="58">
        <f t="shared" si="15"/>
        <v>3.0000000000000001E-5</v>
      </c>
      <c r="L36" s="59" t="str">
        <f t="shared" si="16"/>
        <v>车间setter调整工</v>
      </c>
      <c r="M36" s="56">
        <f t="shared" si="1"/>
        <v>1.2E-5</v>
      </c>
      <c r="N36" s="57" t="s">
        <v>161</v>
      </c>
      <c r="O36" s="58">
        <f t="shared" si="17"/>
        <v>3.0000000000000001E-5</v>
      </c>
      <c r="P36" s="59" t="str">
        <f t="shared" si="18"/>
        <v>车间setter调整工</v>
      </c>
      <c r="Q36" s="56">
        <f t="shared" si="2"/>
        <v>1.2E-5</v>
      </c>
      <c r="R36" s="57" t="s">
        <v>161</v>
      </c>
      <c r="S36" s="58">
        <f t="shared" si="3"/>
        <v>3.0000000000000001E-5</v>
      </c>
      <c r="T36" s="59" t="str">
        <f t="shared" si="19"/>
        <v>车间setter调整工</v>
      </c>
      <c r="U36" s="56">
        <f t="shared" si="20"/>
        <v>1.2E-5</v>
      </c>
      <c r="V36" s="57" t="s">
        <v>161</v>
      </c>
      <c r="W36" s="58">
        <f t="shared" si="4"/>
        <v>3.0000000000000001E-5</v>
      </c>
      <c r="X36" s="59" t="str">
        <f t="shared" si="21"/>
        <v>车间setter调整工</v>
      </c>
      <c r="Y36" s="111">
        <f t="shared" si="22"/>
        <v>1.2E-5</v>
      </c>
      <c r="Z36" s="57" t="s">
        <v>161</v>
      </c>
      <c r="AA36" s="58">
        <f t="shared" si="23"/>
        <v>3.0000000000000001E-5</v>
      </c>
      <c r="AB36" s="59" t="str">
        <f t="shared" si="24"/>
        <v>车间setter调整工</v>
      </c>
      <c r="AC36" s="111">
        <f t="shared" si="25"/>
        <v>1.2E-5</v>
      </c>
      <c r="AD36" s="57" t="s">
        <v>161</v>
      </c>
      <c r="AE36" s="58">
        <f t="shared" si="26"/>
        <v>3.0000000000000001E-5</v>
      </c>
      <c r="AF36" s="59" t="str">
        <f t="shared" si="27"/>
        <v>车间setter调整工</v>
      </c>
      <c r="AG36" s="56">
        <f t="shared" si="28"/>
        <v>9.8500119999999995</v>
      </c>
      <c r="AH36" s="57" t="s">
        <v>161</v>
      </c>
      <c r="AI36" s="58">
        <f t="shared" si="29"/>
        <v>741.25003900000002</v>
      </c>
      <c r="AJ36" s="59" t="str">
        <f t="shared" si="30"/>
        <v>操作员集中打标签</v>
      </c>
      <c r="AK36" s="115">
        <f t="shared" si="31"/>
        <v>1.2E-5</v>
      </c>
      <c r="AL36" s="57" t="s">
        <v>161</v>
      </c>
      <c r="AM36" s="58">
        <f t="shared" si="5"/>
        <v>3.0000000000000001E-5</v>
      </c>
      <c r="AN36" s="59" t="str">
        <f t="shared" si="32"/>
        <v>车间setter调整工</v>
      </c>
      <c r="AO36" s="56">
        <f t="shared" si="6"/>
        <v>1.2E-5</v>
      </c>
      <c r="AP36" s="57" t="s">
        <v>161</v>
      </c>
      <c r="AQ36" s="58">
        <f t="shared" si="7"/>
        <v>3.0000000000000001E-5</v>
      </c>
      <c r="AR36" s="59" t="str">
        <f t="shared" si="33"/>
        <v>车间setter调整工</v>
      </c>
      <c r="AS36" s="56">
        <f t="shared" si="8"/>
        <v>1.2E-5</v>
      </c>
      <c r="AT36" s="57" t="s">
        <v>161</v>
      </c>
      <c r="AU36" s="58">
        <f t="shared" si="9"/>
        <v>3.0000000000000001E-5</v>
      </c>
      <c r="AV36" s="59" t="str">
        <f t="shared" si="34"/>
        <v>车间setter调整工</v>
      </c>
      <c r="AW36" s="56">
        <f t="shared" si="10"/>
        <v>1.2E-5</v>
      </c>
      <c r="AX36" s="57" t="s">
        <v>161</v>
      </c>
      <c r="AY36" s="58" t="str">
        <f t="shared" ca="1" si="11"/>
        <v/>
      </c>
      <c r="AZ36" s="59" t="str">
        <f t="shared" ca="1" si="35"/>
        <v/>
      </c>
    </row>
    <row r="37" spans="1:52">
      <c r="A37" s="49">
        <v>13</v>
      </c>
      <c r="B37" s="60" t="s">
        <v>162</v>
      </c>
      <c r="C37" s="51" t="s">
        <v>15</v>
      </c>
      <c r="D37" s="55">
        <v>1.2999999999999999E-5</v>
      </c>
      <c r="E37" s="56">
        <f t="shared" si="12"/>
        <v>1.2999999999999999E-5</v>
      </c>
      <c r="F37" s="57" t="s">
        <v>163</v>
      </c>
      <c r="G37" s="58">
        <f t="shared" si="13"/>
        <v>2.9E-5</v>
      </c>
      <c r="H37" s="59" t="str">
        <f t="shared" si="14"/>
        <v>在线维修</v>
      </c>
      <c r="I37" s="56">
        <f t="shared" si="0"/>
        <v>1.2999999999999999E-5</v>
      </c>
      <c r="J37" s="57" t="s">
        <v>163</v>
      </c>
      <c r="K37" s="58">
        <f t="shared" si="15"/>
        <v>2.9E-5</v>
      </c>
      <c r="L37" s="59" t="str">
        <f t="shared" si="16"/>
        <v>在线维修</v>
      </c>
      <c r="M37" s="56">
        <f t="shared" si="1"/>
        <v>1.2999999999999999E-5</v>
      </c>
      <c r="N37" s="57" t="s">
        <v>163</v>
      </c>
      <c r="O37" s="58">
        <f t="shared" si="17"/>
        <v>2.9E-5</v>
      </c>
      <c r="P37" s="59" t="str">
        <f t="shared" si="18"/>
        <v>在线维修</v>
      </c>
      <c r="Q37" s="56">
        <f t="shared" si="2"/>
        <v>1.2999999999999999E-5</v>
      </c>
      <c r="R37" s="57" t="s">
        <v>163</v>
      </c>
      <c r="S37" s="58">
        <f t="shared" si="3"/>
        <v>2.9E-5</v>
      </c>
      <c r="T37" s="59" t="str">
        <f t="shared" si="19"/>
        <v>在线维修</v>
      </c>
      <c r="U37" s="56">
        <f t="shared" si="20"/>
        <v>1.2999999999999999E-5</v>
      </c>
      <c r="V37" s="57" t="s">
        <v>163</v>
      </c>
      <c r="W37" s="58">
        <f t="shared" si="4"/>
        <v>2.9E-5</v>
      </c>
      <c r="X37" s="59" t="str">
        <f t="shared" si="21"/>
        <v>在线维修</v>
      </c>
      <c r="Y37" s="111">
        <f t="shared" si="22"/>
        <v>1.2999999999999999E-5</v>
      </c>
      <c r="Z37" s="57" t="s">
        <v>163</v>
      </c>
      <c r="AA37" s="58">
        <f t="shared" si="23"/>
        <v>2.9E-5</v>
      </c>
      <c r="AB37" s="59" t="str">
        <f t="shared" si="24"/>
        <v>在线维修</v>
      </c>
      <c r="AC37" s="111">
        <f t="shared" si="25"/>
        <v>1.2999999999999999E-5</v>
      </c>
      <c r="AD37" s="57" t="s">
        <v>163</v>
      </c>
      <c r="AE37" s="58">
        <f t="shared" si="26"/>
        <v>2.9E-5</v>
      </c>
      <c r="AF37" s="59" t="str">
        <f t="shared" si="27"/>
        <v>在线维修</v>
      </c>
      <c r="AG37" s="56">
        <f t="shared" si="28"/>
        <v>1174.100013</v>
      </c>
      <c r="AH37" s="57" t="s">
        <v>163</v>
      </c>
      <c r="AI37" s="58">
        <f t="shared" si="29"/>
        <v>737.10000300000002</v>
      </c>
      <c r="AJ37" s="59" t="str">
        <f t="shared" si="30"/>
        <v>岗位培训</v>
      </c>
      <c r="AK37" s="115">
        <f t="shared" si="31"/>
        <v>1.2999999999999999E-5</v>
      </c>
      <c r="AL37" s="57" t="s">
        <v>163</v>
      </c>
      <c r="AM37" s="58">
        <f t="shared" si="5"/>
        <v>2.9E-5</v>
      </c>
      <c r="AN37" s="59" t="str">
        <f t="shared" si="32"/>
        <v>在线维修</v>
      </c>
      <c r="AO37" s="56">
        <f t="shared" si="6"/>
        <v>1.2999999999999999E-5</v>
      </c>
      <c r="AP37" s="57" t="s">
        <v>163</v>
      </c>
      <c r="AQ37" s="58">
        <f t="shared" si="7"/>
        <v>2.9E-5</v>
      </c>
      <c r="AR37" s="59" t="str">
        <f t="shared" si="33"/>
        <v>在线维修</v>
      </c>
      <c r="AS37" s="56">
        <f t="shared" si="8"/>
        <v>1.2999999999999999E-5</v>
      </c>
      <c r="AT37" s="57" t="s">
        <v>163</v>
      </c>
      <c r="AU37" s="58">
        <f t="shared" si="9"/>
        <v>2.9E-5</v>
      </c>
      <c r="AV37" s="59" t="str">
        <f t="shared" si="34"/>
        <v>在线维修</v>
      </c>
      <c r="AW37" s="56">
        <f t="shared" si="10"/>
        <v>1.2999999999999999E-5</v>
      </c>
      <c r="AX37" s="57" t="s">
        <v>163</v>
      </c>
      <c r="AY37" s="58" t="str">
        <f t="shared" ca="1" si="11"/>
        <v/>
      </c>
      <c r="AZ37" s="59" t="str">
        <f t="shared" ca="1" si="35"/>
        <v/>
      </c>
    </row>
    <row r="38" spans="1:52">
      <c r="A38" s="49">
        <v>14</v>
      </c>
      <c r="B38" s="60"/>
      <c r="C38" s="51" t="s">
        <v>17</v>
      </c>
      <c r="D38" s="55">
        <v>1.4E-5</v>
      </c>
      <c r="E38" s="56">
        <f t="shared" si="12"/>
        <v>1.4E-5</v>
      </c>
      <c r="F38" s="57" t="s">
        <v>164</v>
      </c>
      <c r="G38" s="58">
        <f t="shared" si="13"/>
        <v>2.8E-5</v>
      </c>
      <c r="H38" s="59" t="str">
        <f t="shared" si="14"/>
        <v>IQC 检验员</v>
      </c>
      <c r="I38" s="56">
        <f t="shared" si="0"/>
        <v>1.4E-5</v>
      </c>
      <c r="J38" s="57" t="s">
        <v>164</v>
      </c>
      <c r="K38" s="58">
        <f t="shared" si="15"/>
        <v>2.8E-5</v>
      </c>
      <c r="L38" s="59" t="str">
        <f t="shared" si="16"/>
        <v>IQC 检验员</v>
      </c>
      <c r="M38" s="56">
        <f t="shared" si="1"/>
        <v>1.4E-5</v>
      </c>
      <c r="N38" s="57" t="s">
        <v>164</v>
      </c>
      <c r="O38" s="58">
        <f t="shared" si="17"/>
        <v>2.8E-5</v>
      </c>
      <c r="P38" s="59" t="str">
        <f t="shared" si="18"/>
        <v>IQC 检验员</v>
      </c>
      <c r="Q38" s="56">
        <f t="shared" si="2"/>
        <v>1.4E-5</v>
      </c>
      <c r="R38" s="57" t="s">
        <v>164</v>
      </c>
      <c r="S38" s="58">
        <f t="shared" si="3"/>
        <v>2.8E-5</v>
      </c>
      <c r="T38" s="59" t="str">
        <f t="shared" si="19"/>
        <v>IQC 检验员</v>
      </c>
      <c r="U38" s="56">
        <f t="shared" si="20"/>
        <v>1.4E-5</v>
      </c>
      <c r="V38" s="57" t="s">
        <v>164</v>
      </c>
      <c r="W38" s="58">
        <f t="shared" si="4"/>
        <v>2.8E-5</v>
      </c>
      <c r="X38" s="59" t="str">
        <f t="shared" si="21"/>
        <v>IQC 检验员</v>
      </c>
      <c r="Y38" s="111">
        <f t="shared" si="22"/>
        <v>1.4E-5</v>
      </c>
      <c r="Z38" s="57" t="s">
        <v>164</v>
      </c>
      <c r="AA38" s="58">
        <f t="shared" si="23"/>
        <v>2.8E-5</v>
      </c>
      <c r="AB38" s="59" t="str">
        <f t="shared" si="24"/>
        <v>IQC 检验员</v>
      </c>
      <c r="AC38" s="111">
        <f t="shared" si="25"/>
        <v>1.4E-5</v>
      </c>
      <c r="AD38" s="57" t="s">
        <v>164</v>
      </c>
      <c r="AE38" s="58">
        <f t="shared" si="26"/>
        <v>2.8E-5</v>
      </c>
      <c r="AF38" s="59" t="str">
        <f t="shared" si="27"/>
        <v>IQC 检验员</v>
      </c>
      <c r="AG38" s="56">
        <f t="shared" si="28"/>
        <v>260.650014</v>
      </c>
      <c r="AH38" s="57" t="s">
        <v>164</v>
      </c>
      <c r="AI38" s="58">
        <f t="shared" si="29"/>
        <v>596.76669566666669</v>
      </c>
      <c r="AJ38" s="59" t="str">
        <f t="shared" si="30"/>
        <v>在线维修</v>
      </c>
      <c r="AK38" s="115">
        <f t="shared" si="31"/>
        <v>1.4E-5</v>
      </c>
      <c r="AL38" s="57" t="s">
        <v>164</v>
      </c>
      <c r="AM38" s="58">
        <f t="shared" si="5"/>
        <v>2.8E-5</v>
      </c>
      <c r="AN38" s="59" t="str">
        <f t="shared" si="32"/>
        <v>IQC 检验员</v>
      </c>
      <c r="AO38" s="56">
        <f t="shared" si="6"/>
        <v>1.4E-5</v>
      </c>
      <c r="AP38" s="57" t="s">
        <v>164</v>
      </c>
      <c r="AQ38" s="58">
        <f t="shared" si="7"/>
        <v>2.8E-5</v>
      </c>
      <c r="AR38" s="59" t="str">
        <f t="shared" si="33"/>
        <v>IQC 检验员</v>
      </c>
      <c r="AS38" s="56">
        <f t="shared" si="8"/>
        <v>1.4E-5</v>
      </c>
      <c r="AT38" s="57" t="s">
        <v>164</v>
      </c>
      <c r="AU38" s="58">
        <f t="shared" si="9"/>
        <v>2.8E-5</v>
      </c>
      <c r="AV38" s="59" t="str">
        <f t="shared" si="34"/>
        <v>IQC 检验员</v>
      </c>
      <c r="AW38" s="56">
        <f t="shared" si="10"/>
        <v>1.4E-5</v>
      </c>
      <c r="AX38" s="57" t="s">
        <v>164</v>
      </c>
      <c r="AY38" s="58" t="str">
        <f t="shared" ca="1" si="11"/>
        <v/>
      </c>
      <c r="AZ38" s="59" t="str">
        <f t="shared" ca="1" si="35"/>
        <v/>
      </c>
    </row>
    <row r="39" spans="1:52">
      <c r="A39" s="49">
        <v>15</v>
      </c>
      <c r="B39" s="60"/>
      <c r="C39" s="51" t="s">
        <v>19</v>
      </c>
      <c r="D39" s="55">
        <v>1.5E-5</v>
      </c>
      <c r="E39" s="56">
        <f t="shared" si="12"/>
        <v>1.5E-5</v>
      </c>
      <c r="F39" s="57" t="s">
        <v>165</v>
      </c>
      <c r="G39" s="58">
        <f t="shared" si="13"/>
        <v>2.6999999999999999E-5</v>
      </c>
      <c r="H39" s="59" t="str">
        <f t="shared" si="14"/>
        <v>IPQC 检验员</v>
      </c>
      <c r="I39" s="56">
        <f t="shared" si="0"/>
        <v>1.5E-5</v>
      </c>
      <c r="J39" s="57" t="s">
        <v>165</v>
      </c>
      <c r="K39" s="58">
        <f t="shared" si="15"/>
        <v>2.6999999999999999E-5</v>
      </c>
      <c r="L39" s="59" t="str">
        <f t="shared" si="16"/>
        <v>IPQC 检验员</v>
      </c>
      <c r="M39" s="56">
        <f t="shared" si="1"/>
        <v>1.5E-5</v>
      </c>
      <c r="N39" s="57" t="s">
        <v>165</v>
      </c>
      <c r="O39" s="58">
        <f t="shared" si="17"/>
        <v>2.6999999999999999E-5</v>
      </c>
      <c r="P39" s="59" t="str">
        <f t="shared" si="18"/>
        <v>IPQC 检验员</v>
      </c>
      <c r="Q39" s="56">
        <f t="shared" si="2"/>
        <v>1.5E-5</v>
      </c>
      <c r="R39" s="57" t="s">
        <v>165</v>
      </c>
      <c r="S39" s="58">
        <f t="shared" si="3"/>
        <v>2.6999999999999999E-5</v>
      </c>
      <c r="T39" s="59" t="str">
        <f t="shared" si="19"/>
        <v>IPQC 检验员</v>
      </c>
      <c r="U39" s="56">
        <f t="shared" si="20"/>
        <v>1.5E-5</v>
      </c>
      <c r="V39" s="57" t="s">
        <v>165</v>
      </c>
      <c r="W39" s="58">
        <f t="shared" si="4"/>
        <v>2.6999999999999999E-5</v>
      </c>
      <c r="X39" s="59" t="str">
        <f t="shared" si="21"/>
        <v>IPQC 检验员</v>
      </c>
      <c r="Y39" s="111">
        <f t="shared" si="22"/>
        <v>1.5E-5</v>
      </c>
      <c r="Z39" s="57" t="s">
        <v>165</v>
      </c>
      <c r="AA39" s="58">
        <f t="shared" si="23"/>
        <v>2.6999999999999999E-5</v>
      </c>
      <c r="AB39" s="59" t="str">
        <f t="shared" si="24"/>
        <v>IPQC 检验员</v>
      </c>
      <c r="AC39" s="111">
        <f t="shared" si="25"/>
        <v>1.5E-5</v>
      </c>
      <c r="AD39" s="57" t="s">
        <v>165</v>
      </c>
      <c r="AE39" s="58">
        <f t="shared" si="26"/>
        <v>2.6999999999999999E-5</v>
      </c>
      <c r="AF39" s="59" t="str">
        <f t="shared" si="27"/>
        <v>IPQC 检验员</v>
      </c>
      <c r="AG39" s="56">
        <f t="shared" si="28"/>
        <v>1.5E-5</v>
      </c>
      <c r="AH39" s="57" t="s">
        <v>165</v>
      </c>
      <c r="AI39" s="58">
        <f t="shared" si="29"/>
        <v>359.9167076666667</v>
      </c>
      <c r="AJ39" s="59" t="str">
        <f t="shared" si="30"/>
        <v>车间内部人员上料、退料</v>
      </c>
      <c r="AK39" s="115">
        <f t="shared" si="31"/>
        <v>1.5E-5</v>
      </c>
      <c r="AL39" s="57" t="s">
        <v>165</v>
      </c>
      <c r="AM39" s="58">
        <f t="shared" si="5"/>
        <v>2.6999999999999999E-5</v>
      </c>
      <c r="AN39" s="59" t="str">
        <f t="shared" si="32"/>
        <v>IPQC 检验员</v>
      </c>
      <c r="AO39" s="56">
        <f t="shared" si="6"/>
        <v>1.5E-5</v>
      </c>
      <c r="AP39" s="57" t="s">
        <v>165</v>
      </c>
      <c r="AQ39" s="58">
        <f t="shared" si="7"/>
        <v>2.6999999999999999E-5</v>
      </c>
      <c r="AR39" s="59" t="str">
        <f t="shared" si="33"/>
        <v>IPQC 检验员</v>
      </c>
      <c r="AS39" s="56">
        <f t="shared" si="8"/>
        <v>1.5E-5</v>
      </c>
      <c r="AT39" s="57" t="s">
        <v>165</v>
      </c>
      <c r="AU39" s="58">
        <f t="shared" si="9"/>
        <v>2.6999999999999999E-5</v>
      </c>
      <c r="AV39" s="59" t="str">
        <f t="shared" si="34"/>
        <v>IPQC 检验员</v>
      </c>
      <c r="AW39" s="56">
        <f t="shared" si="10"/>
        <v>1.5E-5</v>
      </c>
      <c r="AX39" s="57" t="s">
        <v>165</v>
      </c>
      <c r="AY39" s="58" t="str">
        <f t="shared" ca="1" si="11"/>
        <v/>
      </c>
      <c r="AZ39" s="59" t="str">
        <f t="shared" ca="1" si="35"/>
        <v/>
      </c>
    </row>
    <row r="40" spans="1:52">
      <c r="A40" s="49">
        <v>16</v>
      </c>
      <c r="B40" s="60"/>
      <c r="C40" s="51" t="s">
        <v>20</v>
      </c>
      <c r="D40" s="55">
        <v>1.5999999999999999E-5</v>
      </c>
      <c r="E40" s="56">
        <f>(HLOOKUP($C40,$K$5:$BP$18,2,0))/60+D40</f>
        <v>1.5999999999999999E-5</v>
      </c>
      <c r="F40" s="57" t="s">
        <v>166</v>
      </c>
      <c r="G40" s="58">
        <f t="shared" si="13"/>
        <v>2.5999999999999998E-5</v>
      </c>
      <c r="H40" s="59" t="str">
        <f t="shared" si="14"/>
        <v>QC 检验员</v>
      </c>
      <c r="I40" s="56">
        <f t="shared" si="0"/>
        <v>1.5999999999999999E-5</v>
      </c>
      <c r="J40" s="57" t="s">
        <v>166</v>
      </c>
      <c r="K40" s="58">
        <f t="shared" si="15"/>
        <v>2.5999999999999998E-5</v>
      </c>
      <c r="L40" s="59" t="str">
        <f t="shared" si="16"/>
        <v>QC 检验员</v>
      </c>
      <c r="M40" s="56">
        <f t="shared" si="1"/>
        <v>1.5999999999999999E-5</v>
      </c>
      <c r="N40" s="57" t="s">
        <v>166</v>
      </c>
      <c r="O40" s="58">
        <f t="shared" si="17"/>
        <v>2.5999999999999998E-5</v>
      </c>
      <c r="P40" s="59" t="str">
        <f t="shared" si="18"/>
        <v>QC 检验员</v>
      </c>
      <c r="Q40" s="56">
        <f t="shared" si="2"/>
        <v>1.5999999999999999E-5</v>
      </c>
      <c r="R40" s="57" t="s">
        <v>166</v>
      </c>
      <c r="S40" s="58">
        <f t="shared" si="3"/>
        <v>2.5999999999999998E-5</v>
      </c>
      <c r="T40" s="59" t="str">
        <f t="shared" si="19"/>
        <v>QC 检验员</v>
      </c>
      <c r="U40" s="56">
        <f t="shared" si="20"/>
        <v>1.5999999999999999E-5</v>
      </c>
      <c r="V40" s="57" t="s">
        <v>166</v>
      </c>
      <c r="W40" s="58">
        <f t="shared" si="4"/>
        <v>2.5999999999999998E-5</v>
      </c>
      <c r="X40" s="59" t="str">
        <f t="shared" si="21"/>
        <v>QC 检验员</v>
      </c>
      <c r="Y40" s="111">
        <f t="shared" si="22"/>
        <v>1.5999999999999999E-5</v>
      </c>
      <c r="Z40" s="57" t="s">
        <v>166</v>
      </c>
      <c r="AA40" s="58">
        <f t="shared" si="23"/>
        <v>2.5999999999999998E-5</v>
      </c>
      <c r="AB40" s="59" t="str">
        <f t="shared" si="24"/>
        <v>QC 检验员</v>
      </c>
      <c r="AC40" s="111">
        <f t="shared" si="25"/>
        <v>1.5999999999999999E-5</v>
      </c>
      <c r="AD40" s="57" t="s">
        <v>166</v>
      </c>
      <c r="AE40" s="58">
        <f t="shared" si="26"/>
        <v>2.5999999999999998E-5</v>
      </c>
      <c r="AF40" s="59" t="str">
        <f t="shared" si="27"/>
        <v>QC 检验员</v>
      </c>
      <c r="AG40" s="56">
        <f t="shared" si="28"/>
        <v>1.5999999999999999E-5</v>
      </c>
      <c r="AH40" s="57" t="s">
        <v>166</v>
      </c>
      <c r="AI40" s="58">
        <f t="shared" si="29"/>
        <v>353.46669666666662</v>
      </c>
      <c r="AJ40" s="59" t="str">
        <f t="shared" si="30"/>
        <v>车间setter调整工</v>
      </c>
      <c r="AK40" s="115">
        <f t="shared" si="31"/>
        <v>1.5999999999999999E-5</v>
      </c>
      <c r="AL40" s="57" t="s">
        <v>166</v>
      </c>
      <c r="AM40" s="58">
        <f t="shared" si="5"/>
        <v>2.5999999999999998E-5</v>
      </c>
      <c r="AN40" s="59" t="str">
        <f t="shared" si="32"/>
        <v>QC 检验员</v>
      </c>
      <c r="AO40" s="56">
        <f t="shared" si="6"/>
        <v>1.5999999999999999E-5</v>
      </c>
      <c r="AP40" s="57" t="s">
        <v>166</v>
      </c>
      <c r="AQ40" s="58">
        <f t="shared" si="7"/>
        <v>2.5999999999999998E-5</v>
      </c>
      <c r="AR40" s="59" t="str">
        <f t="shared" si="33"/>
        <v>QC 检验员</v>
      </c>
      <c r="AS40" s="56">
        <f t="shared" si="8"/>
        <v>1.5999999999999999E-5</v>
      </c>
      <c r="AT40" s="57" t="s">
        <v>166</v>
      </c>
      <c r="AU40" s="58">
        <f t="shared" si="9"/>
        <v>2.5999999999999998E-5</v>
      </c>
      <c r="AV40" s="59" t="str">
        <f t="shared" si="34"/>
        <v>QC 检验员</v>
      </c>
      <c r="AW40" s="56">
        <f t="shared" si="10"/>
        <v>1.5999999999999999E-5</v>
      </c>
      <c r="AX40" s="57" t="s">
        <v>166</v>
      </c>
      <c r="AY40" s="58" t="str">
        <f t="shared" ca="1" si="11"/>
        <v/>
      </c>
      <c r="AZ40" s="59" t="str">
        <f t="shared" ca="1" si="35"/>
        <v/>
      </c>
    </row>
    <row r="41" spans="1:52">
      <c r="A41" s="49">
        <v>17</v>
      </c>
      <c r="B41" s="60"/>
      <c r="C41" s="51" t="s">
        <v>21</v>
      </c>
      <c r="D41" s="55">
        <v>1.7E-5</v>
      </c>
      <c r="E41" s="56">
        <f t="shared" si="12"/>
        <v>1.7E-5</v>
      </c>
      <c r="F41" s="57" t="s">
        <v>167</v>
      </c>
      <c r="G41" s="58">
        <f t="shared" si="13"/>
        <v>2.5000000000000001E-5</v>
      </c>
      <c r="H41" s="59" t="str">
        <f t="shared" si="14"/>
        <v>MES系统维护</v>
      </c>
      <c r="I41" s="56">
        <f t="shared" si="0"/>
        <v>1.7E-5</v>
      </c>
      <c r="J41" s="57" t="s">
        <v>167</v>
      </c>
      <c r="K41" s="58">
        <f t="shared" si="15"/>
        <v>2.5000000000000001E-5</v>
      </c>
      <c r="L41" s="59" t="str">
        <f t="shared" si="16"/>
        <v>MES系统维护</v>
      </c>
      <c r="M41" s="56">
        <f t="shared" si="1"/>
        <v>1.7E-5</v>
      </c>
      <c r="N41" s="57" t="s">
        <v>167</v>
      </c>
      <c r="O41" s="58">
        <f t="shared" si="17"/>
        <v>2.5000000000000001E-5</v>
      </c>
      <c r="P41" s="59" t="str">
        <f t="shared" si="18"/>
        <v>MES系统维护</v>
      </c>
      <c r="Q41" s="56">
        <f t="shared" si="2"/>
        <v>1.7E-5</v>
      </c>
      <c r="R41" s="57" t="s">
        <v>167</v>
      </c>
      <c r="S41" s="58">
        <f t="shared" si="3"/>
        <v>2.5000000000000001E-5</v>
      </c>
      <c r="T41" s="59" t="str">
        <f t="shared" si="19"/>
        <v>MES系统维护</v>
      </c>
      <c r="U41" s="56">
        <f t="shared" si="20"/>
        <v>1.7E-5</v>
      </c>
      <c r="V41" s="57" t="s">
        <v>167</v>
      </c>
      <c r="W41" s="58">
        <f t="shared" si="4"/>
        <v>2.5000000000000001E-5</v>
      </c>
      <c r="X41" s="59" t="str">
        <f t="shared" si="21"/>
        <v>MES系统维护</v>
      </c>
      <c r="Y41" s="111">
        <f t="shared" si="22"/>
        <v>1.7E-5</v>
      </c>
      <c r="Z41" s="57" t="s">
        <v>167</v>
      </c>
      <c r="AA41" s="58">
        <f t="shared" si="23"/>
        <v>2.5000000000000001E-5</v>
      </c>
      <c r="AB41" s="59" t="str">
        <f t="shared" si="24"/>
        <v>MES系统维护</v>
      </c>
      <c r="AC41" s="111">
        <f t="shared" si="25"/>
        <v>1.7E-5</v>
      </c>
      <c r="AD41" s="57" t="s">
        <v>167</v>
      </c>
      <c r="AE41" s="58">
        <f t="shared" si="26"/>
        <v>2.5000000000000001E-5</v>
      </c>
      <c r="AF41" s="59" t="str">
        <f t="shared" si="27"/>
        <v>MES系统维护</v>
      </c>
      <c r="AG41" s="56">
        <f t="shared" si="28"/>
        <v>1.7E-5</v>
      </c>
      <c r="AH41" s="57" t="s">
        <v>167</v>
      </c>
      <c r="AI41" s="58">
        <f t="shared" si="29"/>
        <v>335.65000499999996</v>
      </c>
      <c r="AJ41" s="59" t="str">
        <f t="shared" si="30"/>
        <v>员工记录</v>
      </c>
      <c r="AK41" s="115">
        <f t="shared" si="31"/>
        <v>1.7E-5</v>
      </c>
      <c r="AL41" s="57" t="s">
        <v>167</v>
      </c>
      <c r="AM41" s="58">
        <f t="shared" si="5"/>
        <v>2.5000000000000001E-5</v>
      </c>
      <c r="AN41" s="59" t="str">
        <f t="shared" si="32"/>
        <v>MES系统维护</v>
      </c>
      <c r="AO41" s="56">
        <f t="shared" si="6"/>
        <v>1.7E-5</v>
      </c>
      <c r="AP41" s="57" t="s">
        <v>167</v>
      </c>
      <c r="AQ41" s="58">
        <f t="shared" si="7"/>
        <v>2.5000000000000001E-5</v>
      </c>
      <c r="AR41" s="59" t="str">
        <f t="shared" si="33"/>
        <v>MES系统维护</v>
      </c>
      <c r="AS41" s="56">
        <f t="shared" si="8"/>
        <v>1.7E-5</v>
      </c>
      <c r="AT41" s="57" t="s">
        <v>167</v>
      </c>
      <c r="AU41" s="58">
        <f t="shared" si="9"/>
        <v>2.5000000000000001E-5</v>
      </c>
      <c r="AV41" s="59" t="str">
        <f t="shared" si="34"/>
        <v>MES系统维护</v>
      </c>
      <c r="AW41" s="56">
        <f t="shared" si="10"/>
        <v>1.7E-5</v>
      </c>
      <c r="AX41" s="57" t="s">
        <v>167</v>
      </c>
      <c r="AY41" s="58" t="str">
        <f t="shared" ca="1" si="11"/>
        <v/>
      </c>
      <c r="AZ41" s="59" t="str">
        <f t="shared" ca="1" si="35"/>
        <v/>
      </c>
    </row>
    <row r="42" spans="1:52">
      <c r="A42" s="49">
        <v>18</v>
      </c>
      <c r="B42" s="60" t="s">
        <v>168</v>
      </c>
      <c r="C42" s="51" t="s">
        <v>23</v>
      </c>
      <c r="D42" s="55">
        <v>1.8E-5</v>
      </c>
      <c r="E42" s="56">
        <f t="shared" si="12"/>
        <v>1.8E-5</v>
      </c>
      <c r="F42" s="57" t="s">
        <v>169</v>
      </c>
      <c r="G42" s="58">
        <f t="shared" si="13"/>
        <v>2.4000000000000001E-5</v>
      </c>
      <c r="H42" s="59" t="str">
        <f t="shared" si="14"/>
        <v>停电、停水、停气</v>
      </c>
      <c r="I42" s="56">
        <f t="shared" si="0"/>
        <v>1.8E-5</v>
      </c>
      <c r="J42" s="57" t="s">
        <v>169</v>
      </c>
      <c r="K42" s="58">
        <f t="shared" si="15"/>
        <v>2.4000000000000001E-5</v>
      </c>
      <c r="L42" s="59" t="str">
        <f t="shared" si="16"/>
        <v>停电、停水、停气</v>
      </c>
      <c r="M42" s="56">
        <f t="shared" si="1"/>
        <v>1.8E-5</v>
      </c>
      <c r="N42" s="57" t="s">
        <v>169</v>
      </c>
      <c r="O42" s="58">
        <f t="shared" si="17"/>
        <v>2.4000000000000001E-5</v>
      </c>
      <c r="P42" s="59" t="str">
        <f t="shared" si="18"/>
        <v>停电、停水、停气</v>
      </c>
      <c r="Q42" s="56">
        <f t="shared" si="2"/>
        <v>1.8E-5</v>
      </c>
      <c r="R42" s="57" t="s">
        <v>169</v>
      </c>
      <c r="S42" s="58">
        <f t="shared" si="3"/>
        <v>2.4000000000000001E-5</v>
      </c>
      <c r="T42" s="59" t="str">
        <f t="shared" si="19"/>
        <v>停电、停水、停气</v>
      </c>
      <c r="U42" s="56">
        <f t="shared" si="20"/>
        <v>1.8E-5</v>
      </c>
      <c r="V42" s="57" t="s">
        <v>169</v>
      </c>
      <c r="W42" s="58">
        <f t="shared" si="4"/>
        <v>2.4000000000000001E-5</v>
      </c>
      <c r="X42" s="59" t="str">
        <f t="shared" si="21"/>
        <v>停电、停水、停气</v>
      </c>
      <c r="Y42" s="111">
        <f t="shared" si="22"/>
        <v>1.8E-5</v>
      </c>
      <c r="Z42" s="57" t="s">
        <v>169</v>
      </c>
      <c r="AA42" s="58">
        <f t="shared" si="23"/>
        <v>2.4000000000000001E-5</v>
      </c>
      <c r="AB42" s="59" t="str">
        <f t="shared" si="24"/>
        <v>停电、停水、停气</v>
      </c>
      <c r="AC42" s="111">
        <f t="shared" si="25"/>
        <v>1.8E-5</v>
      </c>
      <c r="AD42" s="57" t="s">
        <v>169</v>
      </c>
      <c r="AE42" s="58">
        <f t="shared" si="26"/>
        <v>2.4000000000000001E-5</v>
      </c>
      <c r="AF42" s="59" t="str">
        <f t="shared" si="27"/>
        <v>停电、停水、停气</v>
      </c>
      <c r="AG42" s="56">
        <f t="shared" si="28"/>
        <v>1430.3333513333332</v>
      </c>
      <c r="AH42" s="57" t="s">
        <v>169</v>
      </c>
      <c r="AI42" s="58">
        <f t="shared" si="29"/>
        <v>271.0833613333333</v>
      </c>
      <c r="AJ42" s="59" t="str">
        <f t="shared" si="30"/>
        <v>IQC 检验员</v>
      </c>
      <c r="AK42" s="115">
        <f t="shared" si="31"/>
        <v>1.8E-5</v>
      </c>
      <c r="AL42" s="57" t="s">
        <v>169</v>
      </c>
      <c r="AM42" s="58">
        <f t="shared" si="5"/>
        <v>2.4000000000000001E-5</v>
      </c>
      <c r="AN42" s="59" t="str">
        <f t="shared" si="32"/>
        <v>停电、停水、停气</v>
      </c>
      <c r="AO42" s="56">
        <f t="shared" si="6"/>
        <v>1.8E-5</v>
      </c>
      <c r="AP42" s="57" t="s">
        <v>169</v>
      </c>
      <c r="AQ42" s="58">
        <f t="shared" si="7"/>
        <v>2.4000000000000001E-5</v>
      </c>
      <c r="AR42" s="59" t="str">
        <f t="shared" si="33"/>
        <v>停电、停水、停气</v>
      </c>
      <c r="AS42" s="56">
        <f t="shared" si="8"/>
        <v>1.8E-5</v>
      </c>
      <c r="AT42" s="57" t="s">
        <v>169</v>
      </c>
      <c r="AU42" s="58">
        <f t="shared" si="9"/>
        <v>2.4000000000000001E-5</v>
      </c>
      <c r="AV42" s="59" t="str">
        <f t="shared" si="34"/>
        <v>停电、停水、停气</v>
      </c>
      <c r="AW42" s="56">
        <f t="shared" si="10"/>
        <v>1.8E-5</v>
      </c>
      <c r="AX42" s="57" t="s">
        <v>169</v>
      </c>
      <c r="AY42" s="58" t="str">
        <f t="shared" ca="1" si="11"/>
        <v/>
      </c>
      <c r="AZ42" s="59" t="str">
        <f t="shared" ca="1" si="35"/>
        <v/>
      </c>
    </row>
    <row r="43" spans="1:52">
      <c r="A43" s="49">
        <v>19</v>
      </c>
      <c r="B43" s="60"/>
      <c r="C43" s="51" t="s">
        <v>25</v>
      </c>
      <c r="D43" s="55">
        <v>1.9000000000000001E-5</v>
      </c>
      <c r="E43" s="56">
        <f t="shared" si="12"/>
        <v>1.9000000000000001E-5</v>
      </c>
      <c r="F43" s="57" t="s">
        <v>170</v>
      </c>
      <c r="G43" s="58">
        <f t="shared" si="13"/>
        <v>2.3E-5</v>
      </c>
      <c r="H43" s="59" t="str">
        <f t="shared" si="14"/>
        <v>叫停调试</v>
      </c>
      <c r="I43" s="56">
        <f t="shared" si="0"/>
        <v>1.9000000000000001E-5</v>
      </c>
      <c r="J43" s="57" t="s">
        <v>170</v>
      </c>
      <c r="K43" s="58">
        <f t="shared" si="15"/>
        <v>2.3E-5</v>
      </c>
      <c r="L43" s="59" t="str">
        <f t="shared" si="16"/>
        <v>叫停调试</v>
      </c>
      <c r="M43" s="56">
        <f t="shared" si="1"/>
        <v>1.9000000000000001E-5</v>
      </c>
      <c r="N43" s="57" t="s">
        <v>170</v>
      </c>
      <c r="O43" s="58">
        <f t="shared" si="17"/>
        <v>2.3E-5</v>
      </c>
      <c r="P43" s="59" t="str">
        <f t="shared" si="18"/>
        <v>叫停调试</v>
      </c>
      <c r="Q43" s="56">
        <f t="shared" si="2"/>
        <v>1.9000000000000001E-5</v>
      </c>
      <c r="R43" s="57" t="s">
        <v>170</v>
      </c>
      <c r="S43" s="58">
        <f t="shared" si="3"/>
        <v>2.3E-5</v>
      </c>
      <c r="T43" s="59" t="str">
        <f t="shared" si="19"/>
        <v>叫停调试</v>
      </c>
      <c r="U43" s="56">
        <f t="shared" si="20"/>
        <v>1.9000000000000001E-5</v>
      </c>
      <c r="V43" s="57" t="s">
        <v>170</v>
      </c>
      <c r="W43" s="58">
        <f t="shared" si="4"/>
        <v>2.3E-5</v>
      </c>
      <c r="X43" s="59" t="str">
        <f t="shared" si="21"/>
        <v>叫停调试</v>
      </c>
      <c r="Y43" s="111">
        <f t="shared" si="22"/>
        <v>1.9000000000000001E-5</v>
      </c>
      <c r="Z43" s="57" t="s">
        <v>170</v>
      </c>
      <c r="AA43" s="58">
        <f t="shared" si="23"/>
        <v>2.3E-5</v>
      </c>
      <c r="AB43" s="59" t="str">
        <f t="shared" si="24"/>
        <v>叫停调试</v>
      </c>
      <c r="AC43" s="111">
        <f t="shared" si="25"/>
        <v>1.9000000000000001E-5</v>
      </c>
      <c r="AD43" s="57" t="s">
        <v>170</v>
      </c>
      <c r="AE43" s="58">
        <f t="shared" si="26"/>
        <v>2.3E-5</v>
      </c>
      <c r="AF43" s="59" t="str">
        <f t="shared" si="27"/>
        <v>叫停调试</v>
      </c>
      <c r="AG43" s="56">
        <f t="shared" si="28"/>
        <v>33.150019</v>
      </c>
      <c r="AH43" s="57" t="s">
        <v>170</v>
      </c>
      <c r="AI43" s="58">
        <f t="shared" si="29"/>
        <v>260.650014</v>
      </c>
      <c r="AJ43" s="59" t="str">
        <f t="shared" si="30"/>
        <v>过程返工</v>
      </c>
      <c r="AK43" s="115">
        <f t="shared" si="31"/>
        <v>1.9000000000000001E-5</v>
      </c>
      <c r="AL43" s="57" t="s">
        <v>170</v>
      </c>
      <c r="AM43" s="58">
        <f t="shared" si="5"/>
        <v>2.3E-5</v>
      </c>
      <c r="AN43" s="59" t="str">
        <f t="shared" si="32"/>
        <v>叫停调试</v>
      </c>
      <c r="AO43" s="56">
        <f t="shared" si="6"/>
        <v>1.9000000000000001E-5</v>
      </c>
      <c r="AP43" s="57" t="s">
        <v>170</v>
      </c>
      <c r="AQ43" s="58">
        <f t="shared" si="7"/>
        <v>2.3E-5</v>
      </c>
      <c r="AR43" s="59" t="str">
        <f t="shared" si="33"/>
        <v>叫停调试</v>
      </c>
      <c r="AS43" s="56">
        <f t="shared" si="8"/>
        <v>1.9000000000000001E-5</v>
      </c>
      <c r="AT43" s="57" t="s">
        <v>170</v>
      </c>
      <c r="AU43" s="58">
        <f t="shared" si="9"/>
        <v>2.3E-5</v>
      </c>
      <c r="AV43" s="59" t="str">
        <f t="shared" si="34"/>
        <v>叫停调试</v>
      </c>
      <c r="AW43" s="56">
        <f t="shared" si="10"/>
        <v>1.9000000000000001E-5</v>
      </c>
      <c r="AX43" s="57" t="s">
        <v>170</v>
      </c>
      <c r="AY43" s="58" t="str">
        <f t="shared" ca="1" si="11"/>
        <v/>
      </c>
      <c r="AZ43" s="59" t="str">
        <f t="shared" ca="1" si="35"/>
        <v/>
      </c>
    </row>
    <row r="44" spans="1:52">
      <c r="A44" s="49">
        <v>20</v>
      </c>
      <c r="B44" s="60"/>
      <c r="C44" s="51" t="s">
        <v>26</v>
      </c>
      <c r="D44" s="55">
        <v>2.0000000000000002E-5</v>
      </c>
      <c r="E44" s="56">
        <f t="shared" si="12"/>
        <v>2.0000000000000002E-5</v>
      </c>
      <c r="F44" s="57" t="s">
        <v>171</v>
      </c>
      <c r="G44" s="58">
        <f t="shared" si="13"/>
        <v>2.1999999999999999E-5</v>
      </c>
      <c r="H44" s="59" t="str">
        <f t="shared" si="14"/>
        <v>等待相关部门支持</v>
      </c>
      <c r="I44" s="56">
        <f t="shared" si="0"/>
        <v>2.0000000000000002E-5</v>
      </c>
      <c r="J44" s="57" t="s">
        <v>171</v>
      </c>
      <c r="K44" s="58">
        <f t="shared" si="15"/>
        <v>2.1999999999999999E-5</v>
      </c>
      <c r="L44" s="59" t="str">
        <f t="shared" si="16"/>
        <v>等待相关部门支持</v>
      </c>
      <c r="M44" s="56">
        <f t="shared" si="1"/>
        <v>2.0000000000000002E-5</v>
      </c>
      <c r="N44" s="57" t="s">
        <v>171</v>
      </c>
      <c r="O44" s="58">
        <f t="shared" si="17"/>
        <v>2.1999999999999999E-5</v>
      </c>
      <c r="P44" s="59" t="str">
        <f t="shared" si="18"/>
        <v>等待相关部门支持</v>
      </c>
      <c r="Q44" s="56">
        <f t="shared" si="2"/>
        <v>2.0000000000000002E-5</v>
      </c>
      <c r="R44" s="57" t="s">
        <v>171</v>
      </c>
      <c r="S44" s="58">
        <f t="shared" si="3"/>
        <v>2.1999999999999999E-5</v>
      </c>
      <c r="T44" s="59" t="str">
        <f t="shared" si="19"/>
        <v>等待相关部门支持</v>
      </c>
      <c r="U44" s="56">
        <f t="shared" si="20"/>
        <v>2.0000000000000002E-5</v>
      </c>
      <c r="V44" s="57" t="s">
        <v>171</v>
      </c>
      <c r="W44" s="58">
        <f t="shared" si="4"/>
        <v>2.1999999999999999E-5</v>
      </c>
      <c r="X44" s="59" t="str">
        <f t="shared" si="21"/>
        <v>等待相关部门支持</v>
      </c>
      <c r="Y44" s="111">
        <f t="shared" si="22"/>
        <v>2.0000000000000002E-5</v>
      </c>
      <c r="Z44" s="57" t="s">
        <v>171</v>
      </c>
      <c r="AA44" s="58">
        <f t="shared" si="23"/>
        <v>2.1999999999999999E-5</v>
      </c>
      <c r="AB44" s="59" t="str">
        <f t="shared" si="24"/>
        <v>等待相关部门支持</v>
      </c>
      <c r="AC44" s="111">
        <f t="shared" si="25"/>
        <v>2.0000000000000002E-5</v>
      </c>
      <c r="AD44" s="57" t="s">
        <v>171</v>
      </c>
      <c r="AE44" s="58">
        <f t="shared" si="26"/>
        <v>2.1999999999999999E-5</v>
      </c>
      <c r="AF44" s="59" t="str">
        <f t="shared" si="27"/>
        <v>等待相关部门支持</v>
      </c>
      <c r="AG44" s="56">
        <f t="shared" si="28"/>
        <v>212.48335333333333</v>
      </c>
      <c r="AH44" s="57" t="s">
        <v>171</v>
      </c>
      <c r="AI44" s="58">
        <f t="shared" si="29"/>
        <v>237.38336933333332</v>
      </c>
      <c r="AJ44" s="59" t="str">
        <f t="shared" si="30"/>
        <v>车间培训员</v>
      </c>
      <c r="AK44" s="115">
        <f t="shared" si="31"/>
        <v>2.0000000000000002E-5</v>
      </c>
      <c r="AL44" s="57" t="s">
        <v>171</v>
      </c>
      <c r="AM44" s="58">
        <f t="shared" si="5"/>
        <v>2.1999999999999999E-5</v>
      </c>
      <c r="AN44" s="59" t="str">
        <f t="shared" si="32"/>
        <v>等待相关部门支持</v>
      </c>
      <c r="AO44" s="56">
        <f t="shared" si="6"/>
        <v>2.0000000000000002E-5</v>
      </c>
      <c r="AP44" s="57" t="s">
        <v>171</v>
      </c>
      <c r="AQ44" s="58">
        <f t="shared" si="7"/>
        <v>2.1999999999999999E-5</v>
      </c>
      <c r="AR44" s="59" t="str">
        <f t="shared" si="33"/>
        <v>等待相关部门支持</v>
      </c>
      <c r="AS44" s="56">
        <f t="shared" si="8"/>
        <v>2.0000000000000002E-5</v>
      </c>
      <c r="AT44" s="57" t="s">
        <v>171</v>
      </c>
      <c r="AU44" s="58">
        <f t="shared" si="9"/>
        <v>2.1999999999999999E-5</v>
      </c>
      <c r="AV44" s="59" t="str">
        <f t="shared" si="34"/>
        <v>等待相关部门支持</v>
      </c>
      <c r="AW44" s="56">
        <f t="shared" si="10"/>
        <v>2.0000000000000002E-5</v>
      </c>
      <c r="AX44" s="57" t="s">
        <v>171</v>
      </c>
      <c r="AY44" s="58" t="str">
        <f t="shared" ca="1" si="11"/>
        <v/>
      </c>
      <c r="AZ44" s="59" t="str">
        <f t="shared" ca="1" si="35"/>
        <v/>
      </c>
    </row>
    <row r="45" spans="1:52">
      <c r="A45" s="49">
        <v>21</v>
      </c>
      <c r="B45" s="60"/>
      <c r="C45" s="51" t="s">
        <v>27</v>
      </c>
      <c r="D45" s="55">
        <v>2.0999999999999999E-5</v>
      </c>
      <c r="E45" s="56">
        <f t="shared" si="12"/>
        <v>2.0999999999999999E-5</v>
      </c>
      <c r="F45" s="57" t="s">
        <v>172</v>
      </c>
      <c r="G45" s="58">
        <f t="shared" si="13"/>
        <v>2.0999999999999999E-5</v>
      </c>
      <c r="H45" s="59" t="str">
        <f t="shared" si="14"/>
        <v>等待订单</v>
      </c>
      <c r="I45" s="56">
        <f t="shared" si="0"/>
        <v>2.0999999999999999E-5</v>
      </c>
      <c r="J45" s="57" t="s">
        <v>172</v>
      </c>
      <c r="K45" s="58">
        <f t="shared" si="15"/>
        <v>2.0999999999999999E-5</v>
      </c>
      <c r="L45" s="59" t="str">
        <f t="shared" si="16"/>
        <v>等待订单</v>
      </c>
      <c r="M45" s="56">
        <f t="shared" si="1"/>
        <v>2.0999999999999999E-5</v>
      </c>
      <c r="N45" s="57" t="s">
        <v>172</v>
      </c>
      <c r="O45" s="58">
        <f t="shared" si="17"/>
        <v>2.0999999999999999E-5</v>
      </c>
      <c r="P45" s="59" t="str">
        <f t="shared" si="18"/>
        <v>等待订单</v>
      </c>
      <c r="Q45" s="56">
        <f t="shared" si="2"/>
        <v>2.0999999999999999E-5</v>
      </c>
      <c r="R45" s="57" t="s">
        <v>172</v>
      </c>
      <c r="S45" s="58">
        <f t="shared" si="3"/>
        <v>2.0999999999999999E-5</v>
      </c>
      <c r="T45" s="59" t="str">
        <f t="shared" si="19"/>
        <v>等待订单</v>
      </c>
      <c r="U45" s="56">
        <f t="shared" si="20"/>
        <v>2.0999999999999999E-5</v>
      </c>
      <c r="V45" s="57" t="s">
        <v>172</v>
      </c>
      <c r="W45" s="58">
        <f t="shared" si="4"/>
        <v>2.0999999999999999E-5</v>
      </c>
      <c r="X45" s="59" t="str">
        <f t="shared" si="21"/>
        <v>等待订单</v>
      </c>
      <c r="Y45" s="111">
        <f t="shared" si="22"/>
        <v>2.0999999999999999E-5</v>
      </c>
      <c r="Z45" s="57" t="s">
        <v>172</v>
      </c>
      <c r="AA45" s="58">
        <f t="shared" si="23"/>
        <v>2.0999999999999999E-5</v>
      </c>
      <c r="AB45" s="59" t="str">
        <f t="shared" si="24"/>
        <v>等待订单</v>
      </c>
      <c r="AC45" s="111">
        <f t="shared" si="25"/>
        <v>2.0999999999999999E-5</v>
      </c>
      <c r="AD45" s="57" t="s">
        <v>172</v>
      </c>
      <c r="AE45" s="58">
        <f t="shared" si="26"/>
        <v>2.0999999999999999E-5</v>
      </c>
      <c r="AF45" s="59" t="str">
        <f t="shared" si="27"/>
        <v>等待订单</v>
      </c>
      <c r="AG45" s="56">
        <f t="shared" si="28"/>
        <v>7.6666876666666672</v>
      </c>
      <c r="AH45" s="57" t="s">
        <v>172</v>
      </c>
      <c r="AI45" s="58">
        <f t="shared" si="29"/>
        <v>212.48335333333333</v>
      </c>
      <c r="AJ45" s="59" t="str">
        <f t="shared" si="30"/>
        <v>等待维修</v>
      </c>
      <c r="AK45" s="115">
        <f t="shared" si="31"/>
        <v>2.0999999999999999E-5</v>
      </c>
      <c r="AL45" s="57" t="s">
        <v>172</v>
      </c>
      <c r="AM45" s="58">
        <f t="shared" si="5"/>
        <v>2.0999999999999999E-5</v>
      </c>
      <c r="AN45" s="59" t="str">
        <f t="shared" si="32"/>
        <v>等待订单</v>
      </c>
      <c r="AO45" s="56">
        <f t="shared" si="6"/>
        <v>2.0999999999999999E-5</v>
      </c>
      <c r="AP45" s="57" t="s">
        <v>172</v>
      </c>
      <c r="AQ45" s="58">
        <f t="shared" si="7"/>
        <v>2.0999999999999999E-5</v>
      </c>
      <c r="AR45" s="59" t="str">
        <f t="shared" si="33"/>
        <v>等待订单</v>
      </c>
      <c r="AS45" s="56">
        <f t="shared" si="8"/>
        <v>2.0999999999999999E-5</v>
      </c>
      <c r="AT45" s="57" t="s">
        <v>172</v>
      </c>
      <c r="AU45" s="58">
        <f t="shared" si="9"/>
        <v>2.0999999999999999E-5</v>
      </c>
      <c r="AV45" s="59" t="str">
        <f t="shared" si="34"/>
        <v>等待订单</v>
      </c>
      <c r="AW45" s="56">
        <f t="shared" si="10"/>
        <v>2.0999999999999999E-5</v>
      </c>
      <c r="AX45" s="57" t="s">
        <v>172</v>
      </c>
      <c r="AY45" s="58" t="str">
        <f t="shared" ca="1" si="11"/>
        <v/>
      </c>
      <c r="AZ45" s="59" t="str">
        <f t="shared" ca="1" si="35"/>
        <v/>
      </c>
    </row>
    <row r="46" spans="1:52">
      <c r="A46" s="49">
        <v>22</v>
      </c>
      <c r="B46" s="60"/>
      <c r="C46" s="51" t="s">
        <v>28</v>
      </c>
      <c r="D46" s="55">
        <v>2.1999999999999999E-5</v>
      </c>
      <c r="E46" s="56">
        <f t="shared" si="12"/>
        <v>2.1999999999999999E-5</v>
      </c>
      <c r="F46" s="57" t="s">
        <v>173</v>
      </c>
      <c r="G46" s="58">
        <f t="shared" si="13"/>
        <v>2.0000000000000002E-5</v>
      </c>
      <c r="H46" s="59" t="str">
        <f t="shared" si="14"/>
        <v>等待维修</v>
      </c>
      <c r="I46" s="56">
        <f t="shared" si="0"/>
        <v>2.1999999999999999E-5</v>
      </c>
      <c r="J46" s="57" t="s">
        <v>173</v>
      </c>
      <c r="K46" s="58">
        <f t="shared" si="15"/>
        <v>2.0000000000000002E-5</v>
      </c>
      <c r="L46" s="59" t="str">
        <f t="shared" si="16"/>
        <v>等待维修</v>
      </c>
      <c r="M46" s="56">
        <f t="shared" si="1"/>
        <v>2.1999999999999999E-5</v>
      </c>
      <c r="N46" s="57" t="s">
        <v>173</v>
      </c>
      <c r="O46" s="58">
        <f t="shared" si="17"/>
        <v>2.0000000000000002E-5</v>
      </c>
      <c r="P46" s="59" t="str">
        <f t="shared" si="18"/>
        <v>等待维修</v>
      </c>
      <c r="Q46" s="56">
        <f t="shared" si="2"/>
        <v>2.1999999999999999E-5</v>
      </c>
      <c r="R46" s="57" t="s">
        <v>173</v>
      </c>
      <c r="S46" s="58">
        <f t="shared" si="3"/>
        <v>2.0000000000000002E-5</v>
      </c>
      <c r="T46" s="59" t="str">
        <f t="shared" si="19"/>
        <v>等待维修</v>
      </c>
      <c r="U46" s="56">
        <f t="shared" si="20"/>
        <v>2.1999999999999999E-5</v>
      </c>
      <c r="V46" s="57" t="s">
        <v>173</v>
      </c>
      <c r="W46" s="58">
        <f t="shared" si="4"/>
        <v>2.0000000000000002E-5</v>
      </c>
      <c r="X46" s="59" t="str">
        <f t="shared" si="21"/>
        <v>等待维修</v>
      </c>
      <c r="Y46" s="111">
        <f t="shared" si="22"/>
        <v>2.1999999999999999E-5</v>
      </c>
      <c r="Z46" s="57" t="s">
        <v>173</v>
      </c>
      <c r="AA46" s="58">
        <f t="shared" si="23"/>
        <v>2.0000000000000002E-5</v>
      </c>
      <c r="AB46" s="59" t="str">
        <f t="shared" si="24"/>
        <v>等待维修</v>
      </c>
      <c r="AC46" s="111">
        <f t="shared" si="25"/>
        <v>2.1999999999999999E-5</v>
      </c>
      <c r="AD46" s="57" t="s">
        <v>173</v>
      </c>
      <c r="AE46" s="58">
        <f t="shared" si="26"/>
        <v>2.0000000000000002E-5</v>
      </c>
      <c r="AF46" s="59" t="str">
        <f t="shared" si="27"/>
        <v>等待维修</v>
      </c>
      <c r="AG46" s="56">
        <f t="shared" si="28"/>
        <v>87.350021999999996</v>
      </c>
      <c r="AH46" s="57" t="s">
        <v>173</v>
      </c>
      <c r="AI46" s="58">
        <f t="shared" si="29"/>
        <v>145.56667566666667</v>
      </c>
      <c r="AJ46" s="59" t="str">
        <f t="shared" si="30"/>
        <v>样品检测</v>
      </c>
      <c r="AK46" s="115">
        <f t="shared" si="31"/>
        <v>2.1999999999999999E-5</v>
      </c>
      <c r="AL46" s="57" t="s">
        <v>173</v>
      </c>
      <c r="AM46" s="58">
        <f t="shared" si="5"/>
        <v>2.0000000000000002E-5</v>
      </c>
      <c r="AN46" s="59" t="str">
        <f t="shared" si="32"/>
        <v>等待维修</v>
      </c>
      <c r="AO46" s="56">
        <f t="shared" si="6"/>
        <v>2.1999999999999999E-5</v>
      </c>
      <c r="AP46" s="57" t="s">
        <v>173</v>
      </c>
      <c r="AQ46" s="58">
        <f t="shared" si="7"/>
        <v>2.0000000000000002E-5</v>
      </c>
      <c r="AR46" s="59" t="str">
        <f t="shared" si="33"/>
        <v>等待维修</v>
      </c>
      <c r="AS46" s="56">
        <f t="shared" si="8"/>
        <v>2.1999999999999999E-5</v>
      </c>
      <c r="AT46" s="57" t="s">
        <v>173</v>
      </c>
      <c r="AU46" s="58">
        <f t="shared" si="9"/>
        <v>2.0000000000000002E-5</v>
      </c>
      <c r="AV46" s="59" t="str">
        <f t="shared" si="34"/>
        <v>等待维修</v>
      </c>
      <c r="AW46" s="56">
        <f t="shared" si="10"/>
        <v>2.1999999999999999E-5</v>
      </c>
      <c r="AX46" s="57" t="s">
        <v>173</v>
      </c>
      <c r="AY46" s="58" t="str">
        <f t="shared" ca="1" si="11"/>
        <v/>
      </c>
      <c r="AZ46" s="59" t="str">
        <f t="shared" ca="1" si="35"/>
        <v/>
      </c>
    </row>
    <row r="47" spans="1:52">
      <c r="A47" s="49">
        <v>23</v>
      </c>
      <c r="B47" s="60"/>
      <c r="C47" s="51" t="s">
        <v>29</v>
      </c>
      <c r="D47" s="55">
        <v>2.3E-5</v>
      </c>
      <c r="E47" s="56">
        <f t="shared" si="12"/>
        <v>2.3E-5</v>
      </c>
      <c r="F47" s="57" t="s">
        <v>174</v>
      </c>
      <c r="G47" s="58">
        <f t="shared" si="13"/>
        <v>1.9000000000000001E-5</v>
      </c>
      <c r="H47" s="59" t="str">
        <f t="shared" si="14"/>
        <v>等待半成品</v>
      </c>
      <c r="I47" s="56">
        <f t="shared" si="0"/>
        <v>2.3E-5</v>
      </c>
      <c r="J47" s="57" t="s">
        <v>174</v>
      </c>
      <c r="K47" s="58">
        <f t="shared" si="15"/>
        <v>1.9000000000000001E-5</v>
      </c>
      <c r="L47" s="59" t="str">
        <f t="shared" si="16"/>
        <v>等待半成品</v>
      </c>
      <c r="M47" s="56">
        <f t="shared" si="1"/>
        <v>2.3E-5</v>
      </c>
      <c r="N47" s="57" t="s">
        <v>174</v>
      </c>
      <c r="O47" s="58">
        <f t="shared" si="17"/>
        <v>1.9000000000000001E-5</v>
      </c>
      <c r="P47" s="59" t="str">
        <f t="shared" si="18"/>
        <v>等待半成品</v>
      </c>
      <c r="Q47" s="56">
        <f t="shared" si="2"/>
        <v>2.3E-5</v>
      </c>
      <c r="R47" s="57" t="s">
        <v>174</v>
      </c>
      <c r="S47" s="58">
        <f t="shared" si="3"/>
        <v>1.9000000000000001E-5</v>
      </c>
      <c r="T47" s="59" t="str">
        <f t="shared" si="19"/>
        <v>等待半成品</v>
      </c>
      <c r="U47" s="56">
        <f t="shared" si="20"/>
        <v>2.3E-5</v>
      </c>
      <c r="V47" s="57" t="s">
        <v>174</v>
      </c>
      <c r="W47" s="58">
        <f t="shared" si="4"/>
        <v>1.9000000000000001E-5</v>
      </c>
      <c r="X47" s="59" t="str">
        <f t="shared" si="21"/>
        <v>等待半成品</v>
      </c>
      <c r="Y47" s="111">
        <f t="shared" si="22"/>
        <v>2.3E-5</v>
      </c>
      <c r="Z47" s="57" t="s">
        <v>174</v>
      </c>
      <c r="AA47" s="58">
        <f t="shared" si="23"/>
        <v>1.9000000000000001E-5</v>
      </c>
      <c r="AB47" s="59" t="str">
        <f t="shared" si="24"/>
        <v>等待半成品</v>
      </c>
      <c r="AC47" s="111">
        <f t="shared" si="25"/>
        <v>2.3E-5</v>
      </c>
      <c r="AD47" s="57" t="s">
        <v>174</v>
      </c>
      <c r="AE47" s="58">
        <f t="shared" si="26"/>
        <v>1.9000000000000001E-5</v>
      </c>
      <c r="AF47" s="59" t="str">
        <f t="shared" si="27"/>
        <v>等待半成品</v>
      </c>
      <c r="AG47" s="56">
        <f t="shared" si="28"/>
        <v>2.3E-5</v>
      </c>
      <c r="AH47" s="57" t="s">
        <v>174</v>
      </c>
      <c r="AI47" s="58">
        <f t="shared" si="29"/>
        <v>136.750033</v>
      </c>
      <c r="AJ47" s="59" t="str">
        <f t="shared" si="30"/>
        <v>生产订单分配员</v>
      </c>
      <c r="AK47" s="115">
        <f t="shared" si="31"/>
        <v>2.3E-5</v>
      </c>
      <c r="AL47" s="57" t="s">
        <v>174</v>
      </c>
      <c r="AM47" s="58">
        <f t="shared" si="5"/>
        <v>1.9000000000000001E-5</v>
      </c>
      <c r="AN47" s="59" t="str">
        <f t="shared" si="32"/>
        <v>等待半成品</v>
      </c>
      <c r="AO47" s="56">
        <f t="shared" si="6"/>
        <v>2.3E-5</v>
      </c>
      <c r="AP47" s="57" t="s">
        <v>174</v>
      </c>
      <c r="AQ47" s="58">
        <f t="shared" si="7"/>
        <v>1.9000000000000001E-5</v>
      </c>
      <c r="AR47" s="59" t="str">
        <f t="shared" si="33"/>
        <v>等待半成品</v>
      </c>
      <c r="AS47" s="56">
        <f t="shared" si="8"/>
        <v>2.3E-5</v>
      </c>
      <c r="AT47" s="57" t="s">
        <v>174</v>
      </c>
      <c r="AU47" s="58">
        <f t="shared" si="9"/>
        <v>1.9000000000000001E-5</v>
      </c>
      <c r="AV47" s="59" t="str">
        <f t="shared" si="34"/>
        <v>等待半成品</v>
      </c>
      <c r="AW47" s="56">
        <f t="shared" si="10"/>
        <v>2.3E-5</v>
      </c>
      <c r="AX47" s="57" t="s">
        <v>174</v>
      </c>
      <c r="AY47" s="58" t="str">
        <f t="shared" ca="1" si="11"/>
        <v/>
      </c>
      <c r="AZ47" s="59" t="str">
        <f t="shared" ca="1" si="35"/>
        <v/>
      </c>
    </row>
    <row r="48" spans="1:52">
      <c r="A48" s="49">
        <v>24</v>
      </c>
      <c r="B48" s="60"/>
      <c r="C48" s="51" t="s">
        <v>30</v>
      </c>
      <c r="D48" s="55">
        <v>2.4000000000000001E-5</v>
      </c>
      <c r="E48" s="56">
        <f>(HLOOKUP($C48,$K$5:$BP$18,2,0))/60+D48</f>
        <v>2.4000000000000001E-5</v>
      </c>
      <c r="F48" s="57" t="s">
        <v>175</v>
      </c>
      <c r="G48" s="58">
        <f t="shared" si="13"/>
        <v>1.8E-5</v>
      </c>
      <c r="H48" s="59" t="str">
        <f t="shared" si="14"/>
        <v>等待物料</v>
      </c>
      <c r="I48" s="56">
        <f t="shared" si="0"/>
        <v>2.4000000000000001E-5</v>
      </c>
      <c r="J48" s="57" t="s">
        <v>175</v>
      </c>
      <c r="K48" s="58">
        <f t="shared" si="15"/>
        <v>1.8E-5</v>
      </c>
      <c r="L48" s="59" t="str">
        <f t="shared" si="16"/>
        <v>等待物料</v>
      </c>
      <c r="M48" s="56">
        <f t="shared" si="1"/>
        <v>2.4000000000000001E-5</v>
      </c>
      <c r="N48" s="57" t="s">
        <v>175</v>
      </c>
      <c r="O48" s="58">
        <f t="shared" si="17"/>
        <v>1.8E-5</v>
      </c>
      <c r="P48" s="59" t="str">
        <f t="shared" si="18"/>
        <v>等待物料</v>
      </c>
      <c r="Q48" s="56">
        <f t="shared" si="2"/>
        <v>2.4000000000000001E-5</v>
      </c>
      <c r="R48" s="57" t="s">
        <v>175</v>
      </c>
      <c r="S48" s="58">
        <f t="shared" si="3"/>
        <v>1.8E-5</v>
      </c>
      <c r="T48" s="59" t="str">
        <f t="shared" si="19"/>
        <v>等待物料</v>
      </c>
      <c r="U48" s="56">
        <f t="shared" si="20"/>
        <v>2.4000000000000001E-5</v>
      </c>
      <c r="V48" s="57" t="s">
        <v>175</v>
      </c>
      <c r="W48" s="58">
        <f t="shared" si="4"/>
        <v>1.8E-5</v>
      </c>
      <c r="X48" s="59" t="str">
        <f t="shared" si="21"/>
        <v>等待物料</v>
      </c>
      <c r="Y48" s="111">
        <f t="shared" si="22"/>
        <v>2.4000000000000001E-5</v>
      </c>
      <c r="Z48" s="57" t="s">
        <v>175</v>
      </c>
      <c r="AA48" s="58">
        <f t="shared" si="23"/>
        <v>1.8E-5</v>
      </c>
      <c r="AB48" s="59" t="str">
        <f t="shared" si="24"/>
        <v>等待物料</v>
      </c>
      <c r="AC48" s="111">
        <f t="shared" si="25"/>
        <v>2.4000000000000001E-5</v>
      </c>
      <c r="AD48" s="57" t="s">
        <v>175</v>
      </c>
      <c r="AE48" s="58">
        <f t="shared" si="26"/>
        <v>1.8E-5</v>
      </c>
      <c r="AF48" s="59" t="str">
        <f t="shared" si="27"/>
        <v>等待物料</v>
      </c>
      <c r="AG48" s="56">
        <f t="shared" si="28"/>
        <v>131.23335733333332</v>
      </c>
      <c r="AH48" s="57" t="s">
        <v>175</v>
      </c>
      <c r="AI48" s="58">
        <f t="shared" si="29"/>
        <v>131.23335733333332</v>
      </c>
      <c r="AJ48" s="59" t="str">
        <f t="shared" si="30"/>
        <v>停电、停水、停气</v>
      </c>
      <c r="AK48" s="115">
        <f t="shared" si="31"/>
        <v>2.4000000000000001E-5</v>
      </c>
      <c r="AL48" s="57" t="s">
        <v>175</v>
      </c>
      <c r="AM48" s="58">
        <f t="shared" si="5"/>
        <v>1.8E-5</v>
      </c>
      <c r="AN48" s="59" t="str">
        <f t="shared" si="32"/>
        <v>等待物料</v>
      </c>
      <c r="AO48" s="56">
        <f t="shared" si="6"/>
        <v>2.4000000000000001E-5</v>
      </c>
      <c r="AP48" s="57" t="s">
        <v>175</v>
      </c>
      <c r="AQ48" s="58">
        <f t="shared" si="7"/>
        <v>1.8E-5</v>
      </c>
      <c r="AR48" s="59" t="str">
        <f t="shared" si="33"/>
        <v>等待物料</v>
      </c>
      <c r="AS48" s="56">
        <f t="shared" si="8"/>
        <v>2.4000000000000001E-5</v>
      </c>
      <c r="AT48" s="57" t="s">
        <v>175</v>
      </c>
      <c r="AU48" s="58">
        <f t="shared" si="9"/>
        <v>1.8E-5</v>
      </c>
      <c r="AV48" s="59" t="str">
        <f t="shared" si="34"/>
        <v>等待物料</v>
      </c>
      <c r="AW48" s="56">
        <f t="shared" si="10"/>
        <v>2.4000000000000001E-5</v>
      </c>
      <c r="AX48" s="57" t="s">
        <v>175</v>
      </c>
      <c r="AY48" s="58" t="str">
        <f t="shared" ca="1" si="11"/>
        <v/>
      </c>
      <c r="AZ48" s="59" t="str">
        <f t="shared" ca="1" si="35"/>
        <v/>
      </c>
    </row>
    <row r="49" spans="1:52">
      <c r="A49" s="49">
        <v>25</v>
      </c>
      <c r="B49" s="60"/>
      <c r="C49" s="51" t="s">
        <v>31</v>
      </c>
      <c r="D49" s="55">
        <v>2.5000000000000001E-5</v>
      </c>
      <c r="E49" s="56">
        <f t="shared" si="12"/>
        <v>2.5000000000000001E-5</v>
      </c>
      <c r="F49" s="57" t="s">
        <v>176</v>
      </c>
      <c r="G49" s="58">
        <f>LARGE($E$25:$E$65,A49)</f>
        <v>1.7E-5</v>
      </c>
      <c r="H49" s="59" t="str">
        <f t="shared" si="14"/>
        <v>设计返工</v>
      </c>
      <c r="I49" s="56">
        <f t="shared" si="0"/>
        <v>2.5000000000000001E-5</v>
      </c>
      <c r="J49" s="57" t="s">
        <v>176</v>
      </c>
      <c r="K49" s="58">
        <f t="shared" si="15"/>
        <v>1.7E-5</v>
      </c>
      <c r="L49" s="59" t="str">
        <f t="shared" si="16"/>
        <v>设计返工</v>
      </c>
      <c r="M49" s="56">
        <f t="shared" si="1"/>
        <v>2.5000000000000001E-5</v>
      </c>
      <c r="N49" s="57" t="s">
        <v>176</v>
      </c>
      <c r="O49" s="58">
        <f t="shared" si="17"/>
        <v>1.7E-5</v>
      </c>
      <c r="P49" s="59" t="str">
        <f t="shared" si="18"/>
        <v>设计返工</v>
      </c>
      <c r="Q49" s="56">
        <f t="shared" si="2"/>
        <v>2.5000000000000001E-5</v>
      </c>
      <c r="R49" s="57" t="s">
        <v>176</v>
      </c>
      <c r="S49" s="58">
        <f t="shared" si="3"/>
        <v>1.7E-5</v>
      </c>
      <c r="T49" s="59" t="str">
        <f t="shared" si="19"/>
        <v>设计返工</v>
      </c>
      <c r="U49" s="56">
        <f t="shared" si="20"/>
        <v>2.5000000000000001E-5</v>
      </c>
      <c r="V49" s="57" t="s">
        <v>176</v>
      </c>
      <c r="W49" s="58">
        <f t="shared" si="4"/>
        <v>1.7E-5</v>
      </c>
      <c r="X49" s="59" t="str">
        <f t="shared" si="21"/>
        <v>设计返工</v>
      </c>
      <c r="Y49" s="111">
        <f t="shared" si="22"/>
        <v>2.5000000000000001E-5</v>
      </c>
      <c r="Z49" s="57" t="s">
        <v>176</v>
      </c>
      <c r="AA49" s="58">
        <f t="shared" si="23"/>
        <v>1.7E-5</v>
      </c>
      <c r="AB49" s="59" t="str">
        <f t="shared" si="24"/>
        <v>设计返工</v>
      </c>
      <c r="AC49" s="111">
        <f t="shared" si="25"/>
        <v>2.5000000000000001E-5</v>
      </c>
      <c r="AD49" s="57" t="s">
        <v>176</v>
      </c>
      <c r="AE49" s="58">
        <f t="shared" si="26"/>
        <v>1.7E-5</v>
      </c>
      <c r="AF49" s="59" t="str">
        <f t="shared" si="27"/>
        <v>设计返工</v>
      </c>
      <c r="AG49" s="56">
        <f t="shared" si="28"/>
        <v>2.5000000000000001E-5</v>
      </c>
      <c r="AH49" s="57" t="s">
        <v>176</v>
      </c>
      <c r="AI49" s="58">
        <f t="shared" si="29"/>
        <v>108.78333533333333</v>
      </c>
      <c r="AJ49" s="59" t="str">
        <f t="shared" si="30"/>
        <v>新岗位效率损失</v>
      </c>
      <c r="AK49" s="115">
        <f t="shared" si="31"/>
        <v>2.5000000000000001E-5</v>
      </c>
      <c r="AL49" s="57" t="s">
        <v>176</v>
      </c>
      <c r="AM49" s="58">
        <f t="shared" si="5"/>
        <v>1.7E-5</v>
      </c>
      <c r="AN49" s="59" t="str">
        <f t="shared" si="32"/>
        <v>设计返工</v>
      </c>
      <c r="AO49" s="56">
        <f t="shared" si="6"/>
        <v>2.5000000000000001E-5</v>
      </c>
      <c r="AP49" s="57" t="s">
        <v>176</v>
      </c>
      <c r="AQ49" s="58">
        <f t="shared" si="7"/>
        <v>1.7E-5</v>
      </c>
      <c r="AR49" s="59" t="str">
        <f t="shared" si="33"/>
        <v>设计返工</v>
      </c>
      <c r="AS49" s="56">
        <f t="shared" si="8"/>
        <v>2.5000000000000001E-5</v>
      </c>
      <c r="AT49" s="57" t="s">
        <v>176</v>
      </c>
      <c r="AU49" s="58">
        <f t="shared" si="9"/>
        <v>1.7E-5</v>
      </c>
      <c r="AV49" s="59" t="str">
        <f t="shared" si="34"/>
        <v>设计返工</v>
      </c>
      <c r="AW49" s="56">
        <f t="shared" si="10"/>
        <v>2.5000000000000001E-5</v>
      </c>
      <c r="AX49" s="57" t="s">
        <v>176</v>
      </c>
      <c r="AY49" s="58" t="str">
        <f t="shared" ca="1" si="11"/>
        <v/>
      </c>
      <c r="AZ49" s="59" t="str">
        <f t="shared" ca="1" si="35"/>
        <v/>
      </c>
    </row>
    <row r="50" spans="1:52">
      <c r="A50" s="49">
        <v>26</v>
      </c>
      <c r="B50" s="51"/>
      <c r="C50" s="51" t="s">
        <v>33</v>
      </c>
      <c r="D50" s="55">
        <v>2.5999999999999998E-5</v>
      </c>
      <c r="E50" s="56">
        <f t="shared" si="12"/>
        <v>2.5999999999999998E-5</v>
      </c>
      <c r="F50" s="57" t="s">
        <v>177</v>
      </c>
      <c r="G50" s="58">
        <f t="shared" si="13"/>
        <v>1.5999999999999999E-5</v>
      </c>
      <c r="H50" s="59" t="str">
        <f t="shared" si="14"/>
        <v>附加控制</v>
      </c>
      <c r="I50" s="56">
        <f t="shared" si="0"/>
        <v>2.5999999999999998E-5</v>
      </c>
      <c r="J50" s="57" t="s">
        <v>177</v>
      </c>
      <c r="K50" s="58">
        <f t="shared" si="15"/>
        <v>1.5999999999999999E-5</v>
      </c>
      <c r="L50" s="59" t="str">
        <f t="shared" si="16"/>
        <v>附加控制</v>
      </c>
      <c r="M50" s="56">
        <f t="shared" si="1"/>
        <v>2.5999999999999998E-5</v>
      </c>
      <c r="N50" s="57" t="s">
        <v>177</v>
      </c>
      <c r="O50" s="58">
        <f t="shared" si="17"/>
        <v>1.5999999999999999E-5</v>
      </c>
      <c r="P50" s="59" t="str">
        <f t="shared" si="18"/>
        <v>附加控制</v>
      </c>
      <c r="Q50" s="56">
        <f t="shared" si="2"/>
        <v>2.5999999999999998E-5</v>
      </c>
      <c r="R50" s="57" t="s">
        <v>177</v>
      </c>
      <c r="S50" s="58">
        <f t="shared" si="3"/>
        <v>1.5999999999999999E-5</v>
      </c>
      <c r="T50" s="59" t="str">
        <f t="shared" si="19"/>
        <v>附加控制</v>
      </c>
      <c r="U50" s="56">
        <f t="shared" si="20"/>
        <v>2.5999999999999998E-5</v>
      </c>
      <c r="V50" s="57" t="s">
        <v>177</v>
      </c>
      <c r="W50" s="58">
        <f t="shared" si="4"/>
        <v>1.5999999999999999E-5</v>
      </c>
      <c r="X50" s="59" t="str">
        <f t="shared" si="21"/>
        <v>附加控制</v>
      </c>
      <c r="Y50" s="111">
        <f t="shared" si="22"/>
        <v>2.5999999999999998E-5</v>
      </c>
      <c r="Z50" s="57" t="s">
        <v>177</v>
      </c>
      <c r="AA50" s="58">
        <f t="shared" si="23"/>
        <v>1.5999999999999999E-5</v>
      </c>
      <c r="AB50" s="59" t="str">
        <f t="shared" si="24"/>
        <v>附加控制</v>
      </c>
      <c r="AC50" s="111">
        <f t="shared" si="25"/>
        <v>2.5999999999999998E-5</v>
      </c>
      <c r="AD50" s="57" t="s">
        <v>177</v>
      </c>
      <c r="AE50" s="58">
        <f t="shared" si="26"/>
        <v>1.5999999999999999E-5</v>
      </c>
      <c r="AF50" s="59" t="str">
        <f t="shared" si="27"/>
        <v>附加控制</v>
      </c>
      <c r="AG50" s="56">
        <f t="shared" si="28"/>
        <v>1441.6666926666667</v>
      </c>
      <c r="AH50" s="57" t="s">
        <v>177</v>
      </c>
      <c r="AI50" s="58">
        <f t="shared" si="29"/>
        <v>87.350021999999996</v>
      </c>
      <c r="AJ50" s="59" t="str">
        <f t="shared" si="30"/>
        <v>等待相关部门支持</v>
      </c>
      <c r="AK50" s="115">
        <f t="shared" si="31"/>
        <v>2.5999999999999998E-5</v>
      </c>
      <c r="AL50" s="57" t="s">
        <v>177</v>
      </c>
      <c r="AM50" s="58">
        <f t="shared" si="5"/>
        <v>1.5999999999999999E-5</v>
      </c>
      <c r="AN50" s="59" t="str">
        <f t="shared" si="32"/>
        <v>附加控制</v>
      </c>
      <c r="AO50" s="56">
        <f t="shared" si="6"/>
        <v>2.5999999999999998E-5</v>
      </c>
      <c r="AP50" s="57" t="s">
        <v>177</v>
      </c>
      <c r="AQ50" s="58">
        <f t="shared" si="7"/>
        <v>1.5999999999999999E-5</v>
      </c>
      <c r="AR50" s="59" t="str">
        <f t="shared" si="33"/>
        <v>附加控制</v>
      </c>
      <c r="AS50" s="56">
        <f t="shared" si="8"/>
        <v>2.5999999999999998E-5</v>
      </c>
      <c r="AT50" s="57" t="s">
        <v>177</v>
      </c>
      <c r="AU50" s="58">
        <f t="shared" si="9"/>
        <v>1.5999999999999999E-5</v>
      </c>
      <c r="AV50" s="59" t="str">
        <f t="shared" si="34"/>
        <v>附加控制</v>
      </c>
      <c r="AW50" s="56">
        <f t="shared" si="10"/>
        <v>2.5999999999999998E-5</v>
      </c>
      <c r="AX50" s="57" t="s">
        <v>177</v>
      </c>
      <c r="AY50" s="58" t="str">
        <f t="shared" ca="1" si="11"/>
        <v/>
      </c>
      <c r="AZ50" s="59" t="str">
        <f t="shared" ca="1" si="35"/>
        <v/>
      </c>
    </row>
    <row r="51" spans="1:52">
      <c r="A51" s="49">
        <v>27</v>
      </c>
      <c r="B51" s="51"/>
      <c r="C51" s="51" t="s">
        <v>34</v>
      </c>
      <c r="D51" s="55">
        <v>2.6999999999999999E-5</v>
      </c>
      <c r="E51" s="56">
        <f>(HLOOKUP($C51,$K$5:$BP$18,2,0))/60+D51</f>
        <v>2.6999999999999999E-5</v>
      </c>
      <c r="F51" s="57" t="s">
        <v>178</v>
      </c>
      <c r="G51" s="58">
        <f t="shared" si="13"/>
        <v>1.5E-5</v>
      </c>
      <c r="H51" s="59" t="str">
        <f t="shared" si="14"/>
        <v>拒收返工</v>
      </c>
      <c r="I51" s="56">
        <f t="shared" si="0"/>
        <v>2.6999999999999999E-5</v>
      </c>
      <c r="J51" s="57" t="s">
        <v>178</v>
      </c>
      <c r="K51" s="58">
        <f t="shared" si="15"/>
        <v>1.5E-5</v>
      </c>
      <c r="L51" s="59" t="str">
        <f t="shared" si="16"/>
        <v>拒收返工</v>
      </c>
      <c r="M51" s="56">
        <f t="shared" si="1"/>
        <v>2.6999999999999999E-5</v>
      </c>
      <c r="N51" s="57" t="s">
        <v>178</v>
      </c>
      <c r="O51" s="58">
        <f t="shared" si="17"/>
        <v>1.5E-5</v>
      </c>
      <c r="P51" s="59" t="str">
        <f t="shared" si="18"/>
        <v>拒收返工</v>
      </c>
      <c r="Q51" s="56">
        <f t="shared" si="2"/>
        <v>2.6999999999999999E-5</v>
      </c>
      <c r="R51" s="57" t="s">
        <v>178</v>
      </c>
      <c r="S51" s="58">
        <f t="shared" si="3"/>
        <v>1.5E-5</v>
      </c>
      <c r="T51" s="59" t="str">
        <f t="shared" si="19"/>
        <v>拒收返工</v>
      </c>
      <c r="U51" s="56">
        <f t="shared" si="20"/>
        <v>2.6999999999999999E-5</v>
      </c>
      <c r="V51" s="57" t="s">
        <v>178</v>
      </c>
      <c r="W51" s="58">
        <f t="shared" si="4"/>
        <v>1.5E-5</v>
      </c>
      <c r="X51" s="59" t="str">
        <f t="shared" si="21"/>
        <v>拒收返工</v>
      </c>
      <c r="Y51" s="111">
        <f t="shared" si="22"/>
        <v>2.6999999999999999E-5</v>
      </c>
      <c r="Z51" s="57" t="s">
        <v>178</v>
      </c>
      <c r="AA51" s="58">
        <f t="shared" si="23"/>
        <v>1.5E-5</v>
      </c>
      <c r="AB51" s="59" t="str">
        <f t="shared" si="24"/>
        <v>拒收返工</v>
      </c>
      <c r="AC51" s="111">
        <f t="shared" si="25"/>
        <v>2.6999999999999999E-5</v>
      </c>
      <c r="AD51" s="57" t="s">
        <v>178</v>
      </c>
      <c r="AE51" s="58">
        <f t="shared" si="26"/>
        <v>1.5E-5</v>
      </c>
      <c r="AF51" s="59" t="str">
        <f t="shared" si="27"/>
        <v>拒收返工</v>
      </c>
      <c r="AG51" s="56">
        <f t="shared" si="28"/>
        <v>2.5000270000000002</v>
      </c>
      <c r="AH51" s="57" t="s">
        <v>178</v>
      </c>
      <c r="AI51" s="58">
        <f t="shared" si="29"/>
        <v>40.050010999999998</v>
      </c>
      <c r="AJ51" s="59" t="str">
        <f t="shared" si="30"/>
        <v>生产安排, 分活等</v>
      </c>
      <c r="AK51" s="115">
        <f t="shared" si="31"/>
        <v>2.6999999999999999E-5</v>
      </c>
      <c r="AL51" s="57" t="s">
        <v>178</v>
      </c>
      <c r="AM51" s="58">
        <f t="shared" si="5"/>
        <v>1.5E-5</v>
      </c>
      <c r="AN51" s="59" t="str">
        <f t="shared" si="32"/>
        <v>拒收返工</v>
      </c>
      <c r="AO51" s="56">
        <f t="shared" si="6"/>
        <v>2.6999999999999999E-5</v>
      </c>
      <c r="AP51" s="57" t="s">
        <v>178</v>
      </c>
      <c r="AQ51" s="58">
        <f t="shared" si="7"/>
        <v>1.5E-5</v>
      </c>
      <c r="AR51" s="59" t="str">
        <f t="shared" si="33"/>
        <v>拒收返工</v>
      </c>
      <c r="AS51" s="56">
        <f t="shared" si="8"/>
        <v>2.6999999999999999E-5</v>
      </c>
      <c r="AT51" s="57" t="s">
        <v>178</v>
      </c>
      <c r="AU51" s="58">
        <f t="shared" si="9"/>
        <v>1.5E-5</v>
      </c>
      <c r="AV51" s="59" t="str">
        <f t="shared" si="34"/>
        <v>拒收返工</v>
      </c>
      <c r="AW51" s="56">
        <f t="shared" si="10"/>
        <v>2.6999999999999999E-5</v>
      </c>
      <c r="AX51" s="57" t="s">
        <v>178</v>
      </c>
      <c r="AY51" s="58" t="str">
        <f t="shared" ca="1" si="11"/>
        <v/>
      </c>
      <c r="AZ51" s="59" t="str">
        <f t="shared" ca="1" si="35"/>
        <v/>
      </c>
    </row>
    <row r="52" spans="1:52">
      <c r="A52" s="49">
        <v>28</v>
      </c>
      <c r="B52" s="51"/>
      <c r="C52" s="51" t="s">
        <v>35</v>
      </c>
      <c r="D52" s="55">
        <v>2.8E-5</v>
      </c>
      <c r="E52" s="56">
        <f t="shared" si="12"/>
        <v>2.8E-5</v>
      </c>
      <c r="F52" s="57" t="s">
        <v>179</v>
      </c>
      <c r="G52" s="58">
        <f t="shared" si="13"/>
        <v>1.4E-5</v>
      </c>
      <c r="H52" s="59" t="str">
        <f t="shared" si="14"/>
        <v>过程返工</v>
      </c>
      <c r="I52" s="56">
        <f t="shared" si="0"/>
        <v>2.8E-5</v>
      </c>
      <c r="J52" s="57" t="s">
        <v>179</v>
      </c>
      <c r="K52" s="58">
        <f t="shared" si="15"/>
        <v>1.4E-5</v>
      </c>
      <c r="L52" s="59" t="str">
        <f t="shared" si="16"/>
        <v>过程返工</v>
      </c>
      <c r="M52" s="56">
        <f t="shared" si="1"/>
        <v>2.8E-5</v>
      </c>
      <c r="N52" s="57" t="s">
        <v>179</v>
      </c>
      <c r="O52" s="58">
        <f t="shared" si="17"/>
        <v>1.4E-5</v>
      </c>
      <c r="P52" s="59" t="str">
        <f t="shared" si="18"/>
        <v>过程返工</v>
      </c>
      <c r="Q52" s="56">
        <f t="shared" si="2"/>
        <v>2.8E-5</v>
      </c>
      <c r="R52" s="57" t="s">
        <v>179</v>
      </c>
      <c r="S52" s="58">
        <f t="shared" si="3"/>
        <v>1.4E-5</v>
      </c>
      <c r="T52" s="59" t="str">
        <f t="shared" si="19"/>
        <v>过程返工</v>
      </c>
      <c r="U52" s="56">
        <f t="shared" si="20"/>
        <v>2.8E-5</v>
      </c>
      <c r="V52" s="57" t="s">
        <v>179</v>
      </c>
      <c r="W52" s="58">
        <f t="shared" si="4"/>
        <v>1.4E-5</v>
      </c>
      <c r="X52" s="59" t="str">
        <f t="shared" si="21"/>
        <v>过程返工</v>
      </c>
      <c r="Y52" s="111">
        <f t="shared" si="22"/>
        <v>2.8E-5</v>
      </c>
      <c r="Z52" s="57" t="s">
        <v>179</v>
      </c>
      <c r="AA52" s="58">
        <f t="shared" si="23"/>
        <v>1.4E-5</v>
      </c>
      <c r="AB52" s="59" t="str">
        <f t="shared" si="24"/>
        <v>过程返工</v>
      </c>
      <c r="AC52" s="111">
        <f t="shared" si="25"/>
        <v>2.8E-5</v>
      </c>
      <c r="AD52" s="57" t="s">
        <v>179</v>
      </c>
      <c r="AE52" s="58">
        <f t="shared" si="26"/>
        <v>1.4E-5</v>
      </c>
      <c r="AF52" s="59" t="str">
        <f t="shared" si="27"/>
        <v>过程返工</v>
      </c>
      <c r="AG52" s="56">
        <f t="shared" si="28"/>
        <v>271.0833613333333</v>
      </c>
      <c r="AH52" s="57" t="s">
        <v>179</v>
      </c>
      <c r="AI52" s="58">
        <f t="shared" si="29"/>
        <v>33.150019</v>
      </c>
      <c r="AJ52" s="59" t="str">
        <f t="shared" si="30"/>
        <v>等待半成品</v>
      </c>
      <c r="AK52" s="115">
        <f t="shared" si="31"/>
        <v>2.8E-5</v>
      </c>
      <c r="AL52" s="57" t="s">
        <v>179</v>
      </c>
      <c r="AM52" s="58">
        <f t="shared" si="5"/>
        <v>1.4E-5</v>
      </c>
      <c r="AN52" s="59" t="str">
        <f t="shared" si="32"/>
        <v>过程返工</v>
      </c>
      <c r="AO52" s="56">
        <f t="shared" si="6"/>
        <v>2.8E-5</v>
      </c>
      <c r="AP52" s="57" t="s">
        <v>179</v>
      </c>
      <c r="AQ52" s="58">
        <f t="shared" si="7"/>
        <v>1.4E-5</v>
      </c>
      <c r="AR52" s="59" t="str">
        <f t="shared" si="33"/>
        <v>过程返工</v>
      </c>
      <c r="AS52" s="56">
        <f t="shared" si="8"/>
        <v>2.8E-5</v>
      </c>
      <c r="AT52" s="57" t="s">
        <v>179</v>
      </c>
      <c r="AU52" s="58">
        <f t="shared" si="9"/>
        <v>1.4E-5</v>
      </c>
      <c r="AV52" s="59" t="str">
        <f t="shared" si="34"/>
        <v>过程返工</v>
      </c>
      <c r="AW52" s="56">
        <f t="shared" si="10"/>
        <v>2.8E-5</v>
      </c>
      <c r="AX52" s="57" t="s">
        <v>179</v>
      </c>
      <c r="AY52" s="58" t="str">
        <f t="shared" ca="1" si="11"/>
        <v/>
      </c>
      <c r="AZ52" s="59" t="str">
        <f t="shared" ca="1" si="35"/>
        <v/>
      </c>
    </row>
    <row r="53" spans="1:52">
      <c r="A53" s="49">
        <v>29</v>
      </c>
      <c r="B53" s="51"/>
      <c r="C53" s="51" t="s">
        <v>36</v>
      </c>
      <c r="D53" s="55">
        <v>2.9E-5</v>
      </c>
      <c r="E53" s="56">
        <f t="shared" si="12"/>
        <v>2.9E-5</v>
      </c>
      <c r="F53" s="57" t="s">
        <v>180</v>
      </c>
      <c r="G53" s="58">
        <f t="shared" si="13"/>
        <v>1.2999999999999999E-5</v>
      </c>
      <c r="H53" s="59" t="str">
        <f t="shared" si="14"/>
        <v>来料返工</v>
      </c>
      <c r="I53" s="56">
        <f t="shared" si="0"/>
        <v>2.9E-5</v>
      </c>
      <c r="J53" s="57" t="s">
        <v>180</v>
      </c>
      <c r="K53" s="58">
        <f t="shared" si="15"/>
        <v>1.2999999999999999E-5</v>
      </c>
      <c r="L53" s="59" t="str">
        <f t="shared" si="16"/>
        <v>来料返工</v>
      </c>
      <c r="M53" s="56">
        <f t="shared" si="1"/>
        <v>2.9E-5</v>
      </c>
      <c r="N53" s="57" t="s">
        <v>180</v>
      </c>
      <c r="O53" s="58">
        <f t="shared" si="17"/>
        <v>1.2999999999999999E-5</v>
      </c>
      <c r="P53" s="59" t="str">
        <f t="shared" si="18"/>
        <v>来料返工</v>
      </c>
      <c r="Q53" s="56">
        <f t="shared" si="2"/>
        <v>2.9E-5</v>
      </c>
      <c r="R53" s="57" t="s">
        <v>180</v>
      </c>
      <c r="S53" s="58">
        <f t="shared" si="3"/>
        <v>1.2999999999999999E-5</v>
      </c>
      <c r="T53" s="59" t="str">
        <f t="shared" si="19"/>
        <v>来料返工</v>
      </c>
      <c r="U53" s="56">
        <f t="shared" si="20"/>
        <v>2.9E-5</v>
      </c>
      <c r="V53" s="57" t="s">
        <v>180</v>
      </c>
      <c r="W53" s="58">
        <f t="shared" si="4"/>
        <v>1.2999999999999999E-5</v>
      </c>
      <c r="X53" s="59" t="str">
        <f t="shared" si="21"/>
        <v>来料返工</v>
      </c>
      <c r="Y53" s="111">
        <f t="shared" si="22"/>
        <v>2.9E-5</v>
      </c>
      <c r="Z53" s="57" t="s">
        <v>180</v>
      </c>
      <c r="AA53" s="58">
        <f t="shared" si="23"/>
        <v>1.2999999999999999E-5</v>
      </c>
      <c r="AB53" s="59" t="str">
        <f t="shared" si="24"/>
        <v>来料返工</v>
      </c>
      <c r="AC53" s="111">
        <f t="shared" si="25"/>
        <v>2.9E-5</v>
      </c>
      <c r="AD53" s="57" t="s">
        <v>180</v>
      </c>
      <c r="AE53" s="58">
        <f t="shared" si="26"/>
        <v>1.2999999999999999E-5</v>
      </c>
      <c r="AF53" s="59" t="str">
        <f t="shared" si="27"/>
        <v>来料返工</v>
      </c>
      <c r="AG53" s="56">
        <f t="shared" si="28"/>
        <v>596.76669566666669</v>
      </c>
      <c r="AH53" s="57" t="s">
        <v>180</v>
      </c>
      <c r="AI53" s="58">
        <f t="shared" si="29"/>
        <v>16.183368333333334</v>
      </c>
      <c r="AJ53" s="59" t="str">
        <f t="shared" si="30"/>
        <v xml:space="preserve">输机人员 输入数据 </v>
      </c>
      <c r="AK53" s="115">
        <f t="shared" si="31"/>
        <v>2.9E-5</v>
      </c>
      <c r="AL53" s="57" t="s">
        <v>180</v>
      </c>
      <c r="AM53" s="58">
        <f t="shared" si="5"/>
        <v>1.2999999999999999E-5</v>
      </c>
      <c r="AN53" s="59" t="str">
        <f t="shared" si="32"/>
        <v>来料返工</v>
      </c>
      <c r="AO53" s="56">
        <f t="shared" si="6"/>
        <v>2.9E-5</v>
      </c>
      <c r="AP53" s="57" t="s">
        <v>180</v>
      </c>
      <c r="AQ53" s="58">
        <f t="shared" si="7"/>
        <v>1.2999999999999999E-5</v>
      </c>
      <c r="AR53" s="59" t="str">
        <f t="shared" si="33"/>
        <v>来料返工</v>
      </c>
      <c r="AS53" s="56">
        <f t="shared" si="8"/>
        <v>2.9E-5</v>
      </c>
      <c r="AT53" s="57" t="s">
        <v>180</v>
      </c>
      <c r="AU53" s="58">
        <f t="shared" si="9"/>
        <v>1.2999999999999999E-5</v>
      </c>
      <c r="AV53" s="59" t="str">
        <f t="shared" si="34"/>
        <v>来料返工</v>
      </c>
      <c r="AW53" s="56">
        <f t="shared" si="10"/>
        <v>2.9E-5</v>
      </c>
      <c r="AX53" s="57" t="s">
        <v>180</v>
      </c>
      <c r="AY53" s="58" t="str">
        <f t="shared" ca="1" si="11"/>
        <v/>
      </c>
      <c r="AZ53" s="59" t="str">
        <f t="shared" ca="1" si="35"/>
        <v/>
      </c>
    </row>
    <row r="54" spans="1:52">
      <c r="A54" s="49">
        <v>30</v>
      </c>
      <c r="B54" s="51"/>
      <c r="C54" s="51" t="s">
        <v>37</v>
      </c>
      <c r="D54" s="55">
        <v>3.0000000000000001E-5</v>
      </c>
      <c r="E54" s="56">
        <f t="shared" si="12"/>
        <v>3.0000000000000001E-5</v>
      </c>
      <c r="F54" s="57" t="s">
        <v>181</v>
      </c>
      <c r="G54" s="58">
        <f t="shared" si="13"/>
        <v>1.2E-5</v>
      </c>
      <c r="H54" s="59" t="str">
        <f t="shared" si="14"/>
        <v>SAP系统操作</v>
      </c>
      <c r="I54" s="56">
        <f t="shared" si="0"/>
        <v>3.0000000000000001E-5</v>
      </c>
      <c r="J54" s="57" t="s">
        <v>181</v>
      </c>
      <c r="K54" s="58">
        <f t="shared" si="15"/>
        <v>1.2E-5</v>
      </c>
      <c r="L54" s="59" t="str">
        <f t="shared" si="16"/>
        <v>SAP系统操作</v>
      </c>
      <c r="M54" s="56">
        <f t="shared" si="1"/>
        <v>3.0000000000000001E-5</v>
      </c>
      <c r="N54" s="57" t="s">
        <v>181</v>
      </c>
      <c r="O54" s="58">
        <f t="shared" si="17"/>
        <v>1.2E-5</v>
      </c>
      <c r="P54" s="59" t="str">
        <f t="shared" si="18"/>
        <v>SAP系统操作</v>
      </c>
      <c r="Q54" s="56">
        <f t="shared" si="2"/>
        <v>3.0000000000000001E-5</v>
      </c>
      <c r="R54" s="57" t="s">
        <v>181</v>
      </c>
      <c r="S54" s="58">
        <f t="shared" si="3"/>
        <v>1.2E-5</v>
      </c>
      <c r="T54" s="59" t="str">
        <f t="shared" si="19"/>
        <v>SAP系统操作</v>
      </c>
      <c r="U54" s="56">
        <f t="shared" si="20"/>
        <v>3.0000000000000001E-5</v>
      </c>
      <c r="V54" s="57" t="s">
        <v>181</v>
      </c>
      <c r="W54" s="58">
        <f t="shared" si="4"/>
        <v>1.2E-5</v>
      </c>
      <c r="X54" s="59" t="str">
        <f t="shared" si="21"/>
        <v>SAP系统操作</v>
      </c>
      <c r="Y54" s="111">
        <f t="shared" si="22"/>
        <v>3.0000000000000001E-5</v>
      </c>
      <c r="Z54" s="57" t="s">
        <v>181</v>
      </c>
      <c r="AA54" s="58">
        <f t="shared" si="23"/>
        <v>1.2E-5</v>
      </c>
      <c r="AB54" s="59" t="str">
        <f t="shared" si="24"/>
        <v>SAP系统操作</v>
      </c>
      <c r="AC54" s="111">
        <f t="shared" si="25"/>
        <v>3.0000000000000001E-5</v>
      </c>
      <c r="AD54" s="57" t="s">
        <v>181</v>
      </c>
      <c r="AE54" s="58">
        <f t="shared" si="26"/>
        <v>1.2E-5</v>
      </c>
      <c r="AF54" s="59" t="str">
        <f t="shared" si="27"/>
        <v>SAP系统操作</v>
      </c>
      <c r="AG54" s="56">
        <f t="shared" si="28"/>
        <v>353.46669666666662</v>
      </c>
      <c r="AH54" s="57" t="s">
        <v>181</v>
      </c>
      <c r="AI54" s="58">
        <f t="shared" si="29"/>
        <v>13.183373333333334</v>
      </c>
      <c r="AJ54" s="59" t="str">
        <f t="shared" si="30"/>
        <v>操作员领辅料</v>
      </c>
      <c r="AK54" s="115">
        <f t="shared" si="31"/>
        <v>3.0000000000000001E-5</v>
      </c>
      <c r="AL54" s="57" t="s">
        <v>181</v>
      </c>
      <c r="AM54" s="58">
        <f t="shared" si="5"/>
        <v>1.2E-5</v>
      </c>
      <c r="AN54" s="59" t="str">
        <f t="shared" si="32"/>
        <v>SAP系统操作</v>
      </c>
      <c r="AO54" s="56">
        <f t="shared" si="6"/>
        <v>3.0000000000000001E-5</v>
      </c>
      <c r="AP54" s="57" t="s">
        <v>181</v>
      </c>
      <c r="AQ54" s="58">
        <f t="shared" si="7"/>
        <v>1.2E-5</v>
      </c>
      <c r="AR54" s="59" t="str">
        <f t="shared" si="33"/>
        <v>SAP系统操作</v>
      </c>
      <c r="AS54" s="56">
        <f t="shared" si="8"/>
        <v>3.0000000000000001E-5</v>
      </c>
      <c r="AT54" s="57" t="s">
        <v>181</v>
      </c>
      <c r="AU54" s="58">
        <f t="shared" si="9"/>
        <v>1.2E-5</v>
      </c>
      <c r="AV54" s="59" t="str">
        <f t="shared" si="34"/>
        <v>SAP系统操作</v>
      </c>
      <c r="AW54" s="56">
        <f t="shared" si="10"/>
        <v>3.0000000000000001E-5</v>
      </c>
      <c r="AX54" s="57" t="s">
        <v>181</v>
      </c>
      <c r="AY54" s="58" t="str">
        <f t="shared" ca="1" si="11"/>
        <v/>
      </c>
      <c r="AZ54" s="59" t="str">
        <f t="shared" ca="1" si="35"/>
        <v/>
      </c>
    </row>
    <row r="55" spans="1:52">
      <c r="A55" s="49">
        <v>31</v>
      </c>
      <c r="B55" s="51"/>
      <c r="C55" s="51" t="s">
        <v>38</v>
      </c>
      <c r="D55" s="55">
        <v>3.1000000000000001E-5</v>
      </c>
      <c r="E55" s="56">
        <f t="shared" si="12"/>
        <v>3.1000000000000001E-5</v>
      </c>
      <c r="F55" s="57" t="s">
        <v>182</v>
      </c>
      <c r="G55" s="58">
        <f t="shared" si="13"/>
        <v>1.1E-5</v>
      </c>
      <c r="H55" s="59" t="str">
        <f t="shared" si="14"/>
        <v>生产安排, 分活等</v>
      </c>
      <c r="I55" s="56">
        <f t="shared" si="0"/>
        <v>3.1000000000000001E-5</v>
      </c>
      <c r="J55" s="57" t="s">
        <v>182</v>
      </c>
      <c r="K55" s="58">
        <f t="shared" si="15"/>
        <v>1.1E-5</v>
      </c>
      <c r="L55" s="59" t="str">
        <f t="shared" si="16"/>
        <v>生产安排, 分活等</v>
      </c>
      <c r="M55" s="56">
        <f t="shared" si="1"/>
        <v>3.1000000000000001E-5</v>
      </c>
      <c r="N55" s="57" t="s">
        <v>182</v>
      </c>
      <c r="O55" s="58">
        <f t="shared" si="17"/>
        <v>1.1E-5</v>
      </c>
      <c r="P55" s="59" t="str">
        <f t="shared" si="18"/>
        <v>生产安排, 分活等</v>
      </c>
      <c r="Q55" s="56">
        <f t="shared" si="2"/>
        <v>3.1000000000000001E-5</v>
      </c>
      <c r="R55" s="57" t="s">
        <v>182</v>
      </c>
      <c r="S55" s="58">
        <f t="shared" si="3"/>
        <v>1.1E-5</v>
      </c>
      <c r="T55" s="59" t="str">
        <f t="shared" si="19"/>
        <v>生产安排, 分活等</v>
      </c>
      <c r="U55" s="56">
        <f t="shared" si="20"/>
        <v>3.1000000000000001E-5</v>
      </c>
      <c r="V55" s="57" t="s">
        <v>182</v>
      </c>
      <c r="W55" s="58">
        <f t="shared" si="4"/>
        <v>1.1E-5</v>
      </c>
      <c r="X55" s="59" t="str">
        <f t="shared" si="21"/>
        <v>生产安排, 分活等</v>
      </c>
      <c r="Y55" s="111">
        <f t="shared" si="22"/>
        <v>3.1000000000000001E-5</v>
      </c>
      <c r="Z55" s="57" t="s">
        <v>182</v>
      </c>
      <c r="AA55" s="58">
        <f t="shared" si="23"/>
        <v>1.1E-5</v>
      </c>
      <c r="AB55" s="59" t="str">
        <f t="shared" si="24"/>
        <v>生产安排, 分活等</v>
      </c>
      <c r="AC55" s="111">
        <f t="shared" si="25"/>
        <v>3.1000000000000001E-5</v>
      </c>
      <c r="AD55" s="57" t="s">
        <v>182</v>
      </c>
      <c r="AE55" s="58">
        <f t="shared" si="26"/>
        <v>1.1E-5</v>
      </c>
      <c r="AF55" s="59" t="str">
        <f t="shared" si="27"/>
        <v>生产安排, 分活等</v>
      </c>
      <c r="AG55" s="56">
        <f t="shared" si="28"/>
        <v>5738.9833643333332</v>
      </c>
      <c r="AH55" s="57" t="s">
        <v>182</v>
      </c>
      <c r="AI55" s="58">
        <f t="shared" si="29"/>
        <v>9.8500119999999995</v>
      </c>
      <c r="AJ55" s="59" t="str">
        <f t="shared" si="30"/>
        <v>SAP系统操作</v>
      </c>
      <c r="AK55" s="115">
        <f t="shared" si="31"/>
        <v>3.1000000000000001E-5</v>
      </c>
      <c r="AL55" s="57" t="s">
        <v>182</v>
      </c>
      <c r="AM55" s="58">
        <f t="shared" si="5"/>
        <v>1.1E-5</v>
      </c>
      <c r="AN55" s="59" t="str">
        <f t="shared" si="32"/>
        <v>生产安排, 分活等</v>
      </c>
      <c r="AO55" s="56">
        <f t="shared" si="6"/>
        <v>3.1000000000000001E-5</v>
      </c>
      <c r="AP55" s="57" t="s">
        <v>182</v>
      </c>
      <c r="AQ55" s="58">
        <f t="shared" si="7"/>
        <v>1.1E-5</v>
      </c>
      <c r="AR55" s="59" t="str">
        <f t="shared" si="33"/>
        <v>生产安排, 分活等</v>
      </c>
      <c r="AS55" s="56">
        <f t="shared" si="8"/>
        <v>3.1000000000000001E-5</v>
      </c>
      <c r="AT55" s="57" t="s">
        <v>182</v>
      </c>
      <c r="AU55" s="58">
        <f t="shared" si="9"/>
        <v>1.1E-5</v>
      </c>
      <c r="AV55" s="59" t="str">
        <f t="shared" si="34"/>
        <v>生产安排, 分活等</v>
      </c>
      <c r="AW55" s="56">
        <f t="shared" si="10"/>
        <v>3.1000000000000001E-5</v>
      </c>
      <c r="AX55" s="57" t="s">
        <v>182</v>
      </c>
      <c r="AY55" s="58" t="str">
        <f t="shared" ca="1" si="11"/>
        <v/>
      </c>
      <c r="AZ55" s="59" t="str">
        <f t="shared" ca="1" si="35"/>
        <v/>
      </c>
    </row>
    <row r="56" spans="1:52">
      <c r="A56" s="49">
        <v>32</v>
      </c>
      <c r="B56" s="51"/>
      <c r="C56" s="51" t="s">
        <v>39</v>
      </c>
      <c r="D56" s="55">
        <v>3.1999999999999999E-5</v>
      </c>
      <c r="E56" s="56">
        <f t="shared" si="12"/>
        <v>3.1999999999999999E-5</v>
      </c>
      <c r="F56" s="57" t="s">
        <v>183</v>
      </c>
      <c r="G56" s="58">
        <f t="shared" si="13"/>
        <v>1.0000000000000001E-5</v>
      </c>
      <c r="H56" s="59" t="str">
        <f t="shared" si="14"/>
        <v>新产品试验</v>
      </c>
      <c r="I56" s="56">
        <f t="shared" si="0"/>
        <v>3.1999999999999999E-5</v>
      </c>
      <c r="J56" s="57" t="s">
        <v>183</v>
      </c>
      <c r="K56" s="58">
        <f t="shared" si="15"/>
        <v>1.0000000000000001E-5</v>
      </c>
      <c r="L56" s="59" t="str">
        <f t="shared" si="16"/>
        <v>新产品试验</v>
      </c>
      <c r="M56" s="56">
        <f t="shared" si="1"/>
        <v>3.1999999999999999E-5</v>
      </c>
      <c r="N56" s="57" t="s">
        <v>183</v>
      </c>
      <c r="O56" s="58">
        <f t="shared" si="17"/>
        <v>1.0000000000000001E-5</v>
      </c>
      <c r="P56" s="59" t="str">
        <f t="shared" si="18"/>
        <v>新产品试验</v>
      </c>
      <c r="Q56" s="56">
        <f t="shared" si="2"/>
        <v>3.1999999999999999E-5</v>
      </c>
      <c r="R56" s="57" t="s">
        <v>183</v>
      </c>
      <c r="S56" s="58">
        <f t="shared" si="3"/>
        <v>1.0000000000000001E-5</v>
      </c>
      <c r="T56" s="59" t="str">
        <f t="shared" si="19"/>
        <v>新产品试验</v>
      </c>
      <c r="U56" s="56">
        <f t="shared" si="20"/>
        <v>3.1999999999999999E-5</v>
      </c>
      <c r="V56" s="57" t="s">
        <v>183</v>
      </c>
      <c r="W56" s="58">
        <f t="shared" si="4"/>
        <v>1.0000000000000001E-5</v>
      </c>
      <c r="X56" s="59" t="str">
        <f t="shared" si="21"/>
        <v>新产品试验</v>
      </c>
      <c r="Y56" s="111">
        <f t="shared" si="22"/>
        <v>3.1999999999999999E-5</v>
      </c>
      <c r="Z56" s="57" t="s">
        <v>183</v>
      </c>
      <c r="AA56" s="58">
        <f t="shared" si="23"/>
        <v>1.0000000000000001E-5</v>
      </c>
      <c r="AB56" s="59" t="str">
        <f t="shared" si="24"/>
        <v>新产品试验</v>
      </c>
      <c r="AC56" s="111">
        <f t="shared" si="25"/>
        <v>3.1999999999999999E-5</v>
      </c>
      <c r="AD56" s="57" t="s">
        <v>183</v>
      </c>
      <c r="AE56" s="58">
        <f t="shared" si="26"/>
        <v>1.0000000000000001E-5</v>
      </c>
      <c r="AF56" s="59" t="str">
        <f t="shared" si="27"/>
        <v>新产品试验</v>
      </c>
      <c r="AG56" s="56">
        <f t="shared" si="28"/>
        <v>2245.1666986666664</v>
      </c>
      <c r="AH56" s="57" t="s">
        <v>183</v>
      </c>
      <c r="AI56" s="58">
        <f t="shared" si="29"/>
        <v>7.6666876666666672</v>
      </c>
      <c r="AJ56" s="59" t="str">
        <f t="shared" si="30"/>
        <v>等待订单</v>
      </c>
      <c r="AK56" s="115">
        <f t="shared" si="31"/>
        <v>3.1999999999999999E-5</v>
      </c>
      <c r="AL56" s="57" t="s">
        <v>183</v>
      </c>
      <c r="AM56" s="58">
        <f t="shared" si="5"/>
        <v>1.0000000000000001E-5</v>
      </c>
      <c r="AN56" s="59" t="str">
        <f t="shared" si="32"/>
        <v>新产品试验</v>
      </c>
      <c r="AO56" s="56">
        <f t="shared" si="6"/>
        <v>3.1999999999999999E-5</v>
      </c>
      <c r="AP56" s="57" t="s">
        <v>183</v>
      </c>
      <c r="AQ56" s="58">
        <f t="shared" si="7"/>
        <v>1.0000000000000001E-5</v>
      </c>
      <c r="AR56" s="59" t="str">
        <f t="shared" si="33"/>
        <v>新产品试验</v>
      </c>
      <c r="AS56" s="56">
        <f t="shared" si="8"/>
        <v>3.1999999999999999E-5</v>
      </c>
      <c r="AT56" s="57" t="s">
        <v>183</v>
      </c>
      <c r="AU56" s="58">
        <f t="shared" si="9"/>
        <v>1.0000000000000001E-5</v>
      </c>
      <c r="AV56" s="59" t="str">
        <f t="shared" si="34"/>
        <v>新产品试验</v>
      </c>
      <c r="AW56" s="56">
        <f t="shared" si="10"/>
        <v>3.1999999999999999E-5</v>
      </c>
      <c r="AX56" s="57" t="s">
        <v>183</v>
      </c>
      <c r="AY56" s="58" t="str">
        <f t="shared" ca="1" si="11"/>
        <v/>
      </c>
      <c r="AZ56" s="59" t="str">
        <f t="shared" ca="1" si="35"/>
        <v/>
      </c>
    </row>
    <row r="57" spans="1:52">
      <c r="A57" s="49">
        <v>33</v>
      </c>
      <c r="B57" s="51"/>
      <c r="C57" s="51" t="s">
        <v>40</v>
      </c>
      <c r="D57" s="55">
        <v>3.3000000000000003E-5</v>
      </c>
      <c r="E57" s="56">
        <f t="shared" si="12"/>
        <v>3.3000000000000003E-5</v>
      </c>
      <c r="F57" s="57" t="s">
        <v>184</v>
      </c>
      <c r="G57" s="58">
        <f t="shared" si="13"/>
        <v>9.0000000000000002E-6</v>
      </c>
      <c r="H57" s="59" t="str">
        <f t="shared" si="14"/>
        <v>样品检测</v>
      </c>
      <c r="I57" s="56">
        <f t="shared" si="0"/>
        <v>3.3000000000000003E-5</v>
      </c>
      <c r="J57" s="57" t="s">
        <v>184</v>
      </c>
      <c r="K57" s="58">
        <f t="shared" si="15"/>
        <v>9.0000000000000002E-6</v>
      </c>
      <c r="L57" s="59" t="str">
        <f t="shared" si="16"/>
        <v>样品检测</v>
      </c>
      <c r="M57" s="56">
        <f t="shared" si="1"/>
        <v>3.3000000000000003E-5</v>
      </c>
      <c r="N57" s="57" t="s">
        <v>184</v>
      </c>
      <c r="O57" s="58">
        <f t="shared" si="17"/>
        <v>9.0000000000000002E-6</v>
      </c>
      <c r="P57" s="59" t="str">
        <f t="shared" si="18"/>
        <v>样品检测</v>
      </c>
      <c r="Q57" s="56">
        <f t="shared" si="2"/>
        <v>3.3000000000000003E-5</v>
      </c>
      <c r="R57" s="57" t="s">
        <v>184</v>
      </c>
      <c r="S57" s="58">
        <f t="shared" si="3"/>
        <v>9.0000000000000002E-6</v>
      </c>
      <c r="T57" s="59" t="str">
        <f t="shared" si="19"/>
        <v>样品检测</v>
      </c>
      <c r="U57" s="56">
        <f t="shared" si="20"/>
        <v>3.3000000000000003E-5</v>
      </c>
      <c r="V57" s="57" t="s">
        <v>184</v>
      </c>
      <c r="W57" s="58">
        <f t="shared" si="4"/>
        <v>9.0000000000000002E-6</v>
      </c>
      <c r="X57" s="59" t="str">
        <f t="shared" si="21"/>
        <v>样品检测</v>
      </c>
      <c r="Y57" s="111">
        <f t="shared" si="22"/>
        <v>3.3000000000000003E-5</v>
      </c>
      <c r="Z57" s="57" t="s">
        <v>184</v>
      </c>
      <c r="AA57" s="58">
        <f t="shared" si="23"/>
        <v>9.0000000000000002E-6</v>
      </c>
      <c r="AB57" s="59" t="str">
        <f t="shared" si="24"/>
        <v>样品检测</v>
      </c>
      <c r="AC57" s="111">
        <f t="shared" si="25"/>
        <v>3.3000000000000003E-5</v>
      </c>
      <c r="AD57" s="57" t="s">
        <v>184</v>
      </c>
      <c r="AE57" s="58">
        <f t="shared" si="26"/>
        <v>9.0000000000000002E-6</v>
      </c>
      <c r="AF57" s="59" t="str">
        <f t="shared" si="27"/>
        <v>样品检测</v>
      </c>
      <c r="AG57" s="56">
        <f t="shared" si="28"/>
        <v>136.750033</v>
      </c>
      <c r="AH57" s="57" t="s">
        <v>184</v>
      </c>
      <c r="AI57" s="58">
        <f t="shared" si="29"/>
        <v>5.7500080000000002</v>
      </c>
      <c r="AJ57" s="59" t="str">
        <f t="shared" si="30"/>
        <v>员工维修/调整</v>
      </c>
      <c r="AK57" s="115">
        <f t="shared" si="31"/>
        <v>3.3000000000000003E-5</v>
      </c>
      <c r="AL57" s="57" t="s">
        <v>184</v>
      </c>
      <c r="AM57" s="58">
        <f t="shared" si="5"/>
        <v>9.0000000000000002E-6</v>
      </c>
      <c r="AN57" s="59" t="str">
        <f t="shared" si="32"/>
        <v>样品检测</v>
      </c>
      <c r="AO57" s="56">
        <f t="shared" si="6"/>
        <v>3.3000000000000003E-5</v>
      </c>
      <c r="AP57" s="57" t="s">
        <v>184</v>
      </c>
      <c r="AQ57" s="58">
        <f t="shared" si="7"/>
        <v>9.0000000000000002E-6</v>
      </c>
      <c r="AR57" s="59" t="str">
        <f t="shared" si="33"/>
        <v>样品检测</v>
      </c>
      <c r="AS57" s="56">
        <f t="shared" si="8"/>
        <v>3.3000000000000003E-5</v>
      </c>
      <c r="AT57" s="57" t="s">
        <v>184</v>
      </c>
      <c r="AU57" s="58">
        <f t="shared" si="9"/>
        <v>9.0000000000000002E-6</v>
      </c>
      <c r="AV57" s="59" t="str">
        <f t="shared" si="34"/>
        <v>样品检测</v>
      </c>
      <c r="AW57" s="56">
        <f t="shared" si="10"/>
        <v>3.3000000000000003E-5</v>
      </c>
      <c r="AX57" s="57" t="s">
        <v>184</v>
      </c>
      <c r="AY57" s="58" t="str">
        <f t="shared" ca="1" si="11"/>
        <v/>
      </c>
      <c r="AZ57" s="59" t="str">
        <f t="shared" ca="1" si="35"/>
        <v/>
      </c>
    </row>
    <row r="58" spans="1:52">
      <c r="A58" s="49">
        <v>34</v>
      </c>
      <c r="B58" s="51"/>
      <c r="C58" s="51" t="s">
        <v>41</v>
      </c>
      <c r="D58" s="55">
        <v>3.4E-5</v>
      </c>
      <c r="E58" s="56">
        <f t="shared" si="12"/>
        <v>3.4E-5</v>
      </c>
      <c r="F58" s="57" t="s">
        <v>185</v>
      </c>
      <c r="G58" s="58">
        <f t="shared" si="13"/>
        <v>7.9999999999999996E-6</v>
      </c>
      <c r="H58" s="59" t="str">
        <f t="shared" si="14"/>
        <v>员工维修/调整</v>
      </c>
      <c r="I58" s="56">
        <f t="shared" si="0"/>
        <v>3.4E-5</v>
      </c>
      <c r="J58" s="57" t="s">
        <v>185</v>
      </c>
      <c r="K58" s="58">
        <f t="shared" si="15"/>
        <v>7.9999999999999996E-6</v>
      </c>
      <c r="L58" s="59" t="str">
        <f t="shared" si="16"/>
        <v>员工维修/调整</v>
      </c>
      <c r="M58" s="56">
        <f t="shared" si="1"/>
        <v>3.4E-5</v>
      </c>
      <c r="N58" s="57" t="s">
        <v>185</v>
      </c>
      <c r="O58" s="58">
        <f t="shared" si="17"/>
        <v>7.9999999999999996E-6</v>
      </c>
      <c r="P58" s="59" t="str">
        <f t="shared" si="18"/>
        <v>员工维修/调整</v>
      </c>
      <c r="Q58" s="56">
        <f t="shared" si="2"/>
        <v>3.4E-5</v>
      </c>
      <c r="R58" s="57" t="s">
        <v>185</v>
      </c>
      <c r="S58" s="58">
        <f t="shared" si="3"/>
        <v>7.9999999999999996E-6</v>
      </c>
      <c r="T58" s="59" t="str">
        <f t="shared" si="19"/>
        <v>员工维修/调整</v>
      </c>
      <c r="U58" s="56">
        <f t="shared" si="20"/>
        <v>3.4E-5</v>
      </c>
      <c r="V58" s="57" t="s">
        <v>185</v>
      </c>
      <c r="W58" s="58">
        <f t="shared" si="4"/>
        <v>7.9999999999999996E-6</v>
      </c>
      <c r="X58" s="59" t="str">
        <f t="shared" si="21"/>
        <v>员工维修/调整</v>
      </c>
      <c r="Y58" s="111">
        <f t="shared" si="22"/>
        <v>3.4E-5</v>
      </c>
      <c r="Z58" s="57" t="s">
        <v>185</v>
      </c>
      <c r="AA58" s="58">
        <f>LARGE($Y$25:$Y$65,$A58)</f>
        <v>7.9999999999999996E-6</v>
      </c>
      <c r="AB58" s="59" t="str">
        <f t="shared" si="24"/>
        <v>员工维修/调整</v>
      </c>
      <c r="AC58" s="111">
        <f t="shared" si="25"/>
        <v>3.4E-5</v>
      </c>
      <c r="AD58" s="57" t="s">
        <v>185</v>
      </c>
      <c r="AE58" s="58">
        <f t="shared" si="26"/>
        <v>7.9999999999999996E-6</v>
      </c>
      <c r="AF58" s="59" t="str">
        <f t="shared" si="27"/>
        <v>员工维修/调整</v>
      </c>
      <c r="AG58" s="56">
        <f t="shared" si="28"/>
        <v>3.4E-5</v>
      </c>
      <c r="AH58" s="57" t="s">
        <v>185</v>
      </c>
      <c r="AI58" s="58">
        <f t="shared" si="29"/>
        <v>2.5000270000000002</v>
      </c>
      <c r="AJ58" s="59" t="str">
        <f t="shared" si="30"/>
        <v>IPQC 检验员</v>
      </c>
      <c r="AK58" s="115">
        <f t="shared" si="31"/>
        <v>3.4E-5</v>
      </c>
      <c r="AL58" s="57" t="s">
        <v>185</v>
      </c>
      <c r="AM58" s="58">
        <f t="shared" si="5"/>
        <v>7.9999999999999996E-6</v>
      </c>
      <c r="AN58" s="59" t="str">
        <f t="shared" si="32"/>
        <v>员工维修/调整</v>
      </c>
      <c r="AO58" s="56">
        <f t="shared" si="6"/>
        <v>3.4E-5</v>
      </c>
      <c r="AP58" s="57" t="s">
        <v>185</v>
      </c>
      <c r="AQ58" s="58">
        <f t="shared" si="7"/>
        <v>7.9999999999999996E-6</v>
      </c>
      <c r="AR58" s="59" t="str">
        <f t="shared" si="33"/>
        <v>员工维修/调整</v>
      </c>
      <c r="AS58" s="56">
        <f t="shared" si="8"/>
        <v>3.4E-5</v>
      </c>
      <c r="AT58" s="57" t="s">
        <v>185</v>
      </c>
      <c r="AU58" s="58">
        <f t="shared" si="9"/>
        <v>7.9999999999999996E-6</v>
      </c>
      <c r="AV58" s="59" t="str">
        <f t="shared" si="34"/>
        <v>员工维修/调整</v>
      </c>
      <c r="AW58" s="56">
        <f t="shared" si="10"/>
        <v>3.4E-5</v>
      </c>
      <c r="AX58" s="57" t="s">
        <v>185</v>
      </c>
      <c r="AY58" s="58" t="str">
        <f t="shared" ca="1" si="11"/>
        <v/>
      </c>
      <c r="AZ58" s="59" t="str">
        <f t="shared" ca="1" si="35"/>
        <v/>
      </c>
    </row>
    <row r="59" spans="1:52">
      <c r="A59" s="49">
        <v>35</v>
      </c>
      <c r="B59" s="51"/>
      <c r="C59" s="51" t="s">
        <v>42</v>
      </c>
      <c r="D59" s="55">
        <v>3.4999999999999997E-5</v>
      </c>
      <c r="E59" s="56">
        <f>(HLOOKUP($C59,$K$5:$BP$18,2,0))/60+D59</f>
        <v>3.4999999999999997E-5</v>
      </c>
      <c r="F59" s="57" t="s">
        <v>186</v>
      </c>
      <c r="G59" s="58">
        <f t="shared" si="13"/>
        <v>6.9999999999999999E-6</v>
      </c>
      <c r="H59" s="59" t="str">
        <f t="shared" si="14"/>
        <v>换型</v>
      </c>
      <c r="I59" s="56">
        <f t="shared" si="0"/>
        <v>3.4999999999999997E-5</v>
      </c>
      <c r="J59" s="57" t="s">
        <v>186</v>
      </c>
      <c r="K59" s="58">
        <f t="shared" si="15"/>
        <v>6.9999999999999999E-6</v>
      </c>
      <c r="L59" s="59" t="str">
        <f t="shared" si="16"/>
        <v>换型</v>
      </c>
      <c r="M59" s="56">
        <f t="shared" si="1"/>
        <v>3.4999999999999997E-5</v>
      </c>
      <c r="N59" s="57" t="s">
        <v>186</v>
      </c>
      <c r="O59" s="58">
        <f t="shared" si="17"/>
        <v>6.9999999999999999E-6</v>
      </c>
      <c r="P59" s="59" t="str">
        <f t="shared" si="18"/>
        <v>换型</v>
      </c>
      <c r="Q59" s="56">
        <f t="shared" si="2"/>
        <v>3.4999999999999997E-5</v>
      </c>
      <c r="R59" s="57" t="s">
        <v>186</v>
      </c>
      <c r="S59" s="58">
        <f t="shared" si="3"/>
        <v>6.9999999999999999E-6</v>
      </c>
      <c r="T59" s="59" t="str">
        <f t="shared" si="19"/>
        <v>换型</v>
      </c>
      <c r="U59" s="56">
        <f t="shared" si="20"/>
        <v>3.4999999999999997E-5</v>
      </c>
      <c r="V59" s="57" t="s">
        <v>186</v>
      </c>
      <c r="W59" s="58">
        <f t="shared" si="4"/>
        <v>6.9999999999999999E-6</v>
      </c>
      <c r="X59" s="59" t="str">
        <f t="shared" si="21"/>
        <v>换型</v>
      </c>
      <c r="Y59" s="111">
        <f t="shared" si="22"/>
        <v>3.4999999999999997E-5</v>
      </c>
      <c r="Z59" s="57" t="s">
        <v>186</v>
      </c>
      <c r="AA59" s="58">
        <f t="shared" si="23"/>
        <v>6.9999999999999999E-6</v>
      </c>
      <c r="AB59" s="59" t="str">
        <f t="shared" si="24"/>
        <v>换型</v>
      </c>
      <c r="AC59" s="111">
        <f t="shared" si="25"/>
        <v>3.4999999999999997E-5</v>
      </c>
      <c r="AD59" s="57" t="s">
        <v>186</v>
      </c>
      <c r="AE59" s="58">
        <f t="shared" si="26"/>
        <v>6.9999999999999999E-6</v>
      </c>
      <c r="AF59" s="59" t="str">
        <f t="shared" si="27"/>
        <v>换型</v>
      </c>
      <c r="AG59" s="56">
        <f t="shared" si="28"/>
        <v>16.183368333333334</v>
      </c>
      <c r="AH59" s="57" t="s">
        <v>186</v>
      </c>
      <c r="AI59" s="58">
        <f t="shared" si="29"/>
        <v>3.4E-5</v>
      </c>
      <c r="AJ59" s="59" t="str">
        <f t="shared" si="30"/>
        <v xml:space="preserve">车间人员 输入数据 </v>
      </c>
      <c r="AK59" s="115">
        <f t="shared" si="31"/>
        <v>3.4999999999999997E-5</v>
      </c>
      <c r="AL59" s="57" t="s">
        <v>186</v>
      </c>
      <c r="AM59" s="58">
        <f t="shared" si="5"/>
        <v>6.9999999999999999E-6</v>
      </c>
      <c r="AN59" s="59" t="str">
        <f t="shared" si="32"/>
        <v>换型</v>
      </c>
      <c r="AO59" s="56">
        <f t="shared" si="6"/>
        <v>3.4999999999999997E-5</v>
      </c>
      <c r="AP59" s="57" t="s">
        <v>186</v>
      </c>
      <c r="AQ59" s="58">
        <f t="shared" si="7"/>
        <v>6.9999999999999999E-6</v>
      </c>
      <c r="AR59" s="59" t="str">
        <f t="shared" si="33"/>
        <v>换型</v>
      </c>
      <c r="AS59" s="56">
        <f t="shared" si="8"/>
        <v>3.4999999999999997E-5</v>
      </c>
      <c r="AT59" s="57" t="s">
        <v>186</v>
      </c>
      <c r="AU59" s="58">
        <f t="shared" si="9"/>
        <v>6.9999999999999999E-6</v>
      </c>
      <c r="AV59" s="59" t="str">
        <f t="shared" si="34"/>
        <v>换型</v>
      </c>
      <c r="AW59" s="56">
        <f t="shared" si="10"/>
        <v>3.4999999999999997E-5</v>
      </c>
      <c r="AX59" s="57" t="s">
        <v>186</v>
      </c>
      <c r="AY59" s="58" t="str">
        <f t="shared" ca="1" si="11"/>
        <v/>
      </c>
      <c r="AZ59" s="59" t="str">
        <f t="shared" ca="1" si="35"/>
        <v/>
      </c>
    </row>
    <row r="60" spans="1:52">
      <c r="A60" s="49">
        <v>36</v>
      </c>
      <c r="B60" s="51"/>
      <c r="C60" s="51" t="s">
        <v>43</v>
      </c>
      <c r="D60" s="55">
        <v>3.6000000000000001E-5</v>
      </c>
      <c r="E60" s="56">
        <f t="shared" si="12"/>
        <v>3.6000000000000001E-5</v>
      </c>
      <c r="F60" s="57" t="s">
        <v>187</v>
      </c>
      <c r="G60" s="58">
        <f t="shared" si="13"/>
        <v>6.0000000000000002E-6</v>
      </c>
      <c r="H60" s="59" t="str">
        <f t="shared" si="14"/>
        <v>5S、交接班</v>
      </c>
      <c r="I60" s="56">
        <f t="shared" si="0"/>
        <v>3.6000000000000001E-5</v>
      </c>
      <c r="J60" s="57" t="s">
        <v>187</v>
      </c>
      <c r="K60" s="58">
        <f t="shared" si="15"/>
        <v>6.0000000000000002E-6</v>
      </c>
      <c r="L60" s="59" t="str">
        <f t="shared" si="16"/>
        <v>5S、交接班</v>
      </c>
      <c r="M60" s="56">
        <f t="shared" si="1"/>
        <v>3.6000000000000001E-5</v>
      </c>
      <c r="N60" s="57" t="s">
        <v>187</v>
      </c>
      <c r="O60" s="58">
        <f t="shared" si="17"/>
        <v>6.0000000000000002E-6</v>
      </c>
      <c r="P60" s="59" t="str">
        <f t="shared" si="18"/>
        <v>5S、交接班</v>
      </c>
      <c r="Q60" s="56">
        <f t="shared" si="2"/>
        <v>3.6000000000000001E-5</v>
      </c>
      <c r="R60" s="57" t="s">
        <v>187</v>
      </c>
      <c r="S60" s="58">
        <f t="shared" si="3"/>
        <v>6.0000000000000002E-6</v>
      </c>
      <c r="T60" s="59" t="str">
        <f t="shared" si="19"/>
        <v>5S、交接班</v>
      </c>
      <c r="U60" s="56">
        <f t="shared" si="20"/>
        <v>3.6000000000000001E-5</v>
      </c>
      <c r="V60" s="57" t="s">
        <v>187</v>
      </c>
      <c r="W60" s="58">
        <f t="shared" si="4"/>
        <v>6.0000000000000002E-6</v>
      </c>
      <c r="X60" s="59" t="str">
        <f t="shared" si="21"/>
        <v>5S、交接班</v>
      </c>
      <c r="Y60" s="111">
        <f t="shared" si="22"/>
        <v>3.6000000000000001E-5</v>
      </c>
      <c r="Z60" s="57" t="s">
        <v>187</v>
      </c>
      <c r="AA60" s="58">
        <f t="shared" si="23"/>
        <v>6.0000000000000002E-6</v>
      </c>
      <c r="AB60" s="59" t="str">
        <f t="shared" si="24"/>
        <v>5S、交接班</v>
      </c>
      <c r="AC60" s="111">
        <f t="shared" si="25"/>
        <v>3.6000000000000001E-5</v>
      </c>
      <c r="AD60" s="57" t="s">
        <v>187</v>
      </c>
      <c r="AE60" s="58">
        <f t="shared" si="26"/>
        <v>6.0000000000000002E-6</v>
      </c>
      <c r="AF60" s="59" t="str">
        <f t="shared" si="27"/>
        <v>5S、交接班</v>
      </c>
      <c r="AG60" s="56">
        <f t="shared" si="28"/>
        <v>237.38336933333332</v>
      </c>
      <c r="AH60" s="57" t="s">
        <v>187</v>
      </c>
      <c r="AI60" s="58">
        <f t="shared" si="29"/>
        <v>2.5000000000000001E-5</v>
      </c>
      <c r="AJ60" s="59" t="str">
        <f t="shared" si="30"/>
        <v>MES系统维护</v>
      </c>
      <c r="AK60" s="115">
        <f t="shared" si="31"/>
        <v>3.6000000000000001E-5</v>
      </c>
      <c r="AL60" s="57" t="s">
        <v>187</v>
      </c>
      <c r="AM60" s="58">
        <f t="shared" si="5"/>
        <v>6.0000000000000002E-6</v>
      </c>
      <c r="AN60" s="59" t="str">
        <f t="shared" si="32"/>
        <v>5S、交接班</v>
      </c>
      <c r="AO60" s="56">
        <f t="shared" si="6"/>
        <v>3.6000000000000001E-5</v>
      </c>
      <c r="AP60" s="57" t="s">
        <v>187</v>
      </c>
      <c r="AQ60" s="58">
        <f t="shared" si="7"/>
        <v>6.0000000000000002E-6</v>
      </c>
      <c r="AR60" s="59" t="str">
        <f t="shared" si="33"/>
        <v>5S、交接班</v>
      </c>
      <c r="AS60" s="56">
        <f t="shared" si="8"/>
        <v>3.6000000000000001E-5</v>
      </c>
      <c r="AT60" s="57" t="s">
        <v>187</v>
      </c>
      <c r="AU60" s="58">
        <f t="shared" si="9"/>
        <v>6.0000000000000002E-6</v>
      </c>
      <c r="AV60" s="59" t="str">
        <f t="shared" si="34"/>
        <v>5S、交接班</v>
      </c>
      <c r="AW60" s="56">
        <f t="shared" si="10"/>
        <v>3.6000000000000001E-5</v>
      </c>
      <c r="AX60" s="57" t="s">
        <v>187</v>
      </c>
      <c r="AY60" s="58" t="str">
        <f t="shared" ca="1" si="11"/>
        <v/>
      </c>
      <c r="AZ60" s="59" t="str">
        <f t="shared" ca="1" si="35"/>
        <v/>
      </c>
    </row>
    <row r="61" spans="1:52">
      <c r="A61" s="49">
        <v>37</v>
      </c>
      <c r="B61" s="51"/>
      <c r="C61" s="51" t="s">
        <v>44</v>
      </c>
      <c r="D61" s="55">
        <v>3.6999999999999998E-5</v>
      </c>
      <c r="E61" s="56">
        <f t="shared" si="12"/>
        <v>3.6999999999999998E-5</v>
      </c>
      <c r="F61" s="57" t="s">
        <v>188</v>
      </c>
      <c r="G61" s="58">
        <f t="shared" si="13"/>
        <v>5.0000000000000004E-6</v>
      </c>
      <c r="H61" s="59" t="str">
        <f t="shared" si="14"/>
        <v>员工记录</v>
      </c>
      <c r="I61" s="56">
        <f t="shared" si="0"/>
        <v>3.6999999999999998E-5</v>
      </c>
      <c r="J61" s="57" t="s">
        <v>188</v>
      </c>
      <c r="K61" s="58">
        <f t="shared" si="15"/>
        <v>5.0000000000000004E-6</v>
      </c>
      <c r="L61" s="59" t="str">
        <f t="shared" si="16"/>
        <v>员工记录</v>
      </c>
      <c r="M61" s="56">
        <f t="shared" si="1"/>
        <v>3.6999999999999998E-5</v>
      </c>
      <c r="N61" s="57" t="s">
        <v>188</v>
      </c>
      <c r="O61" s="58">
        <f t="shared" si="17"/>
        <v>5.0000000000000004E-6</v>
      </c>
      <c r="P61" s="59" t="str">
        <f t="shared" si="18"/>
        <v>员工记录</v>
      </c>
      <c r="Q61" s="56">
        <f t="shared" si="2"/>
        <v>3.6999999999999998E-5</v>
      </c>
      <c r="R61" s="57" t="s">
        <v>188</v>
      </c>
      <c r="S61" s="58">
        <f t="shared" si="3"/>
        <v>5.0000000000000004E-6</v>
      </c>
      <c r="T61" s="59" t="str">
        <f t="shared" si="19"/>
        <v>员工记录</v>
      </c>
      <c r="U61" s="56">
        <f t="shared" si="20"/>
        <v>3.6999999999999998E-5</v>
      </c>
      <c r="V61" s="57" t="s">
        <v>188</v>
      </c>
      <c r="W61" s="58">
        <f t="shared" si="4"/>
        <v>5.0000000000000004E-6</v>
      </c>
      <c r="X61" s="59" t="str">
        <f t="shared" si="21"/>
        <v>员工记录</v>
      </c>
      <c r="Y61" s="111">
        <f t="shared" si="22"/>
        <v>3.6999999999999998E-5</v>
      </c>
      <c r="Z61" s="57" t="s">
        <v>188</v>
      </c>
      <c r="AA61" s="58">
        <f t="shared" si="23"/>
        <v>5.0000000000000004E-6</v>
      </c>
      <c r="AB61" s="59" t="str">
        <f t="shared" si="24"/>
        <v>员工记录</v>
      </c>
      <c r="AC61" s="111">
        <f t="shared" si="25"/>
        <v>3.6999999999999998E-5</v>
      </c>
      <c r="AD61" s="57" t="s">
        <v>188</v>
      </c>
      <c r="AE61" s="58">
        <f t="shared" si="26"/>
        <v>5.0000000000000004E-6</v>
      </c>
      <c r="AF61" s="59" t="str">
        <f t="shared" si="27"/>
        <v>员工记录</v>
      </c>
      <c r="AG61" s="56">
        <f t="shared" si="28"/>
        <v>5865.6667036666668</v>
      </c>
      <c r="AH61" s="57" t="s">
        <v>188</v>
      </c>
      <c r="AI61" s="58">
        <f t="shared" si="29"/>
        <v>2.3E-5</v>
      </c>
      <c r="AJ61" s="59" t="str">
        <f t="shared" si="30"/>
        <v>叫停调试</v>
      </c>
      <c r="AK61" s="115">
        <f t="shared" si="31"/>
        <v>3.6999999999999998E-5</v>
      </c>
      <c r="AL61" s="57" t="s">
        <v>188</v>
      </c>
      <c r="AM61" s="58">
        <f t="shared" si="5"/>
        <v>5.0000000000000004E-6</v>
      </c>
      <c r="AN61" s="59" t="str">
        <f t="shared" si="32"/>
        <v>员工记录</v>
      </c>
      <c r="AO61" s="56">
        <f t="shared" si="6"/>
        <v>3.6999999999999998E-5</v>
      </c>
      <c r="AP61" s="57" t="s">
        <v>188</v>
      </c>
      <c r="AQ61" s="58">
        <f t="shared" si="7"/>
        <v>5.0000000000000004E-6</v>
      </c>
      <c r="AR61" s="59" t="str">
        <f t="shared" si="33"/>
        <v>员工记录</v>
      </c>
      <c r="AS61" s="56">
        <f t="shared" si="8"/>
        <v>3.6999999999999998E-5</v>
      </c>
      <c r="AT61" s="57" t="s">
        <v>188</v>
      </c>
      <c r="AU61" s="58">
        <f t="shared" si="9"/>
        <v>5.0000000000000004E-6</v>
      </c>
      <c r="AV61" s="59" t="str">
        <f t="shared" si="34"/>
        <v>员工记录</v>
      </c>
      <c r="AW61" s="56">
        <f t="shared" si="10"/>
        <v>3.6999999999999998E-5</v>
      </c>
      <c r="AX61" s="57" t="s">
        <v>188</v>
      </c>
      <c r="AY61" s="58" t="str">
        <f t="shared" ca="1" si="11"/>
        <v/>
      </c>
      <c r="AZ61" s="59" t="str">
        <f t="shared" ca="1" si="35"/>
        <v/>
      </c>
    </row>
    <row r="62" spans="1:52">
      <c r="A62" s="49">
        <v>38</v>
      </c>
      <c r="B62" s="51"/>
      <c r="C62" s="51" t="s">
        <v>45</v>
      </c>
      <c r="D62" s="55">
        <v>3.8000000000000002E-5</v>
      </c>
      <c r="E62" s="56">
        <f t="shared" si="12"/>
        <v>3.8000000000000002E-5</v>
      </c>
      <c r="F62" s="57" t="s">
        <v>189</v>
      </c>
      <c r="G62" s="58">
        <f t="shared" si="13"/>
        <v>3.9999999999999998E-6</v>
      </c>
      <c r="H62" s="59" t="str">
        <f t="shared" si="14"/>
        <v>SIM1</v>
      </c>
      <c r="I62" s="56">
        <f t="shared" si="0"/>
        <v>3.8000000000000002E-5</v>
      </c>
      <c r="J62" s="57" t="s">
        <v>189</v>
      </c>
      <c r="K62" s="58">
        <f t="shared" si="15"/>
        <v>3.9999999999999998E-6</v>
      </c>
      <c r="L62" s="59" t="str">
        <f t="shared" si="16"/>
        <v>SIM1</v>
      </c>
      <c r="M62" s="56">
        <f t="shared" si="1"/>
        <v>3.8000000000000002E-5</v>
      </c>
      <c r="N62" s="57" t="s">
        <v>189</v>
      </c>
      <c r="O62" s="58">
        <f t="shared" si="17"/>
        <v>3.9999999999999998E-6</v>
      </c>
      <c r="P62" s="59" t="str">
        <f t="shared" si="18"/>
        <v>SIM1</v>
      </c>
      <c r="Q62" s="56">
        <f t="shared" si="2"/>
        <v>3.8000000000000002E-5</v>
      </c>
      <c r="R62" s="57" t="s">
        <v>189</v>
      </c>
      <c r="S62" s="58">
        <f t="shared" si="3"/>
        <v>3.9999999999999998E-6</v>
      </c>
      <c r="T62" s="59" t="str">
        <f t="shared" si="19"/>
        <v>SIM1</v>
      </c>
      <c r="U62" s="56">
        <f t="shared" si="20"/>
        <v>3.8000000000000002E-5</v>
      </c>
      <c r="V62" s="57" t="s">
        <v>189</v>
      </c>
      <c r="W62" s="58">
        <f t="shared" si="4"/>
        <v>3.9999999999999998E-6</v>
      </c>
      <c r="X62" s="59" t="str">
        <f t="shared" si="21"/>
        <v>SIM1</v>
      </c>
      <c r="Y62" s="111">
        <f t="shared" si="22"/>
        <v>3.8000000000000002E-5</v>
      </c>
      <c r="Z62" s="57" t="s">
        <v>189</v>
      </c>
      <c r="AA62" s="58">
        <f t="shared" si="23"/>
        <v>3.9999999999999998E-6</v>
      </c>
      <c r="AB62" s="59" t="str">
        <f t="shared" si="24"/>
        <v>SIM1</v>
      </c>
      <c r="AC62" s="111">
        <f t="shared" si="25"/>
        <v>3.8000000000000002E-5</v>
      </c>
      <c r="AD62" s="57" t="s">
        <v>189</v>
      </c>
      <c r="AE62" s="58">
        <f t="shared" si="26"/>
        <v>3.9999999999999998E-6</v>
      </c>
      <c r="AF62" s="59" t="str">
        <f t="shared" si="27"/>
        <v>SIM1</v>
      </c>
      <c r="AG62" s="56">
        <f t="shared" si="28"/>
        <v>1360.6833713333333</v>
      </c>
      <c r="AH62" s="57" t="s">
        <v>189</v>
      </c>
      <c r="AI62" s="58">
        <f t="shared" si="29"/>
        <v>1.7E-5</v>
      </c>
      <c r="AJ62" s="59" t="str">
        <f t="shared" si="30"/>
        <v>设计返工</v>
      </c>
      <c r="AK62" s="115">
        <f t="shared" si="31"/>
        <v>3.8000000000000002E-5</v>
      </c>
      <c r="AL62" s="57" t="s">
        <v>189</v>
      </c>
      <c r="AM62" s="58">
        <f t="shared" si="5"/>
        <v>3.9999999999999998E-6</v>
      </c>
      <c r="AN62" s="59" t="str">
        <f t="shared" si="32"/>
        <v>SIM1</v>
      </c>
      <c r="AO62" s="56">
        <f t="shared" si="6"/>
        <v>3.8000000000000002E-5</v>
      </c>
      <c r="AP62" s="57" t="s">
        <v>189</v>
      </c>
      <c r="AQ62" s="58">
        <f t="shared" si="7"/>
        <v>3.9999999999999998E-6</v>
      </c>
      <c r="AR62" s="59" t="str">
        <f t="shared" si="33"/>
        <v>SIM1</v>
      </c>
      <c r="AS62" s="56">
        <f t="shared" si="8"/>
        <v>3.8000000000000002E-5</v>
      </c>
      <c r="AT62" s="57" t="s">
        <v>189</v>
      </c>
      <c r="AU62" s="58">
        <f t="shared" si="9"/>
        <v>3.9999999999999998E-6</v>
      </c>
      <c r="AV62" s="59" t="str">
        <f t="shared" si="34"/>
        <v>SIM1</v>
      </c>
      <c r="AW62" s="56">
        <f t="shared" si="10"/>
        <v>3.8000000000000002E-5</v>
      </c>
      <c r="AX62" s="57" t="s">
        <v>189</v>
      </c>
      <c r="AY62" s="58" t="str">
        <f t="shared" ca="1" si="11"/>
        <v/>
      </c>
      <c r="AZ62" s="59" t="str">
        <f t="shared" ca="1" si="35"/>
        <v/>
      </c>
    </row>
    <row r="63" spans="1:52">
      <c r="A63" s="49">
        <v>39</v>
      </c>
      <c r="B63" s="51"/>
      <c r="C63" s="51" t="s">
        <v>46</v>
      </c>
      <c r="D63" s="55">
        <v>3.8999999999999999E-5</v>
      </c>
      <c r="E63" s="56">
        <f>(HLOOKUP($C63,$K$5:$BP$18,2,0))/60+D63</f>
        <v>3.8999999999999999E-5</v>
      </c>
      <c r="F63" s="57" t="s">
        <v>190</v>
      </c>
      <c r="G63" s="58">
        <f t="shared" si="13"/>
        <v>3.0000000000000001E-6</v>
      </c>
      <c r="H63" s="59" t="str">
        <f t="shared" si="14"/>
        <v>岗位培训</v>
      </c>
      <c r="I63" s="56">
        <f t="shared" si="0"/>
        <v>3.8999999999999999E-5</v>
      </c>
      <c r="J63" s="57" t="s">
        <v>190</v>
      </c>
      <c r="K63" s="58">
        <f t="shared" si="15"/>
        <v>3.0000000000000001E-6</v>
      </c>
      <c r="L63" s="59" t="str">
        <f t="shared" si="16"/>
        <v>岗位培训</v>
      </c>
      <c r="M63" s="56">
        <f t="shared" si="1"/>
        <v>3.8999999999999999E-5</v>
      </c>
      <c r="N63" s="57" t="s">
        <v>190</v>
      </c>
      <c r="O63" s="58">
        <f t="shared" si="17"/>
        <v>3.0000000000000001E-6</v>
      </c>
      <c r="P63" s="59" t="str">
        <f t="shared" si="18"/>
        <v>岗位培训</v>
      </c>
      <c r="Q63" s="56">
        <f t="shared" si="2"/>
        <v>3.8999999999999999E-5</v>
      </c>
      <c r="R63" s="57" t="s">
        <v>190</v>
      </c>
      <c r="S63" s="58">
        <f t="shared" si="3"/>
        <v>3.0000000000000001E-6</v>
      </c>
      <c r="T63" s="59" t="str">
        <f t="shared" si="19"/>
        <v>岗位培训</v>
      </c>
      <c r="U63" s="56">
        <f t="shared" si="20"/>
        <v>3.8999999999999999E-5</v>
      </c>
      <c r="V63" s="57" t="s">
        <v>190</v>
      </c>
      <c r="W63" s="58">
        <f t="shared" si="4"/>
        <v>3.0000000000000001E-6</v>
      </c>
      <c r="X63" s="59" t="str">
        <f t="shared" si="21"/>
        <v>岗位培训</v>
      </c>
      <c r="Y63" s="111">
        <f t="shared" si="22"/>
        <v>3.8999999999999999E-5</v>
      </c>
      <c r="Z63" s="57" t="s">
        <v>190</v>
      </c>
      <c r="AA63" s="58">
        <f t="shared" si="23"/>
        <v>3.0000000000000001E-6</v>
      </c>
      <c r="AB63" s="59" t="str">
        <f t="shared" si="24"/>
        <v>岗位培训</v>
      </c>
      <c r="AC63" s="111">
        <f t="shared" si="25"/>
        <v>3.8999999999999999E-5</v>
      </c>
      <c r="AD63" s="57" t="s">
        <v>190</v>
      </c>
      <c r="AE63" s="58">
        <f t="shared" si="26"/>
        <v>3.0000000000000001E-6</v>
      </c>
      <c r="AF63" s="59" t="str">
        <f t="shared" si="27"/>
        <v>岗位培训</v>
      </c>
      <c r="AG63" s="56">
        <f t="shared" si="28"/>
        <v>741.25003900000002</v>
      </c>
      <c r="AH63" s="57" t="s">
        <v>190</v>
      </c>
      <c r="AI63" s="58">
        <f t="shared" si="29"/>
        <v>1.5999999999999999E-5</v>
      </c>
      <c r="AJ63" s="59" t="str">
        <f t="shared" si="30"/>
        <v>附加控制</v>
      </c>
      <c r="AK63" s="115">
        <f t="shared" si="31"/>
        <v>3.8999999999999999E-5</v>
      </c>
      <c r="AL63" s="57" t="s">
        <v>190</v>
      </c>
      <c r="AM63" s="58">
        <f t="shared" si="5"/>
        <v>3.0000000000000001E-6</v>
      </c>
      <c r="AN63" s="59" t="str">
        <f t="shared" si="32"/>
        <v>岗位培训</v>
      </c>
      <c r="AO63" s="56">
        <f t="shared" si="6"/>
        <v>3.8999999999999999E-5</v>
      </c>
      <c r="AP63" s="57" t="s">
        <v>190</v>
      </c>
      <c r="AQ63" s="58">
        <f t="shared" si="7"/>
        <v>3.0000000000000001E-6</v>
      </c>
      <c r="AR63" s="59" t="str">
        <f t="shared" si="33"/>
        <v>岗位培训</v>
      </c>
      <c r="AS63" s="56">
        <f t="shared" si="8"/>
        <v>3.8999999999999999E-5</v>
      </c>
      <c r="AT63" s="57" t="s">
        <v>190</v>
      </c>
      <c r="AU63" s="58">
        <f t="shared" si="9"/>
        <v>3.0000000000000001E-6</v>
      </c>
      <c r="AV63" s="59" t="str">
        <f t="shared" si="34"/>
        <v>岗位培训</v>
      </c>
      <c r="AW63" s="56">
        <f t="shared" si="10"/>
        <v>3.8999999999999999E-5</v>
      </c>
      <c r="AX63" s="57" t="s">
        <v>190</v>
      </c>
      <c r="AY63" s="58" t="str">
        <f t="shared" ca="1" si="11"/>
        <v/>
      </c>
      <c r="AZ63" s="59" t="str">
        <f t="shared" ca="1" si="35"/>
        <v/>
      </c>
    </row>
    <row r="64" spans="1:52">
      <c r="A64" s="49">
        <v>40</v>
      </c>
      <c r="B64" s="51"/>
      <c r="C64" s="51" t="s">
        <v>47</v>
      </c>
      <c r="D64" s="55">
        <v>4.0000000000000003E-5</v>
      </c>
      <c r="E64" s="56">
        <f t="shared" si="12"/>
        <v>4.0000000000000003E-5</v>
      </c>
      <c r="F64" s="57" t="s">
        <v>191</v>
      </c>
      <c r="G64" s="58">
        <f t="shared" si="13"/>
        <v>1.9999999999999999E-6</v>
      </c>
      <c r="H64" s="59" t="str">
        <f t="shared" si="14"/>
        <v>新岗位效率损失</v>
      </c>
      <c r="I64" s="56">
        <f t="shared" si="0"/>
        <v>4.0000000000000003E-5</v>
      </c>
      <c r="J64" s="57" t="s">
        <v>191</v>
      </c>
      <c r="K64" s="58">
        <f t="shared" si="15"/>
        <v>1.9999999999999999E-6</v>
      </c>
      <c r="L64" s="59" t="str">
        <f t="shared" si="16"/>
        <v>新岗位效率损失</v>
      </c>
      <c r="M64" s="56">
        <f t="shared" si="1"/>
        <v>4.0000000000000003E-5</v>
      </c>
      <c r="N64" s="57" t="s">
        <v>191</v>
      </c>
      <c r="O64" s="58">
        <f t="shared" si="17"/>
        <v>1.9999999999999999E-6</v>
      </c>
      <c r="P64" s="59" t="str">
        <f t="shared" si="18"/>
        <v>新岗位效率损失</v>
      </c>
      <c r="Q64" s="56">
        <f t="shared" si="2"/>
        <v>4.0000000000000003E-5</v>
      </c>
      <c r="R64" s="57" t="s">
        <v>191</v>
      </c>
      <c r="S64" s="58">
        <f t="shared" si="3"/>
        <v>1.9999999999999999E-6</v>
      </c>
      <c r="T64" s="59" t="str">
        <f t="shared" si="19"/>
        <v>新岗位效率损失</v>
      </c>
      <c r="U64" s="56">
        <f t="shared" si="20"/>
        <v>4.0000000000000003E-5</v>
      </c>
      <c r="V64" s="57" t="s">
        <v>191</v>
      </c>
      <c r="W64" s="58">
        <f t="shared" si="4"/>
        <v>1.9999999999999999E-6</v>
      </c>
      <c r="X64" s="59" t="str">
        <f t="shared" si="21"/>
        <v>新岗位效率损失</v>
      </c>
      <c r="Y64" s="111">
        <f t="shared" si="22"/>
        <v>4.0000000000000003E-5</v>
      </c>
      <c r="Z64" s="57" t="s">
        <v>191</v>
      </c>
      <c r="AA64" s="58">
        <f t="shared" si="23"/>
        <v>1.9999999999999999E-6</v>
      </c>
      <c r="AB64" s="59" t="str">
        <f t="shared" si="24"/>
        <v>新岗位效率损失</v>
      </c>
      <c r="AC64" s="111">
        <f t="shared" si="25"/>
        <v>4.0000000000000003E-5</v>
      </c>
      <c r="AD64" s="57" t="s">
        <v>191</v>
      </c>
      <c r="AE64" s="58">
        <f t="shared" si="26"/>
        <v>1.9999999999999999E-6</v>
      </c>
      <c r="AF64" s="59" t="str">
        <f t="shared" si="27"/>
        <v>新岗位效率损失</v>
      </c>
      <c r="AG64" s="56">
        <f t="shared" si="28"/>
        <v>13.183373333333334</v>
      </c>
      <c r="AH64" s="57" t="s">
        <v>191</v>
      </c>
      <c r="AI64" s="58">
        <f t="shared" si="29"/>
        <v>1.5E-5</v>
      </c>
      <c r="AJ64" s="59" t="str">
        <f t="shared" si="30"/>
        <v>拒收返工</v>
      </c>
      <c r="AK64" s="115">
        <f t="shared" si="31"/>
        <v>4.0000000000000003E-5</v>
      </c>
      <c r="AL64" s="57" t="s">
        <v>191</v>
      </c>
      <c r="AM64" s="58">
        <f t="shared" si="5"/>
        <v>1.9999999999999999E-6</v>
      </c>
      <c r="AN64" s="59" t="str">
        <f t="shared" si="32"/>
        <v>新岗位效率损失</v>
      </c>
      <c r="AO64" s="56">
        <f t="shared" si="6"/>
        <v>4.0000000000000003E-5</v>
      </c>
      <c r="AP64" s="57" t="s">
        <v>191</v>
      </c>
      <c r="AQ64" s="58">
        <f t="shared" si="7"/>
        <v>1.9999999999999999E-6</v>
      </c>
      <c r="AR64" s="59" t="str">
        <f t="shared" si="33"/>
        <v>新岗位效率损失</v>
      </c>
      <c r="AS64" s="56">
        <f t="shared" si="8"/>
        <v>4.0000000000000003E-5</v>
      </c>
      <c r="AT64" s="57" t="s">
        <v>191</v>
      </c>
      <c r="AU64" s="58">
        <f t="shared" si="9"/>
        <v>1.9999999999999999E-6</v>
      </c>
      <c r="AV64" s="59" t="str">
        <f t="shared" si="34"/>
        <v>新岗位效率损失</v>
      </c>
      <c r="AW64" s="56">
        <f t="shared" si="10"/>
        <v>4.0000000000000003E-5</v>
      </c>
      <c r="AX64" s="57" t="s">
        <v>191</v>
      </c>
      <c r="AY64" s="58" t="str">
        <f t="shared" ca="1" si="11"/>
        <v/>
      </c>
      <c r="AZ64" s="59" t="str">
        <f t="shared" ca="1" si="35"/>
        <v/>
      </c>
    </row>
    <row r="65" spans="1:52">
      <c r="A65" s="49">
        <v>41</v>
      </c>
      <c r="B65" s="51"/>
      <c r="C65" s="51" t="s">
        <v>48</v>
      </c>
      <c r="D65" s="55">
        <v>4.1E-5</v>
      </c>
      <c r="E65" s="56">
        <f t="shared" si="12"/>
        <v>4.1E-5</v>
      </c>
      <c r="F65" s="57" t="s">
        <v>192</v>
      </c>
      <c r="G65" s="58">
        <f t="shared" si="13"/>
        <v>9.9999999999999995E-7</v>
      </c>
      <c r="H65" s="59" t="str">
        <f t="shared" si="14"/>
        <v>效率损失</v>
      </c>
      <c r="I65" s="56">
        <f t="shared" si="0"/>
        <v>4.1E-5</v>
      </c>
      <c r="J65" s="57" t="s">
        <v>192</v>
      </c>
      <c r="K65" s="58">
        <f t="shared" si="15"/>
        <v>9.9999999999999995E-7</v>
      </c>
      <c r="L65" s="59" t="str">
        <f t="shared" si="16"/>
        <v>效率损失</v>
      </c>
      <c r="M65" s="56">
        <f t="shared" si="1"/>
        <v>4.1E-5</v>
      </c>
      <c r="N65" s="57" t="s">
        <v>192</v>
      </c>
      <c r="O65" s="58">
        <f t="shared" si="17"/>
        <v>9.9999999999999995E-7</v>
      </c>
      <c r="P65" s="59" t="str">
        <f t="shared" si="18"/>
        <v>效率损失</v>
      </c>
      <c r="Q65" s="56">
        <f t="shared" si="2"/>
        <v>4.1E-5</v>
      </c>
      <c r="R65" s="57" t="s">
        <v>192</v>
      </c>
      <c r="S65" s="58">
        <f t="shared" si="3"/>
        <v>9.9999999999999995E-7</v>
      </c>
      <c r="T65" s="59" t="str">
        <f t="shared" si="19"/>
        <v>效率损失</v>
      </c>
      <c r="U65" s="56">
        <f t="shared" si="20"/>
        <v>4.1E-5</v>
      </c>
      <c r="V65" s="57" t="s">
        <v>192</v>
      </c>
      <c r="W65" s="58">
        <f t="shared" si="4"/>
        <v>9.9999999999999995E-7</v>
      </c>
      <c r="X65" s="59" t="str">
        <f t="shared" si="21"/>
        <v>效率损失</v>
      </c>
      <c r="Y65" s="111">
        <f t="shared" si="22"/>
        <v>4.1E-5</v>
      </c>
      <c r="Z65" s="57" t="s">
        <v>192</v>
      </c>
      <c r="AA65" s="58">
        <f t="shared" si="23"/>
        <v>9.9999999999999995E-7</v>
      </c>
      <c r="AB65" s="59" t="str">
        <f t="shared" si="24"/>
        <v>效率损失</v>
      </c>
      <c r="AC65" s="111">
        <f t="shared" si="25"/>
        <v>4.1E-5</v>
      </c>
      <c r="AD65" s="57" t="s">
        <v>192</v>
      </c>
      <c r="AE65" s="58">
        <f t="shared" si="26"/>
        <v>9.9999999999999995E-7</v>
      </c>
      <c r="AF65" s="59" t="str">
        <f t="shared" si="27"/>
        <v>效率损失</v>
      </c>
      <c r="AG65" s="56">
        <f t="shared" si="28"/>
        <v>359.9167076666667</v>
      </c>
      <c r="AH65" s="57" t="s">
        <v>192</v>
      </c>
      <c r="AI65" s="58">
        <f t="shared" si="29"/>
        <v>1.0000000000000001E-5</v>
      </c>
      <c r="AJ65" s="59" t="str">
        <f t="shared" si="30"/>
        <v>新产品试验</v>
      </c>
      <c r="AK65" s="115">
        <f t="shared" si="31"/>
        <v>4.1E-5</v>
      </c>
      <c r="AL65" s="57" t="s">
        <v>192</v>
      </c>
      <c r="AM65" s="58">
        <f t="shared" si="5"/>
        <v>9.9999999999999995E-7</v>
      </c>
      <c r="AN65" s="59" t="str">
        <f t="shared" si="32"/>
        <v>效率损失</v>
      </c>
      <c r="AO65" s="56">
        <f t="shared" si="6"/>
        <v>4.1E-5</v>
      </c>
      <c r="AP65" s="57" t="s">
        <v>192</v>
      </c>
      <c r="AQ65" s="58">
        <f t="shared" si="7"/>
        <v>9.9999999999999995E-7</v>
      </c>
      <c r="AR65" s="59" t="str">
        <f t="shared" si="33"/>
        <v>效率损失</v>
      </c>
      <c r="AS65" s="56">
        <f t="shared" si="8"/>
        <v>4.1E-5</v>
      </c>
      <c r="AT65" s="57" t="s">
        <v>192</v>
      </c>
      <c r="AU65" s="58">
        <f t="shared" si="9"/>
        <v>9.9999999999999995E-7</v>
      </c>
      <c r="AV65" s="59" t="str">
        <f t="shared" si="34"/>
        <v>效率损失</v>
      </c>
      <c r="AW65" s="56">
        <f t="shared" si="10"/>
        <v>4.1E-5</v>
      </c>
      <c r="AX65" s="57" t="s">
        <v>192</v>
      </c>
      <c r="AY65" s="58" t="str">
        <f t="shared" ca="1" si="11"/>
        <v/>
      </c>
      <c r="AZ65" s="59" t="str">
        <f t="shared" ca="1" si="35"/>
        <v/>
      </c>
    </row>
    <row r="66" spans="1:52">
      <c r="A66" s="49"/>
      <c r="B66" s="51"/>
      <c r="C66" s="51"/>
      <c r="D66" s="60"/>
      <c r="E66" s="58">
        <f t="shared" ref="E66:AY66" si="36">SUM(E25:E65)</f>
        <v>8.6100000000000011E-4</v>
      </c>
      <c r="F66" s="62">
        <f t="shared" si="36"/>
        <v>0</v>
      </c>
      <c r="G66" s="58">
        <f t="shared" si="36"/>
        <v>8.6100000000000011E-4</v>
      </c>
      <c r="H66" s="59"/>
      <c r="I66" s="58">
        <f t="shared" si="36"/>
        <v>8.6100000000000011E-4</v>
      </c>
      <c r="J66" s="62"/>
      <c r="K66" s="58">
        <f t="shared" si="36"/>
        <v>8.6100000000000011E-4</v>
      </c>
      <c r="L66" s="59"/>
      <c r="M66" s="58">
        <f t="shared" si="36"/>
        <v>8.6100000000000011E-4</v>
      </c>
      <c r="N66" s="62"/>
      <c r="O66" s="58">
        <f t="shared" si="36"/>
        <v>8.6100000000000011E-4</v>
      </c>
      <c r="P66" s="59"/>
      <c r="Q66" s="58">
        <f t="shared" si="36"/>
        <v>8.6100000000000011E-4</v>
      </c>
      <c r="R66" s="62"/>
      <c r="S66" s="58">
        <f t="shared" si="36"/>
        <v>8.6100000000000011E-4</v>
      </c>
      <c r="T66" s="62"/>
      <c r="U66" s="58">
        <f t="shared" si="36"/>
        <v>8.6100000000000011E-4</v>
      </c>
      <c r="V66" s="62"/>
      <c r="W66" s="58">
        <f t="shared" si="36"/>
        <v>8.6100000000000011E-4</v>
      </c>
      <c r="X66" s="63"/>
      <c r="Y66" s="58">
        <f t="shared" si="36"/>
        <v>8.6100000000000011E-4</v>
      </c>
      <c r="Z66" s="63"/>
      <c r="AA66" s="58">
        <f t="shared" si="36"/>
        <v>8.6100000000000011E-4</v>
      </c>
      <c r="AB66" s="59"/>
      <c r="AC66" s="58">
        <f t="shared" si="36"/>
        <v>8.6100000000000011E-4</v>
      </c>
      <c r="AD66" s="62"/>
      <c r="AE66" s="58">
        <f t="shared" si="36"/>
        <v>8.6100000000000011E-4</v>
      </c>
      <c r="AF66" s="63"/>
      <c r="AG66" s="58">
        <f t="shared" si="36"/>
        <v>45942.068228937838</v>
      </c>
      <c r="AH66" s="63"/>
      <c r="AI66" s="58">
        <f t="shared" si="36"/>
        <v>45942.068228937846</v>
      </c>
      <c r="AJ66" s="59"/>
      <c r="AK66" s="58">
        <f t="shared" si="36"/>
        <v>8.6100000000000011E-4</v>
      </c>
      <c r="AL66" s="62"/>
      <c r="AM66" s="58">
        <f t="shared" si="36"/>
        <v>8.6100000000000011E-4</v>
      </c>
      <c r="AN66" s="63"/>
      <c r="AO66" s="58">
        <f t="shared" si="36"/>
        <v>8.6100000000000011E-4</v>
      </c>
      <c r="AP66" s="62"/>
      <c r="AQ66" s="58">
        <f t="shared" si="36"/>
        <v>8.6100000000000011E-4</v>
      </c>
      <c r="AR66" s="63"/>
      <c r="AS66" s="58">
        <f t="shared" si="36"/>
        <v>8.6100000000000011E-4</v>
      </c>
      <c r="AT66" s="62"/>
      <c r="AU66" s="58">
        <f t="shared" si="36"/>
        <v>8.6100000000000011E-4</v>
      </c>
      <c r="AV66" s="63"/>
      <c r="AW66" s="58">
        <f t="shared" si="36"/>
        <v>8.6100000000000011E-4</v>
      </c>
      <c r="AX66" s="62"/>
      <c r="AY66" s="58">
        <f t="shared" ca="1" si="36"/>
        <v>0</v>
      </c>
      <c r="AZ66" s="63"/>
    </row>
    <row r="69" spans="1:52">
      <c r="A69" s="64" t="s">
        <v>207</v>
      </c>
      <c r="B69" s="65" t="s">
        <v>208</v>
      </c>
      <c r="C69" s="65" t="s">
        <v>209</v>
      </c>
      <c r="D69" s="65" t="s">
        <v>210</v>
      </c>
      <c r="E69" s="65" t="s">
        <v>198</v>
      </c>
      <c r="F69" s="64" t="s">
        <v>199</v>
      </c>
      <c r="G69" s="65" t="s">
        <v>211</v>
      </c>
      <c r="H69" s="64" t="s">
        <v>212</v>
      </c>
    </row>
    <row r="70" spans="1:52">
      <c r="A70" s="66"/>
      <c r="B70" s="66">
        <f>(IF(B72&gt;0,SUM(A70:A71),A71+B72-B71))</f>
        <v>0</v>
      </c>
      <c r="C70" s="66">
        <f>(SUM(B70:B71))</f>
        <v>0</v>
      </c>
      <c r="D70" s="66">
        <f>SUM(C70:C71)</f>
        <v>0</v>
      </c>
      <c r="E70" s="66">
        <f>(SUM(D70:D71))</f>
        <v>0</v>
      </c>
      <c r="F70" s="66"/>
      <c r="G70" s="66">
        <f>(SUM(F70:F71))</f>
        <v>0</v>
      </c>
      <c r="H70" s="67"/>
    </row>
    <row r="71" spans="1:52">
      <c r="A71" s="66">
        <f>(E6)/60</f>
        <v>0</v>
      </c>
      <c r="B71" s="66">
        <f>(K6+L6)/60</f>
        <v>0</v>
      </c>
      <c r="C71" s="66">
        <f>(W6)/60</f>
        <v>0</v>
      </c>
      <c r="D71" s="66">
        <f>(AE6)/60</f>
        <v>0</v>
      </c>
      <c r="E71" s="66">
        <f>($AO$6)/60</f>
        <v>0</v>
      </c>
      <c r="F71" s="66">
        <f>(F6)/60</f>
        <v>0</v>
      </c>
      <c r="G71" s="66">
        <f>(BF6)/60</f>
        <v>0</v>
      </c>
      <c r="H71" s="66">
        <f>(G6)/60</f>
        <v>0</v>
      </c>
      <c r="I71">
        <v>1</v>
      </c>
    </row>
    <row r="72" spans="1:52">
      <c r="A72" s="68"/>
      <c r="B72" s="66">
        <f>(B71)</f>
        <v>0</v>
      </c>
      <c r="C72" s="66"/>
      <c r="D72" s="68"/>
      <c r="E72" s="68"/>
      <c r="F72" s="68"/>
      <c r="G72" s="68"/>
      <c r="H72" s="69"/>
    </row>
    <row r="73" spans="1:52">
      <c r="A73" s="70">
        <f>IFERROR(A71/$H$71,0)</f>
        <v>0</v>
      </c>
      <c r="B73" s="70">
        <f t="shared" ref="B73:H73" si="37">IFERROR(B71/$H$71,0)</f>
        <v>0</v>
      </c>
      <c r="C73" s="70">
        <f t="shared" si="37"/>
        <v>0</v>
      </c>
      <c r="D73" s="70">
        <f t="shared" si="37"/>
        <v>0</v>
      </c>
      <c r="E73" s="70">
        <f t="shared" si="37"/>
        <v>0</v>
      </c>
      <c r="F73" s="70">
        <f t="shared" si="37"/>
        <v>0</v>
      </c>
      <c r="G73" s="70">
        <f t="shared" si="37"/>
        <v>0</v>
      </c>
      <c r="H73" s="70">
        <f t="shared" si="37"/>
        <v>0</v>
      </c>
    </row>
    <row r="74" spans="1:52">
      <c r="A74" s="71"/>
      <c r="B74" s="72"/>
      <c r="C74" s="72"/>
      <c r="D74" s="73" t="s">
        <v>213</v>
      </c>
      <c r="E74" s="74" t="str">
        <f>IFERROR(A71/F71,"0")</f>
        <v>0</v>
      </c>
      <c r="F74" s="72"/>
      <c r="G74" s="72"/>
      <c r="H74" s="71"/>
    </row>
    <row r="76" spans="1:52">
      <c r="A76" s="64" t="s">
        <v>207</v>
      </c>
      <c r="B76" s="65" t="s">
        <v>208</v>
      </c>
      <c r="C76" s="65" t="s">
        <v>209</v>
      </c>
      <c r="D76" s="65" t="s">
        <v>210</v>
      </c>
      <c r="E76" s="65" t="s">
        <v>198</v>
      </c>
      <c r="F76" s="64" t="s">
        <v>199</v>
      </c>
      <c r="G76" s="65" t="s">
        <v>211</v>
      </c>
      <c r="H76" s="64" t="s">
        <v>212</v>
      </c>
    </row>
    <row r="77" spans="1:52">
      <c r="A77" s="66"/>
      <c r="B77" s="66">
        <f>(IF(B79&gt;0,SUM(A77:A78),A78+B79-B78))</f>
        <v>0</v>
      </c>
      <c r="C77" s="66">
        <f>(SUM(B77:B78))</f>
        <v>0</v>
      </c>
      <c r="D77" s="66">
        <f>SUM(C77:C78)</f>
        <v>0</v>
      </c>
      <c r="E77" s="66">
        <f>(SUM(D77:D78))</f>
        <v>0</v>
      </c>
      <c r="F77" s="66"/>
      <c r="G77" s="66">
        <f>(SUM(F77:F78))</f>
        <v>0</v>
      </c>
      <c r="H77" s="67"/>
    </row>
    <row r="78" spans="1:52">
      <c r="A78" s="66">
        <f>(E7)/60</f>
        <v>0</v>
      </c>
      <c r="B78" s="66">
        <f>(K7+L7)/60</f>
        <v>0</v>
      </c>
      <c r="C78" s="66">
        <f>(W7)/60</f>
        <v>0</v>
      </c>
      <c r="D78" s="66">
        <f>(AE7)/60</f>
        <v>0</v>
      </c>
      <c r="E78" s="66">
        <f>($AO$7)/60</f>
        <v>0</v>
      </c>
      <c r="F78" s="66">
        <f>(F7)/60</f>
        <v>0</v>
      </c>
      <c r="G78" s="66">
        <f>(BF7)/60</f>
        <v>0</v>
      </c>
      <c r="H78" s="66">
        <f>(G7)/60</f>
        <v>0</v>
      </c>
      <c r="I78">
        <v>2</v>
      </c>
    </row>
    <row r="79" spans="1:52">
      <c r="A79" s="68"/>
      <c r="B79" s="66">
        <f>(B78)</f>
        <v>0</v>
      </c>
      <c r="C79" s="66"/>
      <c r="D79" s="68"/>
      <c r="E79" s="68"/>
      <c r="F79" s="68"/>
      <c r="G79" s="68"/>
      <c r="H79" s="69"/>
    </row>
    <row r="80" spans="1:52">
      <c r="A80" s="70">
        <f>IFERROR(A78/$H$78,0)</f>
        <v>0</v>
      </c>
      <c r="B80" s="70">
        <f t="shared" ref="B80:H80" si="38">IFERROR(B78/$H$78,0)</f>
        <v>0</v>
      </c>
      <c r="C80" s="70">
        <f t="shared" si="38"/>
        <v>0</v>
      </c>
      <c r="D80" s="70">
        <f t="shared" si="38"/>
        <v>0</v>
      </c>
      <c r="E80" s="70">
        <f t="shared" si="38"/>
        <v>0</v>
      </c>
      <c r="F80" s="70">
        <f t="shared" si="38"/>
        <v>0</v>
      </c>
      <c r="G80" s="70">
        <f t="shared" si="38"/>
        <v>0</v>
      </c>
      <c r="H80" s="70">
        <f t="shared" si="38"/>
        <v>0</v>
      </c>
    </row>
    <row r="81" spans="1:9">
      <c r="A81" s="71"/>
      <c r="B81" s="72"/>
      <c r="C81" s="72"/>
      <c r="D81" s="73" t="s">
        <v>213</v>
      </c>
      <c r="E81" s="74">
        <f>IFERROR(A78/F78,0)</f>
        <v>0</v>
      </c>
      <c r="F81" s="72"/>
      <c r="G81" s="72"/>
      <c r="H81" s="71"/>
    </row>
    <row r="83" spans="1:9">
      <c r="A83" s="64" t="s">
        <v>207</v>
      </c>
      <c r="B83" s="65" t="s">
        <v>208</v>
      </c>
      <c r="C83" s="65" t="s">
        <v>209</v>
      </c>
      <c r="D83" s="65" t="s">
        <v>210</v>
      </c>
      <c r="E83" s="65" t="s">
        <v>198</v>
      </c>
      <c r="F83" s="64" t="s">
        <v>199</v>
      </c>
      <c r="G83" s="65" t="s">
        <v>211</v>
      </c>
      <c r="H83" s="64" t="s">
        <v>212</v>
      </c>
    </row>
    <row r="84" spans="1:9">
      <c r="A84" s="66"/>
      <c r="B84" s="66">
        <f>(IF(B86&gt;0,SUM(A84:A85),A85+B86-B85))</f>
        <v>0</v>
      </c>
      <c r="C84" s="66">
        <f>(SUM(B84:B85))</f>
        <v>0</v>
      </c>
      <c r="D84" s="66">
        <f>SUM(C84:C85)</f>
        <v>0</v>
      </c>
      <c r="E84" s="66">
        <f>(SUM(D84:D85))</f>
        <v>0</v>
      </c>
      <c r="F84" s="66"/>
      <c r="G84" s="66">
        <f>(SUM(F84:F85))</f>
        <v>0</v>
      </c>
      <c r="H84" s="67"/>
    </row>
    <row r="85" spans="1:9">
      <c r="A85" s="66">
        <f>(E8)/60</f>
        <v>0</v>
      </c>
      <c r="B85" s="66">
        <f>(K8+L8)/60</f>
        <v>0</v>
      </c>
      <c r="C85" s="66">
        <f>(W8)/60</f>
        <v>0</v>
      </c>
      <c r="D85" s="66">
        <f>(AE8)/60</f>
        <v>0</v>
      </c>
      <c r="E85" s="66">
        <f>($AO$8)/60</f>
        <v>0</v>
      </c>
      <c r="F85" s="66">
        <f>(F8)/60</f>
        <v>0</v>
      </c>
      <c r="G85" s="66">
        <f>(BF8)/60</f>
        <v>0</v>
      </c>
      <c r="H85" s="66">
        <f>(G8)/60</f>
        <v>0</v>
      </c>
      <c r="I85">
        <v>3</v>
      </c>
    </row>
    <row r="86" spans="1:9">
      <c r="A86" s="68"/>
      <c r="B86" s="66">
        <f>(B85)</f>
        <v>0</v>
      </c>
      <c r="C86" s="66"/>
      <c r="D86" s="68"/>
      <c r="E86" s="68"/>
      <c r="F86" s="68"/>
      <c r="G86" s="68"/>
      <c r="H86" s="69"/>
    </row>
    <row r="87" spans="1:9">
      <c r="A87" s="70">
        <f>IFERROR(A85/$H$85,0)</f>
        <v>0</v>
      </c>
      <c r="B87" s="70">
        <f t="shared" ref="B87:H87" si="39">IFERROR(B85/$H$85,0)</f>
        <v>0</v>
      </c>
      <c r="C87" s="70">
        <f t="shared" si="39"/>
        <v>0</v>
      </c>
      <c r="D87" s="70">
        <f t="shared" si="39"/>
        <v>0</v>
      </c>
      <c r="E87" s="70">
        <f t="shared" si="39"/>
        <v>0</v>
      </c>
      <c r="F87" s="70">
        <f t="shared" si="39"/>
        <v>0</v>
      </c>
      <c r="G87" s="70">
        <f t="shared" si="39"/>
        <v>0</v>
      </c>
      <c r="H87" s="70">
        <f t="shared" si="39"/>
        <v>0</v>
      </c>
    </row>
    <row r="88" spans="1:9">
      <c r="A88" s="71"/>
      <c r="B88" s="72"/>
      <c r="C88" s="72"/>
      <c r="D88" s="73" t="s">
        <v>213</v>
      </c>
      <c r="E88" s="74">
        <f>IFERROR(A85/F85,0)</f>
        <v>0</v>
      </c>
      <c r="F88" s="72"/>
      <c r="G88" s="72"/>
      <c r="H88" s="71"/>
    </row>
    <row r="90" spans="1:9">
      <c r="A90" s="64" t="s">
        <v>207</v>
      </c>
      <c r="B90" s="65" t="s">
        <v>208</v>
      </c>
      <c r="C90" s="65" t="s">
        <v>209</v>
      </c>
      <c r="D90" s="65" t="s">
        <v>210</v>
      </c>
      <c r="E90" s="65" t="s">
        <v>198</v>
      </c>
      <c r="F90" s="64" t="s">
        <v>199</v>
      </c>
      <c r="G90" s="65" t="s">
        <v>211</v>
      </c>
      <c r="H90" s="64" t="s">
        <v>212</v>
      </c>
    </row>
    <row r="91" spans="1:9">
      <c r="A91" s="66"/>
      <c r="B91" s="66">
        <f>(IF(B93&gt;0,SUM(A91:A92),A92+B93-B92))</f>
        <v>0</v>
      </c>
      <c r="C91" s="66">
        <f>(SUM(B91:B92))</f>
        <v>0</v>
      </c>
      <c r="D91" s="66">
        <f>SUM(C91:C92)</f>
        <v>0</v>
      </c>
      <c r="E91" s="66">
        <f>(SUM(D91:D92))</f>
        <v>0</v>
      </c>
      <c r="F91" s="66"/>
      <c r="G91" s="66">
        <f>(SUM(F91:F92))</f>
        <v>0</v>
      </c>
      <c r="H91" s="67"/>
    </row>
    <row r="92" spans="1:9">
      <c r="A92" s="66">
        <f>(E9)/60</f>
        <v>0</v>
      </c>
      <c r="B92" s="66">
        <f>(K9+L9)/60</f>
        <v>0</v>
      </c>
      <c r="C92" s="66">
        <f>(W9)/60</f>
        <v>0</v>
      </c>
      <c r="D92" s="66">
        <f>(AE9)/60</f>
        <v>0</v>
      </c>
      <c r="E92" s="66">
        <f>($AO$9)/60</f>
        <v>0</v>
      </c>
      <c r="F92" s="66">
        <f>(F9)/60</f>
        <v>0</v>
      </c>
      <c r="G92" s="66">
        <f>(BF9)/60</f>
        <v>0</v>
      </c>
      <c r="H92" s="66">
        <f>(G9)/60</f>
        <v>0</v>
      </c>
      <c r="I92">
        <v>4</v>
      </c>
    </row>
    <row r="93" spans="1:9">
      <c r="A93" s="68"/>
      <c r="B93" s="66">
        <f>(B92)</f>
        <v>0</v>
      </c>
      <c r="C93" s="66"/>
      <c r="D93" s="68"/>
      <c r="E93" s="68"/>
      <c r="F93" s="68"/>
      <c r="G93" s="68"/>
      <c r="H93" s="69"/>
    </row>
    <row r="94" spans="1:9">
      <c r="A94" s="70">
        <f>IFERROR(A92/$H$92,0)</f>
        <v>0</v>
      </c>
      <c r="B94" s="70">
        <f t="shared" ref="B94:H94" si="40">IFERROR(B92/$H$92,0)</f>
        <v>0</v>
      </c>
      <c r="C94" s="70">
        <f t="shared" si="40"/>
        <v>0</v>
      </c>
      <c r="D94" s="70">
        <f t="shared" si="40"/>
        <v>0</v>
      </c>
      <c r="E94" s="70">
        <f t="shared" si="40"/>
        <v>0</v>
      </c>
      <c r="F94" s="70">
        <f t="shared" si="40"/>
        <v>0</v>
      </c>
      <c r="G94" s="70">
        <f t="shared" si="40"/>
        <v>0</v>
      </c>
      <c r="H94" s="70">
        <f t="shared" si="40"/>
        <v>0</v>
      </c>
    </row>
    <row r="95" spans="1:9">
      <c r="A95" s="71"/>
      <c r="B95" s="72"/>
      <c r="C95" s="72"/>
      <c r="D95" s="73" t="s">
        <v>213</v>
      </c>
      <c r="E95" s="74">
        <f>IFERROR(A92/F92,0)</f>
        <v>0</v>
      </c>
      <c r="F95" s="72"/>
      <c r="G95" s="72"/>
      <c r="H95" s="71"/>
    </row>
    <row r="97" spans="1:9">
      <c r="A97" s="64" t="s">
        <v>207</v>
      </c>
      <c r="B97" s="65" t="s">
        <v>208</v>
      </c>
      <c r="C97" s="65" t="s">
        <v>209</v>
      </c>
      <c r="D97" s="65" t="s">
        <v>210</v>
      </c>
      <c r="E97" s="65" t="s">
        <v>198</v>
      </c>
      <c r="F97" s="64" t="s">
        <v>199</v>
      </c>
      <c r="G97" s="65" t="s">
        <v>211</v>
      </c>
      <c r="H97" s="64" t="s">
        <v>212</v>
      </c>
    </row>
    <row r="98" spans="1:9">
      <c r="A98" s="66"/>
      <c r="B98" s="66">
        <f>(IF(B100&gt;0,SUM(A98:A99),A99+B100-B99))</f>
        <v>0</v>
      </c>
      <c r="C98" s="66">
        <f>(SUM(B98:B99))</f>
        <v>0</v>
      </c>
      <c r="D98" s="66">
        <f>SUM(C98:C99)</f>
        <v>0</v>
      </c>
      <c r="E98" s="66">
        <f>(SUM(D98:D99))</f>
        <v>0</v>
      </c>
      <c r="F98" s="66"/>
      <c r="G98" s="66">
        <f>(SUM(F98:F99))</f>
        <v>0</v>
      </c>
      <c r="H98" s="67"/>
    </row>
    <row r="99" spans="1:9">
      <c r="A99" s="66">
        <f>(E10)/60</f>
        <v>0</v>
      </c>
      <c r="B99" s="66">
        <f>(K10+L10)/60</f>
        <v>0</v>
      </c>
      <c r="C99" s="66">
        <f>(W10)/60</f>
        <v>0</v>
      </c>
      <c r="D99" s="66">
        <f>(AE10)/60</f>
        <v>0</v>
      </c>
      <c r="E99" s="66">
        <f>($AO$10)/60</f>
        <v>0</v>
      </c>
      <c r="F99" s="66">
        <f>(F10)/60</f>
        <v>0</v>
      </c>
      <c r="G99" s="66">
        <f>(BF10)/60</f>
        <v>0</v>
      </c>
      <c r="H99" s="66">
        <f>(G10)/60</f>
        <v>0</v>
      </c>
      <c r="I99">
        <v>5</v>
      </c>
    </row>
    <row r="100" spans="1:9">
      <c r="A100" s="68"/>
      <c r="B100" s="66">
        <f>(B99)</f>
        <v>0</v>
      </c>
      <c r="C100" s="66"/>
      <c r="D100" s="68"/>
      <c r="E100" s="68"/>
      <c r="F100" s="68"/>
      <c r="G100" s="68"/>
      <c r="H100" s="69"/>
    </row>
    <row r="101" spans="1:9">
      <c r="A101" s="70">
        <f>IFERROR(A99/$H$99,0)</f>
        <v>0</v>
      </c>
      <c r="B101" s="70">
        <f t="shared" ref="B101:H101" si="41">IFERROR(B99/$H$99,0)</f>
        <v>0</v>
      </c>
      <c r="C101" s="70">
        <f t="shared" si="41"/>
        <v>0</v>
      </c>
      <c r="D101" s="70">
        <f t="shared" si="41"/>
        <v>0</v>
      </c>
      <c r="E101" s="70">
        <f t="shared" si="41"/>
        <v>0</v>
      </c>
      <c r="F101" s="70">
        <f t="shared" si="41"/>
        <v>0</v>
      </c>
      <c r="G101" s="70">
        <f t="shared" si="41"/>
        <v>0</v>
      </c>
      <c r="H101" s="70">
        <f t="shared" si="41"/>
        <v>0</v>
      </c>
    </row>
    <row r="102" spans="1:9">
      <c r="A102" s="71"/>
      <c r="B102" s="72"/>
      <c r="C102" s="72"/>
      <c r="D102" s="73" t="s">
        <v>213</v>
      </c>
      <c r="E102" s="75">
        <f>IFERROR(A99/F99,0)</f>
        <v>0</v>
      </c>
      <c r="F102" s="72"/>
      <c r="G102" s="72"/>
      <c r="H102" s="71"/>
    </row>
    <row r="104" spans="1:9">
      <c r="A104" s="64" t="s">
        <v>207</v>
      </c>
      <c r="B104" s="65" t="s">
        <v>208</v>
      </c>
      <c r="C104" s="65" t="s">
        <v>209</v>
      </c>
      <c r="D104" s="65" t="s">
        <v>210</v>
      </c>
      <c r="E104" s="65" t="s">
        <v>198</v>
      </c>
      <c r="F104" s="64" t="s">
        <v>199</v>
      </c>
      <c r="G104" s="65" t="s">
        <v>211</v>
      </c>
      <c r="H104" s="64" t="s">
        <v>212</v>
      </c>
    </row>
    <row r="105" spans="1:9">
      <c r="A105" s="66"/>
      <c r="B105" s="66">
        <f>(IF(B107&gt;0,SUM(A105:A106),A106+B107-B106))</f>
        <v>0</v>
      </c>
      <c r="C105" s="66">
        <f>(SUM(B105:B106))</f>
        <v>0</v>
      </c>
      <c r="D105" s="66">
        <f>SUM(C105:C106)</f>
        <v>0</v>
      </c>
      <c r="E105" s="66">
        <f>(SUM(D105:D106))</f>
        <v>0</v>
      </c>
      <c r="F105" s="66"/>
      <c r="G105" s="66">
        <f>(SUM(F105:F106))</f>
        <v>0</v>
      </c>
      <c r="H105" s="67"/>
    </row>
    <row r="106" spans="1:9">
      <c r="A106" s="66">
        <f>(E11)/60</f>
        <v>0</v>
      </c>
      <c r="B106" s="66">
        <f>(K11+L11)/60</f>
        <v>0</v>
      </c>
      <c r="C106" s="66">
        <f>(W11)/60</f>
        <v>0</v>
      </c>
      <c r="D106" s="66">
        <f>(AE11)/60</f>
        <v>0</v>
      </c>
      <c r="E106" s="66">
        <f>($AO$11)/60</f>
        <v>0</v>
      </c>
      <c r="F106" s="66">
        <f>(F11)/60</f>
        <v>0</v>
      </c>
      <c r="G106" s="66">
        <f>(BF11)/60</f>
        <v>0</v>
      </c>
      <c r="H106" s="66">
        <f>(G11)/60</f>
        <v>0</v>
      </c>
      <c r="I106">
        <v>6</v>
      </c>
    </row>
    <row r="107" spans="1:9">
      <c r="A107" s="68"/>
      <c r="B107" s="66">
        <f>(B106)</f>
        <v>0</v>
      </c>
      <c r="C107" s="66"/>
      <c r="D107" s="68"/>
      <c r="E107" s="68"/>
      <c r="F107" s="68"/>
      <c r="G107" s="68"/>
      <c r="H107" s="69"/>
    </row>
    <row r="108" spans="1:9">
      <c r="A108" s="70">
        <f>IFERROR(A106/$H$106,0)</f>
        <v>0</v>
      </c>
      <c r="B108" s="70">
        <f t="shared" ref="B108:G108" si="42">IFERROR(B106/$H$106,0)</f>
        <v>0</v>
      </c>
      <c r="C108" s="70">
        <f t="shared" si="42"/>
        <v>0</v>
      </c>
      <c r="D108" s="70">
        <f t="shared" si="42"/>
        <v>0</v>
      </c>
      <c r="E108" s="70">
        <f t="shared" si="42"/>
        <v>0</v>
      </c>
      <c r="F108" s="70">
        <f t="shared" si="42"/>
        <v>0</v>
      </c>
      <c r="G108" s="70">
        <f t="shared" si="42"/>
        <v>0</v>
      </c>
      <c r="H108" s="70">
        <f>IFERROR(H106/$H$106,0)</f>
        <v>0</v>
      </c>
    </row>
    <row r="109" spans="1:9">
      <c r="A109" s="71"/>
      <c r="B109" s="72"/>
      <c r="C109" s="72"/>
      <c r="D109" s="73" t="s">
        <v>213</v>
      </c>
      <c r="E109" s="74">
        <f>IFERROR(A106/F106,0)</f>
        <v>0</v>
      </c>
      <c r="F109" s="72"/>
      <c r="G109" s="72"/>
      <c r="H109" s="71"/>
    </row>
    <row r="111" spans="1:9">
      <c r="A111" s="64" t="s">
        <v>207</v>
      </c>
      <c r="B111" s="65" t="s">
        <v>208</v>
      </c>
      <c r="C111" s="65" t="s">
        <v>209</v>
      </c>
      <c r="D111" s="65" t="s">
        <v>210</v>
      </c>
      <c r="E111" s="65" t="s">
        <v>198</v>
      </c>
      <c r="F111" s="64" t="s">
        <v>199</v>
      </c>
      <c r="G111" s="65" t="s">
        <v>211</v>
      </c>
      <c r="H111" s="64" t="s">
        <v>212</v>
      </c>
    </row>
    <row r="112" spans="1:9">
      <c r="A112" s="66"/>
      <c r="B112" s="66">
        <f>(IF(B114&gt;0,SUM(A112:A113),A113+B114-B113))</f>
        <v>0</v>
      </c>
      <c r="C112" s="66">
        <f>(SUM(B112:B113))</f>
        <v>0</v>
      </c>
      <c r="D112" s="66">
        <f>SUM(C112:C113)</f>
        <v>0</v>
      </c>
      <c r="E112" s="66">
        <f>(SUM(D112:D113))</f>
        <v>0</v>
      </c>
      <c r="F112" s="66"/>
      <c r="G112" s="66">
        <f>(SUM(F112:F113))</f>
        <v>0</v>
      </c>
      <c r="H112" s="67"/>
    </row>
    <row r="113" spans="1:9">
      <c r="A113" s="66">
        <f>(E12)/60</f>
        <v>0</v>
      </c>
      <c r="B113" s="66">
        <f>(K12+L12)/60</f>
        <v>0</v>
      </c>
      <c r="C113" s="66">
        <f>(W12)/60</f>
        <v>0</v>
      </c>
      <c r="D113" s="66">
        <f>(AE12)/60</f>
        <v>0</v>
      </c>
      <c r="E113" s="66">
        <f>($AO$12)/60</f>
        <v>0</v>
      </c>
      <c r="F113" s="66">
        <f>(F12)/60</f>
        <v>0</v>
      </c>
      <c r="G113" s="66">
        <f>(BF12)/60</f>
        <v>0</v>
      </c>
      <c r="H113" s="66">
        <f>(G12)/60</f>
        <v>0</v>
      </c>
      <c r="I113">
        <v>7</v>
      </c>
    </row>
    <row r="114" spans="1:9">
      <c r="A114" s="68"/>
      <c r="B114" s="66">
        <f>(B113)</f>
        <v>0</v>
      </c>
      <c r="C114" s="66"/>
      <c r="D114" s="68"/>
      <c r="E114" s="68"/>
      <c r="F114" s="68"/>
      <c r="G114" s="68"/>
      <c r="H114" s="69"/>
    </row>
    <row r="115" spans="1:9">
      <c r="A115" s="70" t="str">
        <f>IFERROR(A113/$H$113,"")</f>
        <v/>
      </c>
      <c r="B115" s="70" t="str">
        <f t="shared" ref="B115:H115" si="43">IFERROR(B113/$H$113,"")</f>
        <v/>
      </c>
      <c r="C115" s="70" t="str">
        <f t="shared" si="43"/>
        <v/>
      </c>
      <c r="D115" s="70" t="str">
        <f t="shared" si="43"/>
        <v/>
      </c>
      <c r="E115" s="70" t="str">
        <f t="shared" si="43"/>
        <v/>
      </c>
      <c r="F115" s="70" t="str">
        <f t="shared" si="43"/>
        <v/>
      </c>
      <c r="G115" s="70" t="str">
        <f t="shared" si="43"/>
        <v/>
      </c>
      <c r="H115" s="70" t="str">
        <f t="shared" si="43"/>
        <v/>
      </c>
    </row>
    <row r="116" spans="1:9">
      <c r="A116" s="71"/>
      <c r="B116" s="72"/>
      <c r="C116" s="72"/>
      <c r="D116" s="73" t="s">
        <v>213</v>
      </c>
      <c r="E116" s="74" t="str">
        <f>IFERROR((A113/F113),"")</f>
        <v/>
      </c>
      <c r="F116" s="72"/>
      <c r="G116" s="72"/>
      <c r="H116" s="71"/>
    </row>
    <row r="118" spans="1:9">
      <c r="A118" s="64" t="s">
        <v>207</v>
      </c>
      <c r="B118" s="65" t="s">
        <v>208</v>
      </c>
      <c r="C118" s="65" t="s">
        <v>209</v>
      </c>
      <c r="D118" s="65" t="s">
        <v>210</v>
      </c>
      <c r="E118" s="65" t="s">
        <v>198</v>
      </c>
      <c r="F118" s="64" t="s">
        <v>199</v>
      </c>
      <c r="G118" s="65" t="s">
        <v>211</v>
      </c>
      <c r="H118" s="64" t="s">
        <v>212</v>
      </c>
    </row>
    <row r="119" spans="1:9">
      <c r="A119" s="66"/>
      <c r="B119" s="66">
        <f>(IF(B121&gt;0,SUM(A119:A120),A120+B121-B120))</f>
        <v>56766.822245006435</v>
      </c>
      <c r="C119" s="66">
        <f>(SUM(B119:B120))</f>
        <v>75892.644612944277</v>
      </c>
      <c r="D119" s="66">
        <f>SUM(C119:C120)</f>
        <v>79990.90627961095</v>
      </c>
      <c r="E119" s="66">
        <f>(SUM(D119:D120))</f>
        <v>81427.922946277613</v>
      </c>
      <c r="F119" s="66"/>
      <c r="G119" s="66">
        <f>(SUM(F119:F120))</f>
        <v>83327.822946277622</v>
      </c>
      <c r="H119" s="67"/>
    </row>
    <row r="120" spans="1:9">
      <c r="A120" s="66">
        <f>(E13)/60</f>
        <v>56766.822245006435</v>
      </c>
      <c r="B120" s="66">
        <f>(K13+L13)/60</f>
        <v>19125.82236793785</v>
      </c>
      <c r="C120" s="66">
        <f>(W13)/60</f>
        <v>4098.2616666666672</v>
      </c>
      <c r="D120" s="66">
        <f>(AE13)/60</f>
        <v>1437.0166666666667</v>
      </c>
      <c r="E120" s="66">
        <f>($AO$13)/60</f>
        <v>1901.0166666666667</v>
      </c>
      <c r="F120" s="66">
        <f>(F13)/60</f>
        <v>83327.822946277622</v>
      </c>
      <c r="G120" s="66">
        <f>(BF13)/60</f>
        <v>19380.483333333334</v>
      </c>
      <c r="H120" s="66">
        <f>(G13)/60</f>
        <v>102708.30627961094</v>
      </c>
      <c r="I120">
        <v>8</v>
      </c>
    </row>
    <row r="121" spans="1:9">
      <c r="A121" s="68"/>
      <c r="B121" s="66">
        <f>(B120)</f>
        <v>19125.82236793785</v>
      </c>
      <c r="C121" s="66"/>
      <c r="D121" s="68"/>
      <c r="E121" s="68"/>
      <c r="F121" s="68"/>
      <c r="G121" s="68"/>
      <c r="H121" s="69"/>
    </row>
    <row r="122" spans="1:9">
      <c r="A122" s="70">
        <f>IFERROR(A120/$H$120,"")</f>
        <v>0.55269942910425984</v>
      </c>
      <c r="B122" s="70">
        <f t="shared" ref="B122:H122" si="44">IFERROR(B120/$H$120,"")</f>
        <v>0.18621495242916489</v>
      </c>
      <c r="C122" s="70">
        <f t="shared" si="44"/>
        <v>3.9901949658381529E-2</v>
      </c>
      <c r="D122" s="70">
        <f t="shared" si="44"/>
        <v>1.3991241007855417E-2</v>
      </c>
      <c r="E122" s="70">
        <f t="shared" si="44"/>
        <v>1.8508889256642774E-2</v>
      </c>
      <c r="F122" s="70">
        <f t="shared" si="44"/>
        <v>0.81130558924248741</v>
      </c>
      <c r="G122" s="70">
        <f t="shared" si="44"/>
        <v>0.18869441075751275</v>
      </c>
      <c r="H122" s="70">
        <f t="shared" si="44"/>
        <v>1</v>
      </c>
    </row>
    <row r="123" spans="1:9">
      <c r="A123" s="71"/>
      <c r="B123" s="72"/>
      <c r="C123" s="72"/>
      <c r="D123" s="73" t="s">
        <v>213</v>
      </c>
      <c r="E123" s="74">
        <f>IFERROR((A120/F120),"")</f>
        <v>0.68124691415020699</v>
      </c>
      <c r="F123" s="72"/>
      <c r="G123" s="72"/>
      <c r="H123" s="71"/>
    </row>
    <row r="125" spans="1:9">
      <c r="A125" s="64" t="s">
        <v>207</v>
      </c>
      <c r="B125" s="65" t="s">
        <v>208</v>
      </c>
      <c r="C125" s="65" t="s">
        <v>209</v>
      </c>
      <c r="D125" s="65" t="s">
        <v>210</v>
      </c>
      <c r="E125" s="65" t="s">
        <v>198</v>
      </c>
      <c r="F125" s="64" t="s">
        <v>199</v>
      </c>
      <c r="G125" s="65" t="s">
        <v>211</v>
      </c>
      <c r="H125" s="64" t="s">
        <v>212</v>
      </c>
    </row>
    <row r="126" spans="1:9">
      <c r="A126" s="66"/>
      <c r="B126" s="66">
        <f>(IF(B128&gt;0,SUM(A126:A127),A127+B128-B127))</f>
        <v>0</v>
      </c>
      <c r="C126" s="66">
        <f>(SUM(B126:B127))</f>
        <v>0</v>
      </c>
      <c r="D126" s="66">
        <f>SUM(C126:C127)</f>
        <v>0</v>
      </c>
      <c r="E126" s="66">
        <f>(SUM(D126:D127))</f>
        <v>0</v>
      </c>
      <c r="F126" s="66"/>
      <c r="G126" s="66">
        <f>(SUM(F126:F127))</f>
        <v>0</v>
      </c>
      <c r="H126" s="67"/>
    </row>
    <row r="127" spans="1:9">
      <c r="A127" s="66">
        <f>(E14)/60</f>
        <v>0</v>
      </c>
      <c r="B127" s="66">
        <f>(K14+L14)/60</f>
        <v>0</v>
      </c>
      <c r="C127" s="66">
        <f>(W14)/60</f>
        <v>0</v>
      </c>
      <c r="D127" s="66">
        <f>(AE14)/60</f>
        <v>0</v>
      </c>
      <c r="E127" s="66">
        <f>($AO$14)/60</f>
        <v>0</v>
      </c>
      <c r="F127" s="66">
        <f>(F14)/60</f>
        <v>0</v>
      </c>
      <c r="G127" s="66">
        <f>(BF14)/60</f>
        <v>0</v>
      </c>
      <c r="H127" s="66">
        <f>(G14)/60</f>
        <v>0</v>
      </c>
      <c r="I127">
        <v>9</v>
      </c>
    </row>
    <row r="128" spans="1:9">
      <c r="A128" s="68"/>
      <c r="B128" s="66">
        <f>(B127)</f>
        <v>0</v>
      </c>
      <c r="C128" s="66"/>
      <c r="D128" s="68"/>
      <c r="E128" s="68"/>
      <c r="F128" s="68"/>
      <c r="G128" s="68"/>
      <c r="H128" s="69"/>
    </row>
    <row r="129" spans="1:9">
      <c r="A129" s="70" t="str">
        <f>IFERROR(A127/$H$127,"")</f>
        <v/>
      </c>
      <c r="B129" s="70" t="str">
        <f t="shared" ref="B129:H129" si="45">IFERROR(B127/$H$127,"")</f>
        <v/>
      </c>
      <c r="C129" s="70" t="str">
        <f t="shared" si="45"/>
        <v/>
      </c>
      <c r="D129" s="70" t="str">
        <f t="shared" si="45"/>
        <v/>
      </c>
      <c r="E129" s="70" t="str">
        <f t="shared" si="45"/>
        <v/>
      </c>
      <c r="F129" s="70" t="str">
        <f t="shared" si="45"/>
        <v/>
      </c>
      <c r="G129" s="70" t="str">
        <f t="shared" si="45"/>
        <v/>
      </c>
      <c r="H129" s="70" t="str">
        <f t="shared" si="45"/>
        <v/>
      </c>
    </row>
    <row r="130" spans="1:9">
      <c r="A130" s="71"/>
      <c r="B130" s="72"/>
      <c r="C130" s="72"/>
      <c r="D130" s="73" t="s">
        <v>213</v>
      </c>
      <c r="E130" s="74" t="str">
        <f>IFERROR((A127/F127),"")</f>
        <v/>
      </c>
      <c r="F130" s="72"/>
      <c r="G130" s="72"/>
      <c r="H130" s="71"/>
    </row>
    <row r="132" spans="1:9">
      <c r="A132" s="64" t="s">
        <v>207</v>
      </c>
      <c r="B132" s="65" t="s">
        <v>208</v>
      </c>
      <c r="C132" s="65" t="s">
        <v>209</v>
      </c>
      <c r="D132" s="65" t="s">
        <v>210</v>
      </c>
      <c r="E132" s="65" t="s">
        <v>198</v>
      </c>
      <c r="F132" s="64" t="s">
        <v>199</v>
      </c>
      <c r="G132" s="65" t="s">
        <v>211</v>
      </c>
      <c r="H132" s="64" t="s">
        <v>212</v>
      </c>
    </row>
    <row r="133" spans="1:9">
      <c r="A133" s="66"/>
      <c r="B133" s="66">
        <f>(IF(B135&gt;0,SUM(A133:A134),A134+B135-B134))</f>
        <v>0</v>
      </c>
      <c r="C133" s="66">
        <f>(SUM(B133:B134))</f>
        <v>0</v>
      </c>
      <c r="D133" s="66">
        <f>SUM(C133:C134)</f>
        <v>0</v>
      </c>
      <c r="E133" s="66">
        <f>(SUM(D133:D134))</f>
        <v>0</v>
      </c>
      <c r="F133" s="66"/>
      <c r="G133" s="66">
        <f>(SUM(F133:F134))</f>
        <v>0</v>
      </c>
      <c r="H133" s="67"/>
    </row>
    <row r="134" spans="1:9">
      <c r="A134" s="66">
        <f>(E15)/60</f>
        <v>0</v>
      </c>
      <c r="B134" s="66">
        <f>(K15+L15)/60</f>
        <v>0</v>
      </c>
      <c r="C134" s="66">
        <f>(W15)/60</f>
        <v>0</v>
      </c>
      <c r="D134" s="66">
        <f>(AE15)/60</f>
        <v>0</v>
      </c>
      <c r="E134" s="66">
        <f>($AO$15)/60</f>
        <v>0</v>
      </c>
      <c r="F134" s="66">
        <f>(F15)/60</f>
        <v>0</v>
      </c>
      <c r="G134" s="66">
        <f>(BF15)/60</f>
        <v>0</v>
      </c>
      <c r="H134" s="66">
        <f>(G15)/60</f>
        <v>0</v>
      </c>
      <c r="I134">
        <v>10</v>
      </c>
    </row>
    <row r="135" spans="1:9">
      <c r="A135" s="68"/>
      <c r="B135" s="66">
        <f>(B134)</f>
        <v>0</v>
      </c>
      <c r="C135" s="66"/>
      <c r="D135" s="68"/>
      <c r="E135" s="68"/>
      <c r="F135" s="68"/>
      <c r="G135" s="68"/>
      <c r="H135" s="69"/>
    </row>
    <row r="136" spans="1:9">
      <c r="A136" s="70" t="str">
        <f>IFERROR(A134/$H$134,"")</f>
        <v/>
      </c>
      <c r="B136" s="70" t="str">
        <f t="shared" ref="B136:H136" si="46">IFERROR(B134/$H$134,"")</f>
        <v/>
      </c>
      <c r="C136" s="70" t="str">
        <f t="shared" si="46"/>
        <v/>
      </c>
      <c r="D136" s="70" t="str">
        <f t="shared" si="46"/>
        <v/>
      </c>
      <c r="E136" s="70" t="str">
        <f t="shared" si="46"/>
        <v/>
      </c>
      <c r="F136" s="70" t="str">
        <f t="shared" si="46"/>
        <v/>
      </c>
      <c r="G136" s="70" t="str">
        <f t="shared" si="46"/>
        <v/>
      </c>
      <c r="H136" s="70" t="str">
        <f t="shared" si="46"/>
        <v/>
      </c>
    </row>
    <row r="137" spans="1:9">
      <c r="A137" s="71"/>
      <c r="B137" s="72"/>
      <c r="C137" s="72"/>
      <c r="D137" s="73" t="s">
        <v>213</v>
      </c>
      <c r="E137" s="74" t="str">
        <f>IFERROR((A134/F134),"")</f>
        <v/>
      </c>
      <c r="F137" s="72"/>
      <c r="G137" s="72"/>
      <c r="H137" s="71"/>
    </row>
    <row r="139" spans="1:9">
      <c r="A139" s="64" t="s">
        <v>207</v>
      </c>
      <c r="B139" s="65" t="s">
        <v>208</v>
      </c>
      <c r="C139" s="65" t="s">
        <v>209</v>
      </c>
      <c r="D139" s="65" t="s">
        <v>210</v>
      </c>
      <c r="E139" s="65" t="s">
        <v>198</v>
      </c>
      <c r="F139" s="64" t="s">
        <v>199</v>
      </c>
      <c r="G139" s="65" t="s">
        <v>211</v>
      </c>
      <c r="H139" s="64" t="s">
        <v>212</v>
      </c>
    </row>
    <row r="140" spans="1:9">
      <c r="A140" s="66"/>
      <c r="B140" s="66">
        <f>(IF(B142&gt;0,SUM(A140:A141),A141+B142-B141))</f>
        <v>0</v>
      </c>
      <c r="C140" s="66">
        <f>(SUM(B140:B141))</f>
        <v>0</v>
      </c>
      <c r="D140" s="66">
        <f>SUM(C140:C141)</f>
        <v>0</v>
      </c>
      <c r="E140" s="66">
        <f>(SUM(D140:D141))</f>
        <v>0</v>
      </c>
      <c r="F140" s="66"/>
      <c r="G140" s="66">
        <f>(SUM(F140:F141))</f>
        <v>0</v>
      </c>
      <c r="H140" s="67"/>
    </row>
    <row r="141" spans="1:9">
      <c r="A141" s="66">
        <f>(E16)/60</f>
        <v>0</v>
      </c>
      <c r="B141" s="66">
        <f>(K16+L16)/60</f>
        <v>0</v>
      </c>
      <c r="C141" s="66">
        <f>(W16)/60</f>
        <v>0</v>
      </c>
      <c r="D141" s="66">
        <f>(AE16)/60</f>
        <v>0</v>
      </c>
      <c r="E141" s="66">
        <f>($AO$16)/60</f>
        <v>0</v>
      </c>
      <c r="F141" s="66">
        <f>(F16)/60</f>
        <v>0</v>
      </c>
      <c r="G141" s="66">
        <f>(BF16)/60</f>
        <v>0</v>
      </c>
      <c r="H141" s="66">
        <f>(G16)/60</f>
        <v>0</v>
      </c>
      <c r="I141">
        <v>11</v>
      </c>
    </row>
    <row r="142" spans="1:9">
      <c r="A142" s="68"/>
      <c r="B142" s="66">
        <f>(B141)</f>
        <v>0</v>
      </c>
      <c r="C142" s="66"/>
      <c r="D142" s="68"/>
      <c r="E142" s="68"/>
      <c r="F142" s="68"/>
      <c r="G142" s="68"/>
      <c r="H142" s="69"/>
    </row>
    <row r="143" spans="1:9">
      <c r="A143" s="70" t="str">
        <f>IFERROR(A141/$H$141,"")</f>
        <v/>
      </c>
      <c r="B143" s="70" t="str">
        <f t="shared" ref="B143:H143" si="47">IFERROR(B141/$H$141,"")</f>
        <v/>
      </c>
      <c r="C143" s="70" t="str">
        <f t="shared" si="47"/>
        <v/>
      </c>
      <c r="D143" s="70" t="str">
        <f t="shared" si="47"/>
        <v/>
      </c>
      <c r="E143" s="70" t="str">
        <f t="shared" si="47"/>
        <v/>
      </c>
      <c r="F143" s="70" t="str">
        <f t="shared" si="47"/>
        <v/>
      </c>
      <c r="G143" s="70" t="str">
        <f t="shared" si="47"/>
        <v/>
      </c>
      <c r="H143" s="70" t="str">
        <f t="shared" si="47"/>
        <v/>
      </c>
    </row>
    <row r="144" spans="1:9">
      <c r="A144" s="71"/>
      <c r="B144" s="72"/>
      <c r="C144" s="72"/>
      <c r="D144" s="73" t="s">
        <v>213</v>
      </c>
      <c r="E144" s="74" t="str">
        <f>IFERROR((A141/F141),"")</f>
        <v/>
      </c>
      <c r="F144" s="72"/>
      <c r="G144" s="72"/>
      <c r="H144" s="71"/>
    </row>
    <row r="146" spans="1:19">
      <c r="A146" s="64" t="s">
        <v>207</v>
      </c>
      <c r="B146" s="65" t="s">
        <v>208</v>
      </c>
      <c r="C146" s="65" t="s">
        <v>209</v>
      </c>
      <c r="D146" s="65" t="s">
        <v>210</v>
      </c>
      <c r="E146" s="65" t="s">
        <v>198</v>
      </c>
      <c r="F146" s="64" t="s">
        <v>199</v>
      </c>
      <c r="G146" s="65" t="s">
        <v>211</v>
      </c>
      <c r="H146" s="64" t="s">
        <v>212</v>
      </c>
    </row>
    <row r="147" spans="1:19">
      <c r="A147" s="66"/>
      <c r="B147" s="66">
        <f>(IF(B149&gt;0,SUM(A147:A148),A148+B149-B148))</f>
        <v>0</v>
      </c>
      <c r="C147" s="66">
        <f>(SUM(B147:B148))</f>
        <v>0</v>
      </c>
      <c r="D147" s="66">
        <f>SUM(C147:C148)</f>
        <v>0</v>
      </c>
      <c r="E147" s="66">
        <f>(SUM(D147:D148))</f>
        <v>0</v>
      </c>
      <c r="F147" s="66"/>
      <c r="G147" s="66">
        <f>(SUM(F147:F148))</f>
        <v>0</v>
      </c>
      <c r="H147" s="67"/>
    </row>
    <row r="148" spans="1:19">
      <c r="A148" s="66">
        <f>(E17)/60</f>
        <v>0</v>
      </c>
      <c r="B148" s="66">
        <f>(K17+L17)/60</f>
        <v>0</v>
      </c>
      <c r="C148" s="66">
        <f>(W17)/60</f>
        <v>0</v>
      </c>
      <c r="D148" s="66">
        <f>(AE17)/60</f>
        <v>0</v>
      </c>
      <c r="E148" s="66">
        <f>($AO$17)/60</f>
        <v>0</v>
      </c>
      <c r="F148" s="66">
        <f>(F17)/60</f>
        <v>0</v>
      </c>
      <c r="G148" s="66">
        <f>(BF17)/60</f>
        <v>0</v>
      </c>
      <c r="H148" s="66">
        <f>(G17)/60</f>
        <v>0</v>
      </c>
      <c r="I148">
        <v>12</v>
      </c>
    </row>
    <row r="149" spans="1:19">
      <c r="A149" s="68"/>
      <c r="B149" s="66">
        <f>(B148)</f>
        <v>0</v>
      </c>
      <c r="C149" s="66"/>
      <c r="D149" s="68"/>
      <c r="E149" s="68"/>
      <c r="F149" s="68"/>
      <c r="G149" s="68"/>
      <c r="H149" s="69"/>
    </row>
    <row r="150" spans="1:19">
      <c r="A150" s="70" t="str">
        <f>IFERROR(A148/$H$148,"")</f>
        <v/>
      </c>
      <c r="B150" s="70" t="str">
        <f t="shared" ref="B150:H150" si="48">IFERROR(B148/$H$148,"")</f>
        <v/>
      </c>
      <c r="C150" s="70" t="str">
        <f t="shared" si="48"/>
        <v/>
      </c>
      <c r="D150" s="70" t="str">
        <f t="shared" si="48"/>
        <v/>
      </c>
      <c r="E150" s="70" t="str">
        <f t="shared" si="48"/>
        <v/>
      </c>
      <c r="F150" s="70" t="str">
        <f t="shared" si="48"/>
        <v/>
      </c>
      <c r="G150" s="70" t="str">
        <f t="shared" si="48"/>
        <v/>
      </c>
      <c r="H150" s="70" t="str">
        <f t="shared" si="48"/>
        <v/>
      </c>
    </row>
    <row r="151" spans="1:19">
      <c r="A151" s="71"/>
      <c r="B151" s="72"/>
      <c r="C151" s="72"/>
      <c r="D151" s="73" t="s">
        <v>213</v>
      </c>
      <c r="E151" s="74" t="str">
        <f>IFERROR((A148/F148),"")</f>
        <v/>
      </c>
      <c r="F151" s="72"/>
      <c r="G151" s="72"/>
      <c r="H151" s="71"/>
    </row>
    <row r="154" spans="1:19">
      <c r="B154" t="s">
        <v>247</v>
      </c>
      <c r="C154" t="s">
        <v>248</v>
      </c>
      <c r="D154" t="s">
        <v>250</v>
      </c>
      <c r="H154">
        <v>1</v>
      </c>
      <c r="I154">
        <v>2</v>
      </c>
      <c r="J154">
        <v>3</v>
      </c>
      <c r="K154">
        <v>4</v>
      </c>
      <c r="L154">
        <v>5</v>
      </c>
      <c r="M154">
        <v>6</v>
      </c>
      <c r="N154">
        <v>7</v>
      </c>
      <c r="O154">
        <v>8</v>
      </c>
      <c r="P154">
        <v>9</v>
      </c>
      <c r="Q154">
        <v>10</v>
      </c>
      <c r="R154">
        <v>11</v>
      </c>
      <c r="S154">
        <v>12</v>
      </c>
    </row>
    <row r="155" spans="1:19">
      <c r="A155" s="105" t="s">
        <v>231</v>
      </c>
      <c r="B155" s="1">
        <v>0.625</v>
      </c>
      <c r="C155" s="1">
        <v>0.75</v>
      </c>
      <c r="D155" s="1">
        <v>0.5</v>
      </c>
      <c r="E155" s="51" t="s">
        <v>3</v>
      </c>
      <c r="F155" s="57" t="s">
        <v>150</v>
      </c>
      <c r="G155" s="120"/>
      <c r="H155" s="121">
        <f>E25/$E$66</f>
        <v>1.1614401858304295E-3</v>
      </c>
      <c r="I155" s="121">
        <f>I25/$I$66</f>
        <v>1.1614401858304295E-3</v>
      </c>
      <c r="J155" s="121">
        <f>M25/$M$66</f>
        <v>1.1614401858304295E-3</v>
      </c>
      <c r="K155" s="121">
        <f>Q25/$Q$66</f>
        <v>1.1614401858304295E-3</v>
      </c>
      <c r="L155" s="121">
        <f>U25/$U$66</f>
        <v>1.1614401858304295E-3</v>
      </c>
      <c r="M155" s="121">
        <f>Y25/$Y$66</f>
        <v>1.1614401858304295E-3</v>
      </c>
      <c r="N155" s="121">
        <f>AC25/$AC$66</f>
        <v>1.1614401858304295E-3</v>
      </c>
      <c r="O155" s="121">
        <f>AG25/$AG$66</f>
        <v>0.41393519640515719</v>
      </c>
      <c r="P155" s="121">
        <f>AK25/$AK$66</f>
        <v>1.1614401858304295E-3</v>
      </c>
      <c r="Q155" s="121">
        <f>AO25/$AO$66</f>
        <v>1.1614401858304295E-3</v>
      </c>
      <c r="R155" s="121">
        <f>AS25/$AS$66</f>
        <v>1.1614401858304295E-3</v>
      </c>
      <c r="S155" s="1">
        <f>AW25/$AW$66</f>
        <v>1.1614401858304295E-3</v>
      </c>
    </row>
    <row r="156" spans="1:19">
      <c r="A156" s="105" t="s">
        <v>232</v>
      </c>
      <c r="B156" s="1">
        <v>0.625</v>
      </c>
      <c r="C156" s="1">
        <v>0.76</v>
      </c>
      <c r="D156" s="1">
        <v>0.5</v>
      </c>
      <c r="E156" s="51" t="s">
        <v>249</v>
      </c>
      <c r="F156" s="57" t="s">
        <v>151</v>
      </c>
      <c r="G156" s="120"/>
      <c r="H156" s="121">
        <f t="shared" ref="H156:H195" si="49">E26/$E$66</f>
        <v>2.322880371660859E-3</v>
      </c>
      <c r="I156" s="121">
        <f t="shared" ref="I156:I195" si="50">I26/$I$66</f>
        <v>2.322880371660859E-3</v>
      </c>
      <c r="J156" s="121">
        <f t="shared" ref="J156:J195" si="51">M26/$M$66</f>
        <v>2.322880371660859E-3</v>
      </c>
      <c r="K156" s="121">
        <f t="shared" ref="K156:K195" si="52">Q26/$Q$66</f>
        <v>2.322880371660859E-3</v>
      </c>
      <c r="L156" s="121">
        <f t="shared" ref="L156:L195" si="53">U26/$U$66</f>
        <v>2.322880371660859E-3</v>
      </c>
      <c r="M156" s="121">
        <f t="shared" ref="M156:M195" si="54">Y26/$Y$66</f>
        <v>2.322880371660859E-3</v>
      </c>
      <c r="N156" s="121">
        <f t="shared" ref="N156:N195" si="55">AC26/$AC$66</f>
        <v>2.322880371660859E-3</v>
      </c>
      <c r="O156" s="121">
        <f t="shared" ref="O156:O195" si="56">AG26/$AG$66</f>
        <v>2.3678371376587969E-3</v>
      </c>
      <c r="P156" s="121">
        <f t="shared" ref="P156:P195" si="57">AK26/$AK$66</f>
        <v>2.322880371660859E-3</v>
      </c>
      <c r="Q156" s="121">
        <f t="shared" ref="Q156:Q195" si="58">AO26/$AO$66</f>
        <v>2.322880371660859E-3</v>
      </c>
      <c r="R156" s="121">
        <f t="shared" ref="R156:R195" si="59">AS26/$AS$66</f>
        <v>2.322880371660859E-3</v>
      </c>
      <c r="S156" s="1"/>
    </row>
    <row r="157" spans="1:19">
      <c r="A157" s="105" t="s">
        <v>233</v>
      </c>
      <c r="B157" s="1">
        <v>0.625</v>
      </c>
      <c r="C157" s="1">
        <v>0.78</v>
      </c>
      <c r="D157" s="1">
        <v>0.5</v>
      </c>
      <c r="E157" s="51" t="s">
        <v>4</v>
      </c>
      <c r="F157" s="57" t="s">
        <v>152</v>
      </c>
      <c r="G157" s="120"/>
      <c r="H157" s="121">
        <f t="shared" si="49"/>
        <v>3.4843205574912888E-3</v>
      </c>
      <c r="I157" s="121">
        <f t="shared" si="50"/>
        <v>3.4843205574912888E-3</v>
      </c>
      <c r="J157" s="121">
        <f t="shared" si="51"/>
        <v>3.4843205574912888E-3</v>
      </c>
      <c r="K157" s="121">
        <f t="shared" si="52"/>
        <v>3.4843205574912888E-3</v>
      </c>
      <c r="L157" s="121">
        <f t="shared" si="53"/>
        <v>3.4843205574912888E-3</v>
      </c>
      <c r="M157" s="121">
        <f t="shared" si="54"/>
        <v>3.4843205574912888E-3</v>
      </c>
      <c r="N157" s="121">
        <f t="shared" si="55"/>
        <v>3.4843205574912888E-3</v>
      </c>
      <c r="O157" s="121">
        <f t="shared" si="56"/>
        <v>1.604411885261443E-2</v>
      </c>
      <c r="P157" s="121">
        <f t="shared" si="57"/>
        <v>3.4843205574912888E-3</v>
      </c>
      <c r="Q157" s="121">
        <f t="shared" si="58"/>
        <v>3.4843205574912888E-3</v>
      </c>
      <c r="R157" s="121">
        <f t="shared" si="59"/>
        <v>3.4843205574912888E-3</v>
      </c>
      <c r="S157" s="1"/>
    </row>
    <row r="158" spans="1:19">
      <c r="A158" s="105" t="s">
        <v>234</v>
      </c>
      <c r="B158" s="1">
        <v>0.65</v>
      </c>
      <c r="C158" s="1">
        <v>0.8</v>
      </c>
      <c r="D158" s="1">
        <v>0.5</v>
      </c>
      <c r="E158" s="51" t="s">
        <v>5</v>
      </c>
      <c r="F158" s="57" t="s">
        <v>153</v>
      </c>
      <c r="G158" s="120"/>
      <c r="H158" s="121">
        <f t="shared" si="49"/>
        <v>4.6457607433217181E-3</v>
      </c>
      <c r="I158" s="121">
        <f t="shared" si="50"/>
        <v>4.6457607433217181E-3</v>
      </c>
      <c r="J158" s="121">
        <f t="shared" si="51"/>
        <v>4.6457607433217181E-3</v>
      </c>
      <c r="K158" s="121">
        <f t="shared" si="52"/>
        <v>4.6457607433217181E-3</v>
      </c>
      <c r="L158" s="121">
        <f t="shared" si="53"/>
        <v>4.6457607433217181E-3</v>
      </c>
      <c r="M158" s="121">
        <f t="shared" si="54"/>
        <v>4.6457607433217181E-3</v>
      </c>
      <c r="N158" s="121">
        <f t="shared" si="55"/>
        <v>4.6457607433217181E-3</v>
      </c>
      <c r="O158" s="121">
        <f t="shared" si="56"/>
        <v>2.219824610967262E-2</v>
      </c>
      <c r="P158" s="121">
        <f t="shared" si="57"/>
        <v>4.6457607433217181E-3</v>
      </c>
      <c r="Q158" s="121">
        <f t="shared" si="58"/>
        <v>4.6457607433217181E-3</v>
      </c>
      <c r="R158" s="121">
        <f t="shared" si="59"/>
        <v>4.6457607433217181E-3</v>
      </c>
      <c r="S158" s="1"/>
    </row>
    <row r="159" spans="1:19">
      <c r="A159" s="105" t="s">
        <v>235</v>
      </c>
      <c r="B159" s="1">
        <v>0.65</v>
      </c>
      <c r="C159" s="1">
        <v>0.8</v>
      </c>
      <c r="D159" s="1">
        <v>0.5</v>
      </c>
      <c r="E159" s="51" t="s">
        <v>6</v>
      </c>
      <c r="F159" s="57" t="s">
        <v>154</v>
      </c>
      <c r="G159" s="120"/>
      <c r="H159" s="121">
        <f t="shared" si="49"/>
        <v>5.8072009291521487E-3</v>
      </c>
      <c r="I159" s="121">
        <f t="shared" si="50"/>
        <v>5.8072009291521487E-3</v>
      </c>
      <c r="J159" s="121">
        <f t="shared" si="51"/>
        <v>5.8072009291521487E-3</v>
      </c>
      <c r="K159" s="121">
        <f t="shared" si="52"/>
        <v>5.8072009291521487E-3</v>
      </c>
      <c r="L159" s="121">
        <f t="shared" si="53"/>
        <v>5.8072009291521487E-3</v>
      </c>
      <c r="M159" s="121">
        <f t="shared" si="54"/>
        <v>5.8072009291521487E-3</v>
      </c>
      <c r="N159" s="121">
        <f t="shared" si="55"/>
        <v>5.8072009291521487E-3</v>
      </c>
      <c r="O159" s="121">
        <f t="shared" si="56"/>
        <v>7.305940240378248E-3</v>
      </c>
      <c r="P159" s="121">
        <f t="shared" si="57"/>
        <v>5.8072009291521487E-3</v>
      </c>
      <c r="Q159" s="121">
        <f t="shared" si="58"/>
        <v>5.8072009291521487E-3</v>
      </c>
      <c r="R159" s="121">
        <f t="shared" si="59"/>
        <v>5.8072009291521487E-3</v>
      </c>
      <c r="S159" s="1"/>
    </row>
    <row r="160" spans="1:19">
      <c r="A160" s="105" t="s">
        <v>236</v>
      </c>
      <c r="B160" s="1">
        <v>0.65</v>
      </c>
      <c r="C160" s="1">
        <v>0.80500000000000005</v>
      </c>
      <c r="D160" s="1">
        <v>0.5</v>
      </c>
      <c r="E160" s="51" t="s">
        <v>7</v>
      </c>
      <c r="F160" s="57" t="s">
        <v>155</v>
      </c>
      <c r="G160" s="120"/>
      <c r="H160" s="121">
        <f t="shared" si="49"/>
        <v>6.9686411149825775E-3</v>
      </c>
      <c r="I160" s="121">
        <f t="shared" si="50"/>
        <v>6.9686411149825775E-3</v>
      </c>
      <c r="J160" s="121">
        <f t="shared" si="51"/>
        <v>6.9686411149825775E-3</v>
      </c>
      <c r="K160" s="121">
        <f t="shared" si="52"/>
        <v>6.9686411149825775E-3</v>
      </c>
      <c r="L160" s="121">
        <f t="shared" si="53"/>
        <v>6.9686411149825775E-3</v>
      </c>
      <c r="M160" s="121">
        <f t="shared" si="54"/>
        <v>6.9686411149825775E-3</v>
      </c>
      <c r="N160" s="121">
        <f t="shared" si="55"/>
        <v>6.9686411149825775E-3</v>
      </c>
      <c r="O160" s="121">
        <f t="shared" si="56"/>
        <v>2.0666861025975293E-2</v>
      </c>
      <c r="P160" s="121">
        <f t="shared" si="57"/>
        <v>6.9686411149825775E-3</v>
      </c>
      <c r="Q160" s="121">
        <f t="shared" si="58"/>
        <v>6.9686411149825775E-3</v>
      </c>
      <c r="R160" s="121">
        <f t="shared" si="59"/>
        <v>6.9686411149825775E-3</v>
      </c>
      <c r="S160" s="1"/>
    </row>
    <row r="161" spans="1:19">
      <c r="A161" s="105" t="s">
        <v>237</v>
      </c>
      <c r="B161" s="1">
        <v>0.7</v>
      </c>
      <c r="C161" s="1">
        <v>0.80800000000000005</v>
      </c>
      <c r="D161" s="1">
        <v>0.5</v>
      </c>
      <c r="E161" s="51" t="s">
        <v>8</v>
      </c>
      <c r="F161" s="57" t="s">
        <v>156</v>
      </c>
      <c r="G161" s="120"/>
      <c r="H161" s="121">
        <f t="shared" si="49"/>
        <v>8.1300813008130073E-3</v>
      </c>
      <c r="I161" s="121">
        <f t="shared" si="50"/>
        <v>8.1300813008130073E-3</v>
      </c>
      <c r="J161" s="121">
        <f t="shared" si="51"/>
        <v>8.1300813008130073E-3</v>
      </c>
      <c r="K161" s="121">
        <f t="shared" si="52"/>
        <v>8.1300813008130073E-3</v>
      </c>
      <c r="L161" s="121">
        <f t="shared" si="53"/>
        <v>8.1300813008130073E-3</v>
      </c>
      <c r="M161" s="121">
        <f t="shared" si="54"/>
        <v>8.1300813008130073E-3</v>
      </c>
      <c r="N161" s="121">
        <f t="shared" si="55"/>
        <v>8.1300813008130073E-3</v>
      </c>
      <c r="O161" s="121">
        <f t="shared" si="56"/>
        <v>1.861801264012827E-2</v>
      </c>
      <c r="P161" s="121">
        <f t="shared" si="57"/>
        <v>8.1300813008130073E-3</v>
      </c>
      <c r="Q161" s="121">
        <f t="shared" si="58"/>
        <v>8.1300813008130073E-3</v>
      </c>
      <c r="R161" s="121">
        <f t="shared" si="59"/>
        <v>8.1300813008130073E-3</v>
      </c>
      <c r="S161" s="1"/>
    </row>
    <row r="162" spans="1:19">
      <c r="A162" s="113" t="s">
        <v>238</v>
      </c>
      <c r="B162" s="1">
        <v>0.7</v>
      </c>
      <c r="C162" s="1">
        <v>0.81</v>
      </c>
      <c r="D162" s="1">
        <v>0.5</v>
      </c>
      <c r="E162" s="51" t="s">
        <v>9</v>
      </c>
      <c r="F162" s="57" t="s">
        <v>157</v>
      </c>
      <c r="G162" s="120"/>
      <c r="H162" s="121">
        <f t="shared" si="49"/>
        <v>9.2915214866434361E-3</v>
      </c>
      <c r="I162" s="121">
        <f t="shared" si="50"/>
        <v>9.2915214866434361E-3</v>
      </c>
      <c r="J162" s="121">
        <f t="shared" si="51"/>
        <v>9.2915214866434361E-3</v>
      </c>
      <c r="K162" s="121">
        <f t="shared" si="52"/>
        <v>9.2915214866434361E-3</v>
      </c>
      <c r="L162" s="121">
        <f t="shared" si="53"/>
        <v>9.2915214866434361E-3</v>
      </c>
      <c r="M162" s="121">
        <f t="shared" si="54"/>
        <v>9.2915214866434361E-3</v>
      </c>
      <c r="N162" s="121">
        <f t="shared" si="55"/>
        <v>9.2915214866434361E-3</v>
      </c>
      <c r="O162" s="121">
        <f t="shared" si="56"/>
        <v>1.2515779593001006E-4</v>
      </c>
      <c r="P162" s="121">
        <f t="shared" si="57"/>
        <v>9.2915214866434361E-3</v>
      </c>
      <c r="Q162" s="121">
        <f t="shared" si="58"/>
        <v>9.2915214866434361E-3</v>
      </c>
      <c r="R162" s="121">
        <f t="shared" si="59"/>
        <v>9.2915214866434361E-3</v>
      </c>
      <c r="S162" s="1"/>
    </row>
    <row r="163" spans="1:19">
      <c r="A163" s="105" t="s">
        <v>239</v>
      </c>
      <c r="B163" s="1">
        <v>0.7</v>
      </c>
      <c r="C163" s="1">
        <v>0.81</v>
      </c>
      <c r="D163" s="1">
        <v>0.5</v>
      </c>
      <c r="E163" s="51" t="s">
        <v>10</v>
      </c>
      <c r="F163" s="57" t="s">
        <v>158</v>
      </c>
      <c r="G163" s="120"/>
      <c r="H163" s="121">
        <f t="shared" si="49"/>
        <v>1.0452961672473867E-2</v>
      </c>
      <c r="I163" s="121">
        <f t="shared" si="50"/>
        <v>1.0452961672473867E-2</v>
      </c>
      <c r="J163" s="121">
        <f t="shared" si="51"/>
        <v>1.0452961672473867E-2</v>
      </c>
      <c r="K163" s="121">
        <f t="shared" si="52"/>
        <v>1.0452961672473867E-2</v>
      </c>
      <c r="L163" s="121">
        <f t="shared" si="53"/>
        <v>1.0452961672473867E-2</v>
      </c>
      <c r="M163" s="121">
        <f t="shared" si="54"/>
        <v>1.0452961672473867E-2</v>
      </c>
      <c r="N163" s="121">
        <f t="shared" si="55"/>
        <v>1.0452961672473867E-2</v>
      </c>
      <c r="O163" s="121">
        <f t="shared" si="56"/>
        <v>3.168483293814309E-3</v>
      </c>
      <c r="P163" s="121">
        <f t="shared" si="57"/>
        <v>1.0452961672473867E-2</v>
      </c>
      <c r="Q163" s="121">
        <f t="shared" si="58"/>
        <v>1.0452961672473867E-2</v>
      </c>
      <c r="R163" s="121">
        <f t="shared" si="59"/>
        <v>1.0452961672473867E-2</v>
      </c>
      <c r="S163" s="1"/>
    </row>
    <row r="164" spans="1:19">
      <c r="A164" s="105" t="s">
        <v>240</v>
      </c>
      <c r="B164" s="1">
        <v>0.75</v>
      </c>
      <c r="C164" s="1">
        <v>0.81100000000000005</v>
      </c>
      <c r="D164" s="1">
        <v>0.5</v>
      </c>
      <c r="E164" s="51" t="s">
        <v>11</v>
      </c>
      <c r="F164" s="57" t="s">
        <v>159</v>
      </c>
      <c r="G164" s="120"/>
      <c r="H164" s="121">
        <f t="shared" si="49"/>
        <v>1.1614401858304297E-2</v>
      </c>
      <c r="I164" s="121">
        <f t="shared" si="50"/>
        <v>1.1614401858304297E-2</v>
      </c>
      <c r="J164" s="121">
        <f t="shared" si="51"/>
        <v>1.1614401858304297E-2</v>
      </c>
      <c r="K164" s="121">
        <f t="shared" si="52"/>
        <v>1.1614401858304297E-2</v>
      </c>
      <c r="L164" s="121">
        <f t="shared" si="53"/>
        <v>1.1614401858304297E-2</v>
      </c>
      <c r="M164" s="121">
        <f t="shared" si="54"/>
        <v>1.1614401858304297E-2</v>
      </c>
      <c r="N164" s="121">
        <f t="shared" si="55"/>
        <v>1.1614401858304297E-2</v>
      </c>
      <c r="O164" s="121">
        <f t="shared" si="56"/>
        <v>2.1766542921333337E-10</v>
      </c>
      <c r="P164" s="121">
        <f t="shared" si="57"/>
        <v>1.1614401858304297E-2</v>
      </c>
      <c r="Q164" s="121">
        <f t="shared" si="58"/>
        <v>1.1614401858304297E-2</v>
      </c>
      <c r="R164" s="121">
        <f t="shared" si="59"/>
        <v>1.1614401858304297E-2</v>
      </c>
      <c r="S164" s="1"/>
    </row>
    <row r="165" spans="1:19">
      <c r="A165" s="105" t="s">
        <v>241</v>
      </c>
      <c r="B165" s="1">
        <v>0.75</v>
      </c>
      <c r="C165" s="1">
        <v>0.81200000000000006</v>
      </c>
      <c r="D165" s="1">
        <v>0.5</v>
      </c>
      <c r="E165" s="51" t="s">
        <v>12</v>
      </c>
      <c r="F165" s="57" t="s">
        <v>160</v>
      </c>
      <c r="G165" s="120"/>
      <c r="H165" s="121">
        <f t="shared" si="49"/>
        <v>1.2775842044134724E-2</v>
      </c>
      <c r="I165" s="121">
        <f t="shared" si="50"/>
        <v>1.2775842044134724E-2</v>
      </c>
      <c r="J165" s="121">
        <f t="shared" si="51"/>
        <v>1.2775842044134724E-2</v>
      </c>
      <c r="K165" s="121">
        <f t="shared" si="52"/>
        <v>1.2775842044134724E-2</v>
      </c>
      <c r="L165" s="121">
        <f t="shared" si="53"/>
        <v>1.2775842044134724E-2</v>
      </c>
      <c r="M165" s="121">
        <f t="shared" si="54"/>
        <v>1.2775842044134724E-2</v>
      </c>
      <c r="N165" s="121">
        <f t="shared" si="55"/>
        <v>1.2775842044134724E-2</v>
      </c>
      <c r="O165" s="121">
        <f t="shared" si="56"/>
        <v>8.7175028343137214E-4</v>
      </c>
      <c r="P165" s="121">
        <f t="shared" si="57"/>
        <v>1.2775842044134724E-2</v>
      </c>
      <c r="Q165" s="121">
        <f t="shared" si="58"/>
        <v>1.2775842044134724E-2</v>
      </c>
      <c r="R165" s="121">
        <f t="shared" si="59"/>
        <v>1.2775842044134724E-2</v>
      </c>
      <c r="S165" s="1"/>
    </row>
    <row r="166" spans="1:19">
      <c r="A166" s="105"/>
      <c r="B166" s="1">
        <v>0.75</v>
      </c>
      <c r="C166" s="1">
        <v>0.81299999999999994</v>
      </c>
      <c r="D166" s="1">
        <v>0.5</v>
      </c>
      <c r="E166" s="51" t="s">
        <v>13</v>
      </c>
      <c r="F166" s="57" t="s">
        <v>161</v>
      </c>
      <c r="G166" s="120"/>
      <c r="H166" s="121">
        <f t="shared" si="49"/>
        <v>1.3937282229965155E-2</v>
      </c>
      <c r="I166" s="121">
        <f t="shared" si="50"/>
        <v>1.3937282229965155E-2</v>
      </c>
      <c r="J166" s="121">
        <f t="shared" si="51"/>
        <v>1.3937282229965155E-2</v>
      </c>
      <c r="K166" s="121">
        <f t="shared" si="52"/>
        <v>1.3937282229965155E-2</v>
      </c>
      <c r="L166" s="121">
        <f t="shared" si="53"/>
        <v>1.3937282229965155E-2</v>
      </c>
      <c r="M166" s="121">
        <f t="shared" si="54"/>
        <v>1.3937282229965155E-2</v>
      </c>
      <c r="N166" s="121">
        <f t="shared" si="55"/>
        <v>1.3937282229965155E-2</v>
      </c>
      <c r="O166" s="121">
        <f t="shared" si="56"/>
        <v>2.1440070897364841E-4</v>
      </c>
      <c r="P166" s="121">
        <f t="shared" si="57"/>
        <v>1.3937282229965155E-2</v>
      </c>
      <c r="Q166" s="121">
        <f t="shared" si="58"/>
        <v>1.3937282229965155E-2</v>
      </c>
      <c r="R166" s="121">
        <f t="shared" si="59"/>
        <v>1.3937282229965155E-2</v>
      </c>
      <c r="S166" s="1"/>
    </row>
    <row r="167" spans="1:19">
      <c r="E167" s="51" t="s">
        <v>15</v>
      </c>
      <c r="F167" s="57" t="s">
        <v>163</v>
      </c>
      <c r="G167" s="120"/>
      <c r="H167" s="121">
        <f t="shared" si="49"/>
        <v>1.5098722415795584E-2</v>
      </c>
      <c r="I167" s="121">
        <f t="shared" si="50"/>
        <v>1.5098722415795584E-2</v>
      </c>
      <c r="J167" s="121">
        <f t="shared" si="51"/>
        <v>1.5098722415795584E-2</v>
      </c>
      <c r="K167" s="121">
        <f t="shared" si="52"/>
        <v>1.5098722415795584E-2</v>
      </c>
      <c r="L167" s="121">
        <f t="shared" si="53"/>
        <v>1.5098722415795584E-2</v>
      </c>
      <c r="M167" s="121">
        <f t="shared" si="54"/>
        <v>1.5098722415795584E-2</v>
      </c>
      <c r="N167" s="121">
        <f t="shared" si="55"/>
        <v>1.5098722415795584E-2</v>
      </c>
      <c r="O167" s="121">
        <f t="shared" si="56"/>
        <v>2.5556098326902525E-2</v>
      </c>
      <c r="P167" s="121">
        <f t="shared" si="57"/>
        <v>1.5098722415795584E-2</v>
      </c>
      <c r="Q167" s="121">
        <f t="shared" si="58"/>
        <v>1.5098722415795584E-2</v>
      </c>
      <c r="R167" s="121">
        <f t="shared" si="59"/>
        <v>1.5098722415795584E-2</v>
      </c>
      <c r="S167" s="1"/>
    </row>
    <row r="168" spans="1:19">
      <c r="E168" s="51" t="s">
        <v>17</v>
      </c>
      <c r="F168" s="57" t="s">
        <v>164</v>
      </c>
      <c r="G168" s="120"/>
      <c r="H168" s="121">
        <f t="shared" si="49"/>
        <v>1.6260162601626015E-2</v>
      </c>
      <c r="I168" s="121">
        <f t="shared" si="50"/>
        <v>1.6260162601626015E-2</v>
      </c>
      <c r="J168" s="121">
        <f t="shared" si="51"/>
        <v>1.6260162601626015E-2</v>
      </c>
      <c r="K168" s="121">
        <f t="shared" si="52"/>
        <v>1.6260162601626015E-2</v>
      </c>
      <c r="L168" s="121">
        <f t="shared" si="53"/>
        <v>1.6260162601626015E-2</v>
      </c>
      <c r="M168" s="121">
        <f t="shared" si="54"/>
        <v>1.6260162601626015E-2</v>
      </c>
      <c r="N168" s="121">
        <f t="shared" si="55"/>
        <v>1.6260162601626015E-2</v>
      </c>
      <c r="O168" s="121">
        <f t="shared" si="56"/>
        <v>5.6734497171771342E-3</v>
      </c>
      <c r="P168" s="121">
        <f t="shared" si="57"/>
        <v>1.6260162601626015E-2</v>
      </c>
      <c r="Q168" s="121">
        <f t="shared" si="58"/>
        <v>1.6260162601626015E-2</v>
      </c>
      <c r="R168" s="121">
        <f t="shared" si="59"/>
        <v>1.6260162601626015E-2</v>
      </c>
      <c r="S168" s="1"/>
    </row>
    <row r="169" spans="1:19">
      <c r="E169" s="51" t="s">
        <v>19</v>
      </c>
      <c r="F169" s="57" t="s">
        <v>165</v>
      </c>
      <c r="G169" s="120"/>
      <c r="H169" s="121">
        <f t="shared" si="49"/>
        <v>1.7421602787456445E-2</v>
      </c>
      <c r="I169" s="121">
        <f t="shared" si="50"/>
        <v>1.7421602787456445E-2</v>
      </c>
      <c r="J169" s="121">
        <f t="shared" si="51"/>
        <v>1.7421602787456445E-2</v>
      </c>
      <c r="K169" s="121">
        <f t="shared" si="52"/>
        <v>1.7421602787456445E-2</v>
      </c>
      <c r="L169" s="121">
        <f t="shared" si="53"/>
        <v>1.7421602787456445E-2</v>
      </c>
      <c r="M169" s="121">
        <f t="shared" si="54"/>
        <v>1.7421602787456445E-2</v>
      </c>
      <c r="N169" s="121">
        <f t="shared" si="55"/>
        <v>1.7421602787456445E-2</v>
      </c>
      <c r="O169" s="121">
        <f t="shared" si="56"/>
        <v>3.2649814382000004E-10</v>
      </c>
      <c r="P169" s="121">
        <f t="shared" si="57"/>
        <v>1.7421602787456445E-2</v>
      </c>
      <c r="Q169" s="121">
        <f t="shared" si="58"/>
        <v>1.7421602787456445E-2</v>
      </c>
      <c r="R169" s="121">
        <f t="shared" si="59"/>
        <v>1.7421602787456445E-2</v>
      </c>
      <c r="S169" s="1"/>
    </row>
    <row r="170" spans="1:19">
      <c r="E170" s="51" t="s">
        <v>20</v>
      </c>
      <c r="F170" s="57" t="s">
        <v>166</v>
      </c>
      <c r="G170" s="120"/>
      <c r="H170" s="121">
        <f t="shared" si="49"/>
        <v>1.8583042973286872E-2</v>
      </c>
      <c r="I170" s="121">
        <f t="shared" si="50"/>
        <v>1.8583042973286872E-2</v>
      </c>
      <c r="J170" s="121">
        <f t="shared" si="51"/>
        <v>1.8583042973286872E-2</v>
      </c>
      <c r="K170" s="121">
        <f t="shared" si="52"/>
        <v>1.8583042973286872E-2</v>
      </c>
      <c r="L170" s="121">
        <f t="shared" si="53"/>
        <v>1.8583042973286872E-2</v>
      </c>
      <c r="M170" s="121">
        <f t="shared" si="54"/>
        <v>1.8583042973286872E-2</v>
      </c>
      <c r="N170" s="121">
        <f t="shared" si="55"/>
        <v>1.8583042973286872E-2</v>
      </c>
      <c r="O170" s="121">
        <f t="shared" si="56"/>
        <v>3.4826468674133335E-10</v>
      </c>
      <c r="P170" s="121">
        <f t="shared" si="57"/>
        <v>1.8583042973286872E-2</v>
      </c>
      <c r="Q170" s="121">
        <f t="shared" si="58"/>
        <v>1.8583042973286872E-2</v>
      </c>
      <c r="R170" s="121">
        <f t="shared" si="59"/>
        <v>1.8583042973286872E-2</v>
      </c>
      <c r="S170" s="1"/>
    </row>
    <row r="171" spans="1:19">
      <c r="E171" s="51" t="s">
        <v>21</v>
      </c>
      <c r="F171" s="57" t="s">
        <v>167</v>
      </c>
      <c r="G171" s="120"/>
      <c r="H171" s="121">
        <f t="shared" si="49"/>
        <v>1.9744483159117303E-2</v>
      </c>
      <c r="I171" s="121">
        <f t="shared" si="50"/>
        <v>1.9744483159117303E-2</v>
      </c>
      <c r="J171" s="121">
        <f t="shared" si="51"/>
        <v>1.9744483159117303E-2</v>
      </c>
      <c r="K171" s="121">
        <f t="shared" si="52"/>
        <v>1.9744483159117303E-2</v>
      </c>
      <c r="L171" s="121">
        <f t="shared" si="53"/>
        <v>1.9744483159117303E-2</v>
      </c>
      <c r="M171" s="121">
        <f t="shared" si="54"/>
        <v>1.9744483159117303E-2</v>
      </c>
      <c r="N171" s="121">
        <f t="shared" si="55"/>
        <v>1.9744483159117303E-2</v>
      </c>
      <c r="O171" s="121">
        <f t="shared" si="56"/>
        <v>3.7003122966266671E-10</v>
      </c>
      <c r="P171" s="121">
        <f t="shared" si="57"/>
        <v>1.9744483159117303E-2</v>
      </c>
      <c r="Q171" s="121">
        <f t="shared" si="58"/>
        <v>1.9744483159117303E-2</v>
      </c>
      <c r="R171" s="121">
        <f t="shared" si="59"/>
        <v>1.9744483159117303E-2</v>
      </c>
      <c r="S171" s="1"/>
    </row>
    <row r="172" spans="1:19">
      <c r="E172" s="51" t="s">
        <v>23</v>
      </c>
      <c r="F172" s="57" t="s">
        <v>169</v>
      </c>
      <c r="G172" s="120"/>
      <c r="H172" s="121">
        <f t="shared" si="49"/>
        <v>2.0905923344947733E-2</v>
      </c>
      <c r="I172" s="121">
        <f t="shared" si="50"/>
        <v>2.0905923344947733E-2</v>
      </c>
      <c r="J172" s="121">
        <f t="shared" si="51"/>
        <v>2.0905923344947733E-2</v>
      </c>
      <c r="K172" s="121">
        <f t="shared" si="52"/>
        <v>2.0905923344947733E-2</v>
      </c>
      <c r="L172" s="121">
        <f t="shared" si="53"/>
        <v>2.0905923344947733E-2</v>
      </c>
      <c r="M172" s="121">
        <f t="shared" si="54"/>
        <v>2.0905923344947733E-2</v>
      </c>
      <c r="N172" s="121">
        <f t="shared" si="55"/>
        <v>2.0905923344947733E-2</v>
      </c>
      <c r="O172" s="121">
        <f t="shared" si="56"/>
        <v>3.113341228361155E-2</v>
      </c>
      <c r="P172" s="121">
        <f t="shared" si="57"/>
        <v>2.0905923344947733E-2</v>
      </c>
      <c r="Q172" s="121">
        <f t="shared" si="58"/>
        <v>2.0905923344947733E-2</v>
      </c>
      <c r="R172" s="121">
        <f t="shared" si="59"/>
        <v>2.0905923344947733E-2</v>
      </c>
      <c r="S172" s="1"/>
    </row>
    <row r="173" spans="1:19">
      <c r="E173" s="51" t="s">
        <v>25</v>
      </c>
      <c r="F173" s="57" t="s">
        <v>170</v>
      </c>
      <c r="G173" s="120"/>
      <c r="H173" s="121">
        <f t="shared" si="49"/>
        <v>2.2067363530778164E-2</v>
      </c>
      <c r="I173" s="121">
        <f t="shared" si="50"/>
        <v>2.2067363530778164E-2</v>
      </c>
      <c r="J173" s="121">
        <f t="shared" si="51"/>
        <v>2.2067363530778164E-2</v>
      </c>
      <c r="K173" s="121">
        <f t="shared" si="52"/>
        <v>2.2067363530778164E-2</v>
      </c>
      <c r="L173" s="121">
        <f t="shared" si="53"/>
        <v>2.2067363530778164E-2</v>
      </c>
      <c r="M173" s="121">
        <f t="shared" si="54"/>
        <v>2.2067363530778164E-2</v>
      </c>
      <c r="N173" s="121">
        <f t="shared" si="55"/>
        <v>2.2067363530778164E-2</v>
      </c>
      <c r="O173" s="121">
        <f t="shared" si="56"/>
        <v>7.215613114065156E-4</v>
      </c>
      <c r="P173" s="121">
        <f t="shared" si="57"/>
        <v>2.2067363530778164E-2</v>
      </c>
      <c r="Q173" s="121">
        <f t="shared" si="58"/>
        <v>2.2067363530778164E-2</v>
      </c>
      <c r="R173" s="121">
        <f t="shared" si="59"/>
        <v>2.2067363530778164E-2</v>
      </c>
      <c r="S173" s="1"/>
    </row>
    <row r="174" spans="1:19">
      <c r="E174" s="51" t="s">
        <v>26</v>
      </c>
      <c r="F174" s="57" t="s">
        <v>171</v>
      </c>
      <c r="G174" s="120"/>
      <c r="H174" s="121">
        <f t="shared" si="49"/>
        <v>2.3228803716608595E-2</v>
      </c>
      <c r="I174" s="121">
        <f t="shared" si="50"/>
        <v>2.3228803716608595E-2</v>
      </c>
      <c r="J174" s="121">
        <f t="shared" si="51"/>
        <v>2.3228803716608595E-2</v>
      </c>
      <c r="K174" s="121">
        <f t="shared" si="52"/>
        <v>2.3228803716608595E-2</v>
      </c>
      <c r="L174" s="121">
        <f t="shared" si="53"/>
        <v>2.3228803716608595E-2</v>
      </c>
      <c r="M174" s="121">
        <f t="shared" si="54"/>
        <v>2.3228803716608595E-2</v>
      </c>
      <c r="N174" s="121">
        <f t="shared" si="55"/>
        <v>2.3228803716608595E-2</v>
      </c>
      <c r="O174" s="121">
        <f t="shared" si="56"/>
        <v>4.625028030398836E-3</v>
      </c>
      <c r="P174" s="121">
        <f t="shared" si="57"/>
        <v>2.3228803716608595E-2</v>
      </c>
      <c r="Q174" s="121">
        <f t="shared" si="58"/>
        <v>2.3228803716608595E-2</v>
      </c>
      <c r="R174" s="121">
        <f t="shared" si="59"/>
        <v>2.3228803716608595E-2</v>
      </c>
      <c r="S174" s="1"/>
    </row>
    <row r="175" spans="1:19">
      <c r="E175" s="51" t="s">
        <v>27</v>
      </c>
      <c r="F175" s="57" t="s">
        <v>172</v>
      </c>
      <c r="G175" s="120"/>
      <c r="H175" s="121">
        <f t="shared" si="49"/>
        <v>2.4390243902439018E-2</v>
      </c>
      <c r="I175" s="121">
        <f t="shared" si="50"/>
        <v>2.4390243902439018E-2</v>
      </c>
      <c r="J175" s="121">
        <f t="shared" si="51"/>
        <v>2.4390243902439018E-2</v>
      </c>
      <c r="K175" s="121">
        <f t="shared" si="52"/>
        <v>2.4390243902439018E-2</v>
      </c>
      <c r="L175" s="121">
        <f t="shared" si="53"/>
        <v>2.4390243902439018E-2</v>
      </c>
      <c r="M175" s="121">
        <f t="shared" si="54"/>
        <v>2.4390243902439018E-2</v>
      </c>
      <c r="N175" s="121">
        <f t="shared" si="55"/>
        <v>2.4390243902439018E-2</v>
      </c>
      <c r="O175" s="121">
        <f t="shared" si="56"/>
        <v>1.6687728616095692E-4</v>
      </c>
      <c r="P175" s="121">
        <f t="shared" si="57"/>
        <v>2.4390243902439018E-2</v>
      </c>
      <c r="Q175" s="121">
        <f t="shared" si="58"/>
        <v>2.4390243902439018E-2</v>
      </c>
      <c r="R175" s="121">
        <f t="shared" si="59"/>
        <v>2.4390243902439018E-2</v>
      </c>
      <c r="S175" s="1"/>
    </row>
    <row r="176" spans="1:19">
      <c r="E176" s="51" t="s">
        <v>28</v>
      </c>
      <c r="F176" s="57" t="s">
        <v>173</v>
      </c>
      <c r="G176" s="120"/>
      <c r="H176" s="121">
        <f t="shared" si="49"/>
        <v>2.5551684088269449E-2</v>
      </c>
      <c r="I176" s="121">
        <f t="shared" si="50"/>
        <v>2.5551684088269449E-2</v>
      </c>
      <c r="J176" s="121">
        <f t="shared" si="51"/>
        <v>2.5551684088269449E-2</v>
      </c>
      <c r="K176" s="121">
        <f t="shared" si="52"/>
        <v>2.5551684088269449E-2</v>
      </c>
      <c r="L176" s="121">
        <f t="shared" si="53"/>
        <v>2.5551684088269449E-2</v>
      </c>
      <c r="M176" s="121">
        <f t="shared" si="54"/>
        <v>2.5551684088269449E-2</v>
      </c>
      <c r="N176" s="121">
        <f t="shared" si="55"/>
        <v>2.5551684088269449E-2</v>
      </c>
      <c r="O176" s="121">
        <f t="shared" si="56"/>
        <v>1.9013080030424109E-3</v>
      </c>
      <c r="P176" s="121">
        <f t="shared" si="57"/>
        <v>2.5551684088269449E-2</v>
      </c>
      <c r="Q176" s="121">
        <f t="shared" si="58"/>
        <v>2.5551684088269449E-2</v>
      </c>
      <c r="R176" s="121">
        <f t="shared" si="59"/>
        <v>2.5551684088269449E-2</v>
      </c>
      <c r="S176" s="1"/>
    </row>
    <row r="177" spans="5:19">
      <c r="E177" s="51" t="s">
        <v>29</v>
      </c>
      <c r="F177" s="57" t="s">
        <v>174</v>
      </c>
      <c r="G177" s="120"/>
      <c r="H177" s="121">
        <f t="shared" si="49"/>
        <v>2.6713124274099879E-2</v>
      </c>
      <c r="I177" s="121">
        <f t="shared" si="50"/>
        <v>2.6713124274099879E-2</v>
      </c>
      <c r="J177" s="121">
        <f t="shared" si="51"/>
        <v>2.6713124274099879E-2</v>
      </c>
      <c r="K177" s="121">
        <f t="shared" si="52"/>
        <v>2.6713124274099879E-2</v>
      </c>
      <c r="L177" s="121">
        <f t="shared" si="53"/>
        <v>2.6713124274099879E-2</v>
      </c>
      <c r="M177" s="121">
        <f t="shared" si="54"/>
        <v>2.6713124274099879E-2</v>
      </c>
      <c r="N177" s="121">
        <f t="shared" si="55"/>
        <v>2.6713124274099879E-2</v>
      </c>
      <c r="O177" s="121">
        <f t="shared" si="56"/>
        <v>5.0063048719066672E-10</v>
      </c>
      <c r="P177" s="121">
        <f t="shared" si="57"/>
        <v>2.6713124274099879E-2</v>
      </c>
      <c r="Q177" s="121">
        <f t="shared" si="58"/>
        <v>2.6713124274099879E-2</v>
      </c>
      <c r="R177" s="121">
        <f t="shared" si="59"/>
        <v>2.6713124274099879E-2</v>
      </c>
      <c r="S177" s="1"/>
    </row>
    <row r="178" spans="5:19">
      <c r="E178" s="51" t="s">
        <v>30</v>
      </c>
      <c r="F178" s="57" t="s">
        <v>175</v>
      </c>
      <c r="G178" s="120"/>
      <c r="H178" s="121">
        <f t="shared" si="49"/>
        <v>2.787456445993031E-2</v>
      </c>
      <c r="I178" s="121">
        <f t="shared" si="50"/>
        <v>2.787456445993031E-2</v>
      </c>
      <c r="J178" s="121">
        <f t="shared" si="51"/>
        <v>2.787456445993031E-2</v>
      </c>
      <c r="K178" s="121">
        <f t="shared" si="52"/>
        <v>2.787456445993031E-2</v>
      </c>
      <c r="L178" s="121">
        <f t="shared" si="53"/>
        <v>2.787456445993031E-2</v>
      </c>
      <c r="M178" s="121">
        <f t="shared" si="54"/>
        <v>2.787456445993031E-2</v>
      </c>
      <c r="N178" s="121">
        <f t="shared" si="55"/>
        <v>2.787456445993031E-2</v>
      </c>
      <c r="O178" s="121">
        <f t="shared" si="56"/>
        <v>2.8564965051066744E-3</v>
      </c>
      <c r="P178" s="121">
        <f t="shared" si="57"/>
        <v>2.787456445993031E-2</v>
      </c>
      <c r="Q178" s="121">
        <f t="shared" si="58"/>
        <v>2.787456445993031E-2</v>
      </c>
      <c r="R178" s="121">
        <f t="shared" si="59"/>
        <v>2.787456445993031E-2</v>
      </c>
      <c r="S178" s="1"/>
    </row>
    <row r="179" spans="5:19">
      <c r="E179" s="51" t="s">
        <v>31</v>
      </c>
      <c r="F179" s="57" t="s">
        <v>176</v>
      </c>
      <c r="G179" s="120"/>
      <c r="H179" s="121">
        <f t="shared" si="49"/>
        <v>2.9036004645760741E-2</v>
      </c>
      <c r="I179" s="121">
        <f t="shared" si="50"/>
        <v>2.9036004645760741E-2</v>
      </c>
      <c r="J179" s="121">
        <f t="shared" si="51"/>
        <v>2.9036004645760741E-2</v>
      </c>
      <c r="K179" s="121">
        <f t="shared" si="52"/>
        <v>2.9036004645760741E-2</v>
      </c>
      <c r="L179" s="121">
        <f t="shared" si="53"/>
        <v>2.9036004645760741E-2</v>
      </c>
      <c r="M179" s="121">
        <f t="shared" si="54"/>
        <v>2.9036004645760741E-2</v>
      </c>
      <c r="N179" s="121">
        <f t="shared" si="55"/>
        <v>2.9036004645760741E-2</v>
      </c>
      <c r="O179" s="121">
        <f t="shared" si="56"/>
        <v>5.4416357303333344E-10</v>
      </c>
      <c r="P179" s="121">
        <f t="shared" si="57"/>
        <v>2.9036004645760741E-2</v>
      </c>
      <c r="Q179" s="121">
        <f t="shared" si="58"/>
        <v>2.9036004645760741E-2</v>
      </c>
      <c r="R179" s="121">
        <f t="shared" si="59"/>
        <v>2.9036004645760741E-2</v>
      </c>
      <c r="S179" s="1"/>
    </row>
    <row r="180" spans="5:19">
      <c r="E180" s="51" t="s">
        <v>33</v>
      </c>
      <c r="F180" s="57" t="s">
        <v>177</v>
      </c>
      <c r="G180" s="120"/>
      <c r="H180" s="121">
        <f t="shared" si="49"/>
        <v>3.0197444831591168E-2</v>
      </c>
      <c r="I180" s="121">
        <f t="shared" si="50"/>
        <v>3.0197444831591168E-2</v>
      </c>
      <c r="J180" s="121">
        <f t="shared" si="51"/>
        <v>3.0197444831591168E-2</v>
      </c>
      <c r="K180" s="121">
        <f t="shared" si="52"/>
        <v>3.0197444831591168E-2</v>
      </c>
      <c r="L180" s="121">
        <f t="shared" si="53"/>
        <v>3.0197444831591168E-2</v>
      </c>
      <c r="M180" s="121">
        <f t="shared" si="54"/>
        <v>3.0197444831591168E-2</v>
      </c>
      <c r="N180" s="121">
        <f t="shared" si="55"/>
        <v>3.0197444831591168E-2</v>
      </c>
      <c r="O180" s="121">
        <f t="shared" si="56"/>
        <v>3.1380099944185676E-2</v>
      </c>
      <c r="P180" s="121">
        <f t="shared" si="57"/>
        <v>3.0197444831591168E-2</v>
      </c>
      <c r="Q180" s="121">
        <f t="shared" si="58"/>
        <v>3.0197444831591168E-2</v>
      </c>
      <c r="R180" s="121">
        <f t="shared" si="59"/>
        <v>3.0197444831591168E-2</v>
      </c>
      <c r="S180" s="1"/>
    </row>
    <row r="181" spans="5:19">
      <c r="E181" s="51" t="s">
        <v>34</v>
      </c>
      <c r="F181" s="57" t="s">
        <v>178</v>
      </c>
      <c r="G181" s="120"/>
      <c r="H181" s="121">
        <f t="shared" si="49"/>
        <v>3.1358885017421595E-2</v>
      </c>
      <c r="I181" s="121">
        <f t="shared" si="50"/>
        <v>3.1358885017421595E-2</v>
      </c>
      <c r="J181" s="121">
        <f t="shared" si="51"/>
        <v>3.1358885017421595E-2</v>
      </c>
      <c r="K181" s="121">
        <f t="shared" si="52"/>
        <v>3.1358885017421595E-2</v>
      </c>
      <c r="L181" s="121">
        <f t="shared" si="53"/>
        <v>3.1358885017421595E-2</v>
      </c>
      <c r="M181" s="121">
        <f t="shared" si="54"/>
        <v>3.1358885017421595E-2</v>
      </c>
      <c r="N181" s="121">
        <f t="shared" si="55"/>
        <v>3.1358885017421595E-2</v>
      </c>
      <c r="O181" s="121">
        <f t="shared" si="56"/>
        <v>5.4416944999992215E-5</v>
      </c>
      <c r="P181" s="121">
        <f t="shared" si="57"/>
        <v>3.1358885017421595E-2</v>
      </c>
      <c r="Q181" s="121">
        <f t="shared" si="58"/>
        <v>3.1358885017421595E-2</v>
      </c>
      <c r="R181" s="121">
        <f t="shared" si="59"/>
        <v>3.1358885017421595E-2</v>
      </c>
      <c r="S181" s="1"/>
    </row>
    <row r="182" spans="5:19">
      <c r="E182" s="51" t="s">
        <v>35</v>
      </c>
      <c r="F182" s="57" t="s">
        <v>179</v>
      </c>
      <c r="G182" s="120"/>
      <c r="H182" s="121">
        <f t="shared" si="49"/>
        <v>3.2520325203252029E-2</v>
      </c>
      <c r="I182" s="121">
        <f t="shared" si="50"/>
        <v>3.2520325203252029E-2</v>
      </c>
      <c r="J182" s="121">
        <f t="shared" si="51"/>
        <v>3.2520325203252029E-2</v>
      </c>
      <c r="K182" s="121">
        <f t="shared" si="52"/>
        <v>3.2520325203252029E-2</v>
      </c>
      <c r="L182" s="121">
        <f t="shared" si="53"/>
        <v>3.2520325203252029E-2</v>
      </c>
      <c r="M182" s="121">
        <f t="shared" si="54"/>
        <v>3.2520325203252029E-2</v>
      </c>
      <c r="N182" s="121">
        <f t="shared" si="55"/>
        <v>3.2520325203252029E-2</v>
      </c>
      <c r="O182" s="121">
        <f t="shared" si="56"/>
        <v>5.9005476197213124E-3</v>
      </c>
      <c r="P182" s="121">
        <f t="shared" si="57"/>
        <v>3.2520325203252029E-2</v>
      </c>
      <c r="Q182" s="121">
        <f t="shared" si="58"/>
        <v>3.2520325203252029E-2</v>
      </c>
      <c r="R182" s="121">
        <f t="shared" si="59"/>
        <v>3.2520325203252029E-2</v>
      </c>
      <c r="S182" s="1"/>
    </row>
    <row r="183" spans="5:19">
      <c r="E183" s="51" t="s">
        <v>36</v>
      </c>
      <c r="F183" s="57" t="s">
        <v>180</v>
      </c>
      <c r="G183" s="120"/>
      <c r="H183" s="121">
        <f t="shared" si="49"/>
        <v>3.3681765389082456E-2</v>
      </c>
      <c r="I183" s="121">
        <f t="shared" si="50"/>
        <v>3.3681765389082456E-2</v>
      </c>
      <c r="J183" s="121">
        <f t="shared" si="51"/>
        <v>3.3681765389082456E-2</v>
      </c>
      <c r="K183" s="121">
        <f t="shared" si="52"/>
        <v>3.3681765389082456E-2</v>
      </c>
      <c r="L183" s="121">
        <f t="shared" si="53"/>
        <v>3.3681765389082456E-2</v>
      </c>
      <c r="M183" s="121">
        <f t="shared" si="54"/>
        <v>3.3681765389082456E-2</v>
      </c>
      <c r="N183" s="121">
        <f t="shared" si="55"/>
        <v>3.3681765389082456E-2</v>
      </c>
      <c r="O183" s="121">
        <f t="shared" si="56"/>
        <v>1.2989547895250768E-2</v>
      </c>
      <c r="P183" s="121">
        <f t="shared" si="57"/>
        <v>3.3681765389082456E-2</v>
      </c>
      <c r="Q183" s="121">
        <f t="shared" si="58"/>
        <v>3.3681765389082456E-2</v>
      </c>
      <c r="R183" s="121">
        <f t="shared" si="59"/>
        <v>3.3681765389082456E-2</v>
      </c>
      <c r="S183" s="1"/>
    </row>
    <row r="184" spans="5:19">
      <c r="E184" s="51" t="s">
        <v>37</v>
      </c>
      <c r="F184" s="57" t="s">
        <v>181</v>
      </c>
      <c r="G184" s="120"/>
      <c r="H184" s="121">
        <f t="shared" si="49"/>
        <v>3.484320557491289E-2</v>
      </c>
      <c r="I184" s="121">
        <f t="shared" si="50"/>
        <v>3.484320557491289E-2</v>
      </c>
      <c r="J184" s="121">
        <f t="shared" si="51"/>
        <v>3.484320557491289E-2</v>
      </c>
      <c r="K184" s="121">
        <f t="shared" si="52"/>
        <v>3.484320557491289E-2</v>
      </c>
      <c r="L184" s="121">
        <f t="shared" si="53"/>
        <v>3.484320557491289E-2</v>
      </c>
      <c r="M184" s="121">
        <f t="shared" si="54"/>
        <v>3.484320557491289E-2</v>
      </c>
      <c r="N184" s="121">
        <f t="shared" si="55"/>
        <v>3.484320557491289E-2</v>
      </c>
      <c r="O184" s="121">
        <f t="shared" si="56"/>
        <v>7.6937480242569092E-3</v>
      </c>
      <c r="P184" s="121">
        <f t="shared" si="57"/>
        <v>3.484320557491289E-2</v>
      </c>
      <c r="Q184" s="121">
        <f t="shared" si="58"/>
        <v>3.484320557491289E-2</v>
      </c>
      <c r="R184" s="121">
        <f t="shared" si="59"/>
        <v>3.484320557491289E-2</v>
      </c>
      <c r="S184" s="1"/>
    </row>
    <row r="185" spans="5:19">
      <c r="E185" s="51" t="s">
        <v>38</v>
      </c>
      <c r="F185" s="57" t="s">
        <v>182</v>
      </c>
      <c r="G185" s="120"/>
      <c r="H185" s="121">
        <f t="shared" si="49"/>
        <v>3.6004645760743317E-2</v>
      </c>
      <c r="I185" s="121">
        <f t="shared" si="50"/>
        <v>3.6004645760743317E-2</v>
      </c>
      <c r="J185" s="121">
        <f t="shared" si="51"/>
        <v>3.6004645760743317E-2</v>
      </c>
      <c r="K185" s="121">
        <f t="shared" si="52"/>
        <v>3.6004645760743317E-2</v>
      </c>
      <c r="L185" s="121">
        <f t="shared" si="53"/>
        <v>3.6004645760743317E-2</v>
      </c>
      <c r="M185" s="121">
        <f t="shared" si="54"/>
        <v>3.6004645760743317E-2</v>
      </c>
      <c r="N185" s="121">
        <f t="shared" si="55"/>
        <v>3.6004645760743317E-2</v>
      </c>
      <c r="O185" s="121">
        <f t="shared" si="56"/>
        <v>0.12491782772457947</v>
      </c>
      <c r="P185" s="121">
        <f t="shared" si="57"/>
        <v>3.6004645760743317E-2</v>
      </c>
      <c r="Q185" s="121">
        <f t="shared" si="58"/>
        <v>3.6004645760743317E-2</v>
      </c>
      <c r="R185" s="121">
        <f t="shared" si="59"/>
        <v>3.6004645760743317E-2</v>
      </c>
      <c r="S185" s="1"/>
    </row>
    <row r="186" spans="5:19">
      <c r="E186" s="51" t="s">
        <v>39</v>
      </c>
      <c r="F186" s="57" t="s">
        <v>183</v>
      </c>
      <c r="G186" s="120"/>
      <c r="H186" s="121">
        <f t="shared" si="49"/>
        <v>3.7166085946573744E-2</v>
      </c>
      <c r="I186" s="121">
        <f t="shared" si="50"/>
        <v>3.7166085946573744E-2</v>
      </c>
      <c r="J186" s="121">
        <f t="shared" si="51"/>
        <v>3.7166085946573744E-2</v>
      </c>
      <c r="K186" s="121">
        <f t="shared" si="52"/>
        <v>3.7166085946573744E-2</v>
      </c>
      <c r="L186" s="121">
        <f t="shared" si="53"/>
        <v>3.7166085946573744E-2</v>
      </c>
      <c r="M186" s="121">
        <f t="shared" si="54"/>
        <v>3.7166085946573744E-2</v>
      </c>
      <c r="N186" s="121">
        <f t="shared" si="55"/>
        <v>3.7166085946573744E-2</v>
      </c>
      <c r="O186" s="121">
        <f t="shared" si="56"/>
        <v>4.8869517312076262E-2</v>
      </c>
      <c r="P186" s="121">
        <f t="shared" si="57"/>
        <v>3.7166085946573744E-2</v>
      </c>
      <c r="Q186" s="121">
        <f t="shared" si="58"/>
        <v>3.7166085946573744E-2</v>
      </c>
      <c r="R186" s="121">
        <f t="shared" si="59"/>
        <v>3.7166085946573744E-2</v>
      </c>
      <c r="S186" s="1"/>
    </row>
    <row r="187" spans="5:19">
      <c r="E187" s="51" t="s">
        <v>40</v>
      </c>
      <c r="F187" s="57" t="s">
        <v>184</v>
      </c>
      <c r="G187" s="120"/>
      <c r="H187" s="121">
        <f t="shared" si="49"/>
        <v>3.8327526132404179E-2</v>
      </c>
      <c r="I187" s="121">
        <f t="shared" si="50"/>
        <v>3.8327526132404179E-2</v>
      </c>
      <c r="J187" s="121">
        <f t="shared" si="51"/>
        <v>3.8327526132404179E-2</v>
      </c>
      <c r="K187" s="121">
        <f t="shared" si="52"/>
        <v>3.8327526132404179E-2</v>
      </c>
      <c r="L187" s="121">
        <f t="shared" si="53"/>
        <v>3.8327526132404179E-2</v>
      </c>
      <c r="M187" s="121">
        <f t="shared" si="54"/>
        <v>3.8327526132404179E-2</v>
      </c>
      <c r="N187" s="121">
        <f t="shared" si="55"/>
        <v>3.8327526132404179E-2</v>
      </c>
      <c r="O187" s="121">
        <f t="shared" si="56"/>
        <v>2.97657546278825E-3</v>
      </c>
      <c r="P187" s="121">
        <f t="shared" si="57"/>
        <v>3.8327526132404179E-2</v>
      </c>
      <c r="Q187" s="121">
        <f t="shared" si="58"/>
        <v>3.8327526132404179E-2</v>
      </c>
      <c r="R187" s="121">
        <f t="shared" si="59"/>
        <v>3.8327526132404179E-2</v>
      </c>
      <c r="S187" s="1"/>
    </row>
    <row r="188" spans="5:19">
      <c r="E188" s="51" t="s">
        <v>41</v>
      </c>
      <c r="F188" s="57" t="s">
        <v>185</v>
      </c>
      <c r="G188" s="120"/>
      <c r="H188" s="121">
        <f t="shared" si="49"/>
        <v>3.9488966318234606E-2</v>
      </c>
      <c r="I188" s="121">
        <f t="shared" si="50"/>
        <v>3.9488966318234606E-2</v>
      </c>
      <c r="J188" s="121">
        <f t="shared" si="51"/>
        <v>3.9488966318234606E-2</v>
      </c>
      <c r="K188" s="121">
        <f t="shared" si="52"/>
        <v>3.9488966318234606E-2</v>
      </c>
      <c r="L188" s="121">
        <f t="shared" si="53"/>
        <v>3.9488966318234606E-2</v>
      </c>
      <c r="M188" s="121">
        <f t="shared" si="54"/>
        <v>3.9488966318234606E-2</v>
      </c>
      <c r="N188" s="121">
        <f t="shared" si="55"/>
        <v>3.9488966318234606E-2</v>
      </c>
      <c r="O188" s="121">
        <f t="shared" si="56"/>
        <v>7.4006245932533342E-10</v>
      </c>
      <c r="P188" s="121">
        <f t="shared" si="57"/>
        <v>3.9488966318234606E-2</v>
      </c>
      <c r="Q188" s="121">
        <f t="shared" si="58"/>
        <v>3.9488966318234606E-2</v>
      </c>
      <c r="R188" s="121">
        <f t="shared" si="59"/>
        <v>3.9488966318234606E-2</v>
      </c>
      <c r="S188" s="1"/>
    </row>
    <row r="189" spans="5:19">
      <c r="E189" s="51" t="s">
        <v>42</v>
      </c>
      <c r="F189" s="57" t="s">
        <v>186</v>
      </c>
      <c r="G189" s="120"/>
      <c r="H189" s="121">
        <f t="shared" si="49"/>
        <v>4.0650406504065033E-2</v>
      </c>
      <c r="I189" s="121">
        <f t="shared" si="50"/>
        <v>4.0650406504065033E-2</v>
      </c>
      <c r="J189" s="121">
        <f t="shared" si="51"/>
        <v>4.0650406504065033E-2</v>
      </c>
      <c r="K189" s="121">
        <f t="shared" si="52"/>
        <v>4.0650406504065033E-2</v>
      </c>
      <c r="L189" s="121">
        <f t="shared" si="53"/>
        <v>4.0650406504065033E-2</v>
      </c>
      <c r="M189" s="121">
        <f t="shared" si="54"/>
        <v>4.0650406504065033E-2</v>
      </c>
      <c r="N189" s="121">
        <f t="shared" si="55"/>
        <v>4.0650406504065033E-2</v>
      </c>
      <c r="O189" s="121">
        <f t="shared" si="56"/>
        <v>3.5225598143924671E-4</v>
      </c>
      <c r="P189" s="121">
        <f t="shared" si="57"/>
        <v>4.0650406504065033E-2</v>
      </c>
      <c r="Q189" s="121">
        <f t="shared" si="58"/>
        <v>4.0650406504065033E-2</v>
      </c>
      <c r="R189" s="121">
        <f t="shared" si="59"/>
        <v>4.0650406504065033E-2</v>
      </c>
      <c r="S189" s="1"/>
    </row>
    <row r="190" spans="5:19">
      <c r="E190" s="51" t="s">
        <v>43</v>
      </c>
      <c r="F190" s="57" t="s">
        <v>187</v>
      </c>
      <c r="G190" s="120"/>
      <c r="H190" s="121">
        <f t="shared" si="49"/>
        <v>4.1811846689895467E-2</v>
      </c>
      <c r="I190" s="121">
        <f t="shared" si="50"/>
        <v>4.1811846689895467E-2</v>
      </c>
      <c r="J190" s="121">
        <f t="shared" si="51"/>
        <v>4.1811846689895467E-2</v>
      </c>
      <c r="K190" s="121">
        <f t="shared" si="52"/>
        <v>4.1811846689895467E-2</v>
      </c>
      <c r="L190" s="121">
        <f t="shared" si="53"/>
        <v>4.1811846689895467E-2</v>
      </c>
      <c r="M190" s="121">
        <f t="shared" si="54"/>
        <v>4.1811846689895467E-2</v>
      </c>
      <c r="N190" s="121">
        <f t="shared" si="55"/>
        <v>4.1811846689895467E-2</v>
      </c>
      <c r="O190" s="121">
        <f t="shared" si="56"/>
        <v>5.1670152974047229E-3</v>
      </c>
      <c r="P190" s="121">
        <f t="shared" si="57"/>
        <v>4.1811846689895467E-2</v>
      </c>
      <c r="Q190" s="121">
        <f t="shared" si="58"/>
        <v>4.1811846689895467E-2</v>
      </c>
      <c r="R190" s="121">
        <f t="shared" si="59"/>
        <v>4.1811846689895467E-2</v>
      </c>
      <c r="S190" s="1"/>
    </row>
    <row r="191" spans="5:19">
      <c r="E191" s="51" t="s">
        <v>44</v>
      </c>
      <c r="F191" s="57" t="s">
        <v>188</v>
      </c>
      <c r="G191" s="120"/>
      <c r="H191" s="121">
        <f t="shared" si="49"/>
        <v>4.2973286875725894E-2</v>
      </c>
      <c r="I191" s="121">
        <f t="shared" si="50"/>
        <v>4.2973286875725894E-2</v>
      </c>
      <c r="J191" s="121">
        <f t="shared" si="51"/>
        <v>4.2973286875725894E-2</v>
      </c>
      <c r="K191" s="121">
        <f t="shared" si="52"/>
        <v>4.2973286875725894E-2</v>
      </c>
      <c r="L191" s="121">
        <f t="shared" si="53"/>
        <v>4.2973286875725894E-2</v>
      </c>
      <c r="M191" s="121">
        <f t="shared" si="54"/>
        <v>4.2973286875725894E-2</v>
      </c>
      <c r="N191" s="121">
        <f t="shared" si="55"/>
        <v>4.2973286875725894E-2</v>
      </c>
      <c r="O191" s="121">
        <f t="shared" si="56"/>
        <v>0.12767528606759632</v>
      </c>
      <c r="P191" s="121">
        <f t="shared" si="57"/>
        <v>4.2973286875725894E-2</v>
      </c>
      <c r="Q191" s="121">
        <f t="shared" si="58"/>
        <v>4.2973286875725894E-2</v>
      </c>
      <c r="R191" s="121">
        <f t="shared" si="59"/>
        <v>4.2973286875725894E-2</v>
      </c>
      <c r="S191" s="1"/>
    </row>
    <row r="192" spans="5:19">
      <c r="E192" s="51" t="s">
        <v>45</v>
      </c>
      <c r="F192" s="57" t="s">
        <v>189</v>
      </c>
      <c r="G192" s="120"/>
      <c r="H192" s="121">
        <f t="shared" si="49"/>
        <v>4.4134727061556328E-2</v>
      </c>
      <c r="I192" s="121">
        <f t="shared" si="50"/>
        <v>4.4134727061556328E-2</v>
      </c>
      <c r="J192" s="121">
        <f t="shared" si="51"/>
        <v>4.4134727061556328E-2</v>
      </c>
      <c r="K192" s="121">
        <f t="shared" si="52"/>
        <v>4.4134727061556328E-2</v>
      </c>
      <c r="L192" s="121">
        <f t="shared" si="53"/>
        <v>4.4134727061556328E-2</v>
      </c>
      <c r="M192" s="121">
        <f t="shared" si="54"/>
        <v>4.4134727061556328E-2</v>
      </c>
      <c r="N192" s="121">
        <f t="shared" si="55"/>
        <v>4.4134727061556328E-2</v>
      </c>
      <c r="O192" s="121">
        <f t="shared" si="56"/>
        <v>2.9617373004471544E-2</v>
      </c>
      <c r="P192" s="121">
        <f t="shared" si="57"/>
        <v>4.4134727061556328E-2</v>
      </c>
      <c r="Q192" s="121">
        <f t="shared" si="58"/>
        <v>4.4134727061556328E-2</v>
      </c>
      <c r="R192" s="121">
        <f t="shared" si="59"/>
        <v>4.4134727061556328E-2</v>
      </c>
      <c r="S192" s="1"/>
    </row>
    <row r="193" spans="5:19">
      <c r="E193" s="51" t="s">
        <v>46</v>
      </c>
      <c r="F193" s="57" t="s">
        <v>190</v>
      </c>
      <c r="G193" s="120"/>
      <c r="H193" s="121">
        <f t="shared" si="49"/>
        <v>4.5296167247386755E-2</v>
      </c>
      <c r="I193" s="121">
        <f t="shared" si="50"/>
        <v>4.5296167247386755E-2</v>
      </c>
      <c r="J193" s="121">
        <f t="shared" si="51"/>
        <v>4.5296167247386755E-2</v>
      </c>
      <c r="K193" s="121">
        <f t="shared" si="52"/>
        <v>4.5296167247386755E-2</v>
      </c>
      <c r="L193" s="121">
        <f t="shared" si="53"/>
        <v>4.5296167247386755E-2</v>
      </c>
      <c r="M193" s="121">
        <f t="shared" si="54"/>
        <v>4.5296167247386755E-2</v>
      </c>
      <c r="N193" s="121">
        <f t="shared" si="55"/>
        <v>4.5296167247386755E-2</v>
      </c>
      <c r="O193" s="121">
        <f t="shared" si="56"/>
        <v>1.613445078933351E-2</v>
      </c>
      <c r="P193" s="121">
        <f t="shared" si="57"/>
        <v>4.5296167247386755E-2</v>
      </c>
      <c r="Q193" s="121">
        <f t="shared" si="58"/>
        <v>4.5296167247386755E-2</v>
      </c>
      <c r="R193" s="121">
        <f t="shared" si="59"/>
        <v>4.5296167247386755E-2</v>
      </c>
      <c r="S193" s="1"/>
    </row>
    <row r="194" spans="5:19">
      <c r="E194" s="51" t="s">
        <v>47</v>
      </c>
      <c r="F194" s="57" t="s">
        <v>191</v>
      </c>
      <c r="G194" s="120"/>
      <c r="H194" s="121">
        <f t="shared" si="49"/>
        <v>4.6457607433217189E-2</v>
      </c>
      <c r="I194" s="121">
        <f t="shared" si="50"/>
        <v>4.6457607433217189E-2</v>
      </c>
      <c r="J194" s="121">
        <f t="shared" si="51"/>
        <v>4.6457607433217189E-2</v>
      </c>
      <c r="K194" s="121">
        <f t="shared" si="52"/>
        <v>4.6457607433217189E-2</v>
      </c>
      <c r="L194" s="121">
        <f t="shared" si="53"/>
        <v>4.6457607433217189E-2</v>
      </c>
      <c r="M194" s="121">
        <f t="shared" si="54"/>
        <v>4.6457607433217189E-2</v>
      </c>
      <c r="N194" s="121">
        <f t="shared" si="55"/>
        <v>4.6457607433217189E-2</v>
      </c>
      <c r="O194" s="121">
        <f t="shared" si="56"/>
        <v>2.8695646150796134E-4</v>
      </c>
      <c r="P194" s="121">
        <f t="shared" si="57"/>
        <v>4.6457607433217189E-2</v>
      </c>
      <c r="Q194" s="121">
        <f t="shared" si="58"/>
        <v>4.6457607433217189E-2</v>
      </c>
      <c r="R194" s="121">
        <f t="shared" si="59"/>
        <v>4.6457607433217189E-2</v>
      </c>
      <c r="S194" s="1"/>
    </row>
    <row r="195" spans="5:19">
      <c r="E195" s="51" t="s">
        <v>48</v>
      </c>
      <c r="F195" s="57" t="s">
        <v>192</v>
      </c>
      <c r="G195" s="120"/>
      <c r="H195" s="121">
        <f t="shared" si="49"/>
        <v>4.7619047619047616E-2</v>
      </c>
      <c r="I195" s="121">
        <f t="shared" si="50"/>
        <v>4.7619047619047616E-2</v>
      </c>
      <c r="J195" s="121">
        <f t="shared" si="51"/>
        <v>4.7619047619047616E-2</v>
      </c>
      <c r="K195" s="121">
        <f t="shared" si="52"/>
        <v>4.7619047619047616E-2</v>
      </c>
      <c r="L195" s="121">
        <f t="shared" si="53"/>
        <v>4.7619047619047616E-2</v>
      </c>
      <c r="M195" s="121">
        <f t="shared" si="54"/>
        <v>4.7619047619047616E-2</v>
      </c>
      <c r="N195" s="121">
        <f t="shared" si="55"/>
        <v>4.7619047619047616E-2</v>
      </c>
      <c r="O195" s="121">
        <f t="shared" si="56"/>
        <v>7.8341424655314837E-3</v>
      </c>
      <c r="P195" s="121">
        <f t="shared" si="57"/>
        <v>4.7619047619047616E-2</v>
      </c>
      <c r="Q195" s="121">
        <f t="shared" si="58"/>
        <v>4.7619047619047616E-2</v>
      </c>
      <c r="R195" s="121">
        <f t="shared" si="59"/>
        <v>4.7619047619047616E-2</v>
      </c>
      <c r="S195" s="1"/>
    </row>
    <row r="196" spans="5:19">
      <c r="F196" s="119"/>
    </row>
    <row r="197" spans="5:19">
      <c r="F197" s="119"/>
    </row>
    <row r="198" spans="5:19">
      <c r="F198" s="119"/>
    </row>
    <row r="199" spans="5:19">
      <c r="F199" s="119"/>
    </row>
    <row r="200" spans="5:19">
      <c r="F200" s="119"/>
    </row>
    <row r="201" spans="5:19">
      <c r="F201" s="119"/>
    </row>
    <row r="202" spans="5:19">
      <c r="F202" s="119"/>
    </row>
    <row r="203" spans="5:19">
      <c r="F203" s="119"/>
    </row>
    <row r="204" spans="5:19">
      <c r="F204" s="119"/>
    </row>
    <row r="205" spans="5:19">
      <c r="F205" s="119"/>
    </row>
    <row r="206" spans="5:19">
      <c r="F206" s="119"/>
    </row>
    <row r="207" spans="5:19">
      <c r="F207" s="119"/>
    </row>
    <row r="208" spans="5:19">
      <c r="F208" s="119"/>
    </row>
    <row r="209" spans="6:6">
      <c r="F209" s="119"/>
    </row>
    <row r="210" spans="6:6">
      <c r="F210" s="119"/>
    </row>
    <row r="211" spans="6:6">
      <c r="F211" s="119"/>
    </row>
    <row r="212" spans="6:6">
      <c r="F212" s="119"/>
    </row>
    <row r="213" spans="6:6">
      <c r="F213" s="119"/>
    </row>
    <row r="214" spans="6:6">
      <c r="F214" s="119"/>
    </row>
    <row r="215" spans="6:6">
      <c r="F215" s="119"/>
    </row>
    <row r="216" spans="6:6">
      <c r="F216" s="119"/>
    </row>
    <row r="217" spans="6:6">
      <c r="F217" s="119"/>
    </row>
    <row r="218" spans="6:6">
      <c r="F218" s="119"/>
    </row>
    <row r="219" spans="6:6">
      <c r="F219" s="119"/>
    </row>
    <row r="220" spans="6:6">
      <c r="F220" s="119"/>
    </row>
    <row r="221" spans="6:6">
      <c r="F221" s="119"/>
    </row>
    <row r="222" spans="6:6">
      <c r="F222" s="119"/>
    </row>
    <row r="223" spans="6:6">
      <c r="F223" s="119"/>
    </row>
    <row r="224" spans="6:6">
      <c r="F224" s="119"/>
    </row>
    <row r="225" spans="6:6">
      <c r="F225" s="119"/>
    </row>
    <row r="226" spans="6:6">
      <c r="F226" s="119"/>
    </row>
    <row r="227" spans="6:6">
      <c r="F227" s="119"/>
    </row>
    <row r="228" spans="6:6">
      <c r="F228" s="119"/>
    </row>
    <row r="229" spans="6:6">
      <c r="F229" s="119"/>
    </row>
    <row r="230" spans="6:6">
      <c r="F230" s="119"/>
    </row>
    <row r="231" spans="6:6">
      <c r="F231" s="119"/>
    </row>
    <row r="232" spans="6:6">
      <c r="F232" s="119"/>
    </row>
    <row r="233" spans="6:6">
      <c r="F233" s="119"/>
    </row>
    <row r="234" spans="6:6">
      <c r="F234" s="119"/>
    </row>
    <row r="235" spans="6:6">
      <c r="F235" s="119"/>
    </row>
    <row r="236" spans="6:6">
      <c r="F236" s="119"/>
    </row>
    <row r="237" spans="6:6">
      <c r="F237" s="119"/>
    </row>
    <row r="238" spans="6:6">
      <c r="F238" s="119"/>
    </row>
    <row r="239" spans="6:6">
      <c r="F239" s="119"/>
    </row>
    <row r="240" spans="6:6">
      <c r="F240" s="119"/>
    </row>
    <row r="241" spans="6:6">
      <c r="F241" s="119"/>
    </row>
    <row r="242" spans="6:6">
      <c r="F242" s="119"/>
    </row>
    <row r="243" spans="6:6">
      <c r="F243" s="119"/>
    </row>
    <row r="244" spans="6:6">
      <c r="F244" s="119"/>
    </row>
    <row r="245" spans="6:6">
      <c r="F245" s="119"/>
    </row>
    <row r="246" spans="6:6">
      <c r="F246" s="119"/>
    </row>
    <row r="247" spans="6:6">
      <c r="F247" s="119"/>
    </row>
    <row r="248" spans="6:6">
      <c r="F248" s="119"/>
    </row>
    <row r="249" spans="6:6">
      <c r="F249" s="119"/>
    </row>
    <row r="250" spans="6:6">
      <c r="F250" s="119"/>
    </row>
    <row r="251" spans="6:6">
      <c r="F251" s="119"/>
    </row>
    <row r="252" spans="6:6">
      <c r="F252" s="119"/>
    </row>
    <row r="253" spans="6:6">
      <c r="F253" s="119"/>
    </row>
    <row r="254" spans="6:6">
      <c r="F254" s="119"/>
    </row>
    <row r="255" spans="6:6">
      <c r="F255" s="119"/>
    </row>
    <row r="256" spans="6:6">
      <c r="F256" s="119"/>
    </row>
    <row r="257" spans="6:6">
      <c r="F257" s="119"/>
    </row>
    <row r="258" spans="6:6">
      <c r="F258" s="119"/>
    </row>
    <row r="259" spans="6:6">
      <c r="F259" s="119"/>
    </row>
    <row r="260" spans="6:6">
      <c r="F260" s="119"/>
    </row>
    <row r="261" spans="6:6">
      <c r="F261" s="119"/>
    </row>
    <row r="262" spans="6:6">
      <c r="F262" s="119"/>
    </row>
    <row r="263" spans="6:6">
      <c r="F263" s="119"/>
    </row>
    <row r="264" spans="6:6">
      <c r="F264" s="119"/>
    </row>
    <row r="265" spans="6:6">
      <c r="F265" s="119"/>
    </row>
    <row r="266" spans="6:6">
      <c r="F266" s="119"/>
    </row>
    <row r="267" spans="6:6">
      <c r="F267" s="119"/>
    </row>
    <row r="268" spans="6:6">
      <c r="F268" s="119"/>
    </row>
  </sheetData>
  <phoneticPr fontId="22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U44"/>
  <sheetViews>
    <sheetView workbookViewId="0">
      <selection activeCell="N13" sqref="N13"/>
    </sheetView>
  </sheetViews>
  <sheetFormatPr defaultColWidth="9.140625" defaultRowHeight="15"/>
  <cols>
    <col min="1" max="2" width="9.140625" style="78"/>
    <col min="3" max="3" width="19.42578125" style="78" customWidth="1"/>
    <col min="4" max="4" width="53.85546875" style="78" customWidth="1"/>
    <col min="5" max="16" width="9.140625" style="78"/>
    <col min="17" max="17" width="37.85546875" style="78" customWidth="1"/>
    <col min="18" max="18" width="31.7109375" style="78" customWidth="1"/>
    <col min="19" max="16384" width="9.140625" style="78"/>
  </cols>
  <sheetData>
    <row r="1" spans="1:5">
      <c r="A1" s="76"/>
      <c r="B1" s="76"/>
      <c r="C1" s="77"/>
      <c r="D1" s="76"/>
    </row>
    <row r="2" spans="1:5" ht="23.25">
      <c r="A2" s="76"/>
      <c r="B2" s="76"/>
      <c r="C2" s="77"/>
      <c r="D2" s="79"/>
      <c r="E2" s="80"/>
    </row>
    <row r="3" spans="1:5">
      <c r="A3" s="76"/>
      <c r="B3" s="77"/>
      <c r="C3" s="77"/>
      <c r="D3" s="77"/>
      <c r="E3" s="81"/>
    </row>
    <row r="4" spans="1:5">
      <c r="A4" s="76"/>
      <c r="B4" s="77"/>
      <c r="C4" s="77"/>
      <c r="D4" s="77"/>
      <c r="E4" s="81"/>
    </row>
    <row r="5" spans="1:5">
      <c r="B5" s="81"/>
      <c r="C5" s="81"/>
      <c r="D5" s="81"/>
      <c r="E5" s="81"/>
    </row>
    <row r="6" spans="1:5">
      <c r="B6" s="81"/>
      <c r="C6" s="81"/>
      <c r="D6" s="81"/>
      <c r="E6" s="81"/>
    </row>
    <row r="7" spans="1:5">
      <c r="B7" s="81"/>
      <c r="C7" s="81"/>
      <c r="D7" s="81"/>
      <c r="E7" s="81"/>
    </row>
    <row r="8" spans="1:5">
      <c r="B8" s="81"/>
      <c r="C8" s="81"/>
      <c r="D8" s="81"/>
      <c r="E8" s="81"/>
    </row>
    <row r="9" spans="1:5">
      <c r="B9" s="81"/>
      <c r="C9" s="81"/>
      <c r="D9" s="81"/>
      <c r="E9" s="81"/>
    </row>
    <row r="33" spans="16:21" ht="114" customHeight="1"/>
    <row r="34" spans="16:21" ht="60">
      <c r="P34" s="109" t="s">
        <v>220</v>
      </c>
      <c r="Q34" s="109" t="s">
        <v>216</v>
      </c>
      <c r="R34" s="109" t="s">
        <v>215</v>
      </c>
      <c r="S34" s="109" t="s">
        <v>219</v>
      </c>
      <c r="T34" s="109" t="s">
        <v>218</v>
      </c>
      <c r="U34" s="109" t="s">
        <v>217</v>
      </c>
    </row>
    <row r="35" spans="16:21">
      <c r="P35" s="108"/>
      <c r="Q35" s="108"/>
      <c r="R35" s="108"/>
      <c r="S35" s="108"/>
      <c r="T35" s="108"/>
      <c r="U35" s="108"/>
    </row>
    <row r="36" spans="16:21">
      <c r="P36" s="108"/>
      <c r="Q36" s="108"/>
      <c r="R36" s="108"/>
      <c r="S36" s="108"/>
      <c r="T36" s="108"/>
      <c r="U36" s="108"/>
    </row>
    <row r="37" spans="16:21">
      <c r="P37" s="108"/>
      <c r="Q37" s="108"/>
      <c r="R37" s="108"/>
      <c r="S37" s="108"/>
      <c r="T37" s="108"/>
      <c r="U37" s="108"/>
    </row>
    <row r="38" spans="16:21">
      <c r="P38" s="108"/>
      <c r="Q38" s="108"/>
      <c r="R38" s="108"/>
      <c r="S38" s="108"/>
      <c r="T38" s="108"/>
      <c r="U38" s="108"/>
    </row>
    <row r="39" spans="16:21">
      <c r="P39" s="108"/>
      <c r="Q39" s="108"/>
      <c r="R39" s="108"/>
      <c r="S39" s="108"/>
      <c r="T39" s="108"/>
      <c r="U39" s="108"/>
    </row>
    <row r="40" spans="16:21">
      <c r="P40" s="108"/>
      <c r="Q40" s="108"/>
      <c r="R40" s="108"/>
      <c r="S40" s="108"/>
      <c r="T40" s="108"/>
      <c r="U40" s="108"/>
    </row>
    <row r="41" spans="16:21">
      <c r="P41" s="108"/>
      <c r="Q41" s="108"/>
      <c r="R41" s="108"/>
      <c r="S41" s="108"/>
      <c r="T41" s="108"/>
      <c r="U41" s="108"/>
    </row>
    <row r="42" spans="16:21">
      <c r="P42" s="103"/>
      <c r="Q42" s="103"/>
      <c r="R42" s="103"/>
      <c r="S42" s="103"/>
      <c r="T42" s="103"/>
      <c r="U42" s="103"/>
    </row>
    <row r="43" spans="16:21">
      <c r="P43" s="103"/>
      <c r="Q43" s="103"/>
      <c r="R43" s="103"/>
      <c r="S43" s="103"/>
      <c r="T43" s="103"/>
      <c r="U43" s="103"/>
    </row>
    <row r="44" spans="16:21" ht="9.75" customHeight="1"/>
  </sheetData>
  <phoneticPr fontId="2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B1:G20"/>
  <sheetViews>
    <sheetView topLeftCell="A25" workbookViewId="0">
      <selection activeCell="C15" sqref="C15"/>
    </sheetView>
  </sheetViews>
  <sheetFormatPr defaultRowHeight="15"/>
  <cols>
    <col min="2" max="2" width="16" customWidth="1"/>
    <col min="3" max="4" width="57" customWidth="1"/>
    <col min="5" max="5" width="12.7109375" customWidth="1"/>
    <col min="7" max="7" width="12.7109375" customWidth="1"/>
  </cols>
  <sheetData>
    <row r="1" spans="2:7" ht="19.5" customHeight="1"/>
    <row r="2" spans="2:7" ht="44.25" customHeight="1">
      <c r="B2" s="109" t="s">
        <v>220</v>
      </c>
      <c r="C2" s="109" t="s">
        <v>216</v>
      </c>
      <c r="D2" s="109" t="s">
        <v>215</v>
      </c>
      <c r="E2" s="109" t="s">
        <v>219</v>
      </c>
      <c r="F2" s="109" t="s">
        <v>218</v>
      </c>
      <c r="G2" s="109" t="s">
        <v>217</v>
      </c>
    </row>
    <row r="3" spans="2:7" ht="22.5" customHeight="1">
      <c r="B3" s="108"/>
      <c r="C3" s="108"/>
      <c r="D3" s="108"/>
      <c r="E3" s="108"/>
      <c r="F3" s="108"/>
      <c r="G3" s="108"/>
    </row>
    <row r="4" spans="2:7" ht="22.5" customHeight="1">
      <c r="B4" s="108"/>
      <c r="C4" s="108"/>
      <c r="D4" s="108"/>
      <c r="E4" s="108"/>
      <c r="F4" s="108"/>
      <c r="G4" s="108"/>
    </row>
    <row r="5" spans="2:7" ht="22.5" customHeight="1">
      <c r="B5" s="108"/>
      <c r="C5" s="108"/>
      <c r="D5" s="108"/>
      <c r="E5" s="108"/>
      <c r="F5" s="108"/>
      <c r="G5" s="108"/>
    </row>
    <row r="6" spans="2:7" ht="22.5" customHeight="1">
      <c r="B6" s="108"/>
      <c r="C6" s="108"/>
      <c r="D6" s="108"/>
      <c r="E6" s="108"/>
      <c r="F6" s="108"/>
      <c r="G6" s="108"/>
    </row>
    <row r="7" spans="2:7" ht="22.5" customHeight="1">
      <c r="B7" s="108"/>
      <c r="C7" s="108"/>
      <c r="D7" s="108"/>
      <c r="E7" s="108"/>
      <c r="F7" s="108"/>
      <c r="G7" s="108"/>
    </row>
    <row r="8" spans="2:7" ht="22.5" customHeight="1">
      <c r="B8" s="108"/>
      <c r="C8" s="108"/>
      <c r="D8" s="108"/>
      <c r="E8" s="108"/>
      <c r="F8" s="108"/>
      <c r="G8" s="108"/>
    </row>
    <row r="9" spans="2:7" ht="22.5" customHeight="1">
      <c r="B9" s="108"/>
      <c r="C9" s="108"/>
      <c r="D9" s="108"/>
      <c r="E9" s="108"/>
      <c r="F9" s="108"/>
      <c r="G9" s="108"/>
    </row>
    <row r="10" spans="2:7" ht="22.5" customHeight="1">
      <c r="B10" s="108"/>
      <c r="C10" s="108"/>
      <c r="D10" s="108"/>
      <c r="E10" s="108"/>
      <c r="F10" s="108"/>
      <c r="G10" s="108"/>
    </row>
    <row r="11" spans="2:7" ht="22.5" customHeight="1">
      <c r="B11" s="108"/>
      <c r="C11" s="108"/>
      <c r="D11" s="108"/>
      <c r="E11" s="108"/>
      <c r="F11" s="108"/>
      <c r="G11" s="108"/>
    </row>
    <row r="12" spans="2:7" ht="22.5" customHeight="1">
      <c r="B12" s="108"/>
      <c r="C12" s="108"/>
      <c r="D12" s="108"/>
      <c r="E12" s="108"/>
      <c r="F12" s="108"/>
      <c r="G12" s="108"/>
    </row>
    <row r="13" spans="2:7" ht="22.5" customHeight="1">
      <c r="B13" s="108"/>
      <c r="C13" s="108"/>
      <c r="D13" s="108"/>
      <c r="E13" s="108"/>
      <c r="F13" s="108"/>
      <c r="G13" s="108"/>
    </row>
    <row r="14" spans="2:7" ht="22.5" customHeight="1">
      <c r="B14" s="108"/>
      <c r="C14" s="108"/>
      <c r="D14" s="108"/>
      <c r="E14" s="108"/>
      <c r="F14" s="108"/>
      <c r="G14" s="108"/>
    </row>
    <row r="15" spans="2:7" ht="22.5" customHeight="1">
      <c r="B15" s="108"/>
      <c r="C15" s="108"/>
      <c r="D15" s="108"/>
      <c r="E15" s="108"/>
      <c r="F15" s="108"/>
      <c r="G15" s="108"/>
    </row>
    <row r="16" spans="2:7" ht="22.5" customHeight="1">
      <c r="B16" s="108"/>
      <c r="C16" s="108"/>
      <c r="D16" s="108"/>
      <c r="E16" s="108"/>
      <c r="F16" s="108"/>
      <c r="G16" s="108"/>
    </row>
    <row r="17" spans="2:7" ht="22.5" customHeight="1">
      <c r="B17" s="108"/>
      <c r="C17" s="108"/>
      <c r="D17" s="108"/>
      <c r="E17" s="108"/>
      <c r="F17" s="108"/>
      <c r="G17" s="108"/>
    </row>
    <row r="18" spans="2:7" ht="22.5" customHeight="1">
      <c r="B18" s="108"/>
      <c r="C18" s="108"/>
      <c r="D18" s="108"/>
      <c r="E18" s="108"/>
      <c r="F18" s="108"/>
      <c r="G18" s="108"/>
    </row>
    <row r="19" spans="2:7" ht="22.5" customHeight="1">
      <c r="B19" s="108"/>
      <c r="C19" s="108"/>
      <c r="D19" s="108"/>
      <c r="E19" s="108"/>
      <c r="F19" s="108"/>
      <c r="G19" s="108"/>
    </row>
    <row r="20" spans="2:7" ht="22.5" customHeight="1">
      <c r="B20" s="108"/>
      <c r="C20" s="108"/>
      <c r="D20" s="108"/>
      <c r="E20" s="108"/>
      <c r="F20" s="108"/>
      <c r="G20" s="108"/>
    </row>
  </sheetData>
  <phoneticPr fontId="2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</vt:lpstr>
      <vt:lpstr>Data Base</vt:lpstr>
      <vt:lpstr>Temp-date</vt:lpstr>
      <vt:lpstr>Temp-产品系列</vt:lpstr>
      <vt:lpstr>Temp-工序</vt:lpstr>
      <vt:lpstr>Temp-班次</vt:lpstr>
      <vt:lpstr>Result</vt:lpstr>
      <vt:lpstr>Charts</vt:lpstr>
      <vt:lpstr>Result-查询</vt:lpstr>
      <vt:lpstr>Charts-查询</vt:lpstr>
      <vt:lpstr>Result-月份对比</vt:lpstr>
      <vt:lpstr>Charts-月份对比</vt:lpstr>
      <vt:lpstr>ACTION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2015-12-11T10:09:35Z</dcterms:modified>
</cp:coreProperties>
</file>